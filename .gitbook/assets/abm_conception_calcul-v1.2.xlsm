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0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1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4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ml.chartshapes+xml"/>
  <Override PartName="/xl/drawings/drawing18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9.xml" ContentType="application/vnd.openxmlformats-officedocument.drawingml.chartshapes+xml"/>
  <Override PartName="/xl/drawings/drawing20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1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aurent\Google Drive\Assurbanque Manager\SCIADO\"/>
    </mc:Choice>
  </mc:AlternateContent>
  <bookViews>
    <workbookView xWindow="0" yWindow="0" windowWidth="10920" windowHeight="14304"/>
  </bookViews>
  <sheets>
    <sheet name="Accueil" sheetId="11" r:id="rId1"/>
    <sheet name="Constantes" sheetId="1" r:id="rId2"/>
    <sheet name="Historique T=0" sheetId="5" r:id="rId3"/>
    <sheet name="Actions" sheetId="4" r:id="rId4"/>
    <sheet name="Scénario" sheetId="3" r:id="rId5"/>
    <sheet name="Décisions" sheetId="8" r:id="rId6"/>
    <sheet name="Calcul" sheetId="2" r:id="rId7"/>
    <sheet name="Résultats_évolution" sheetId="7" r:id="rId8"/>
    <sheet name="Résultats par mois" sheetId="10" r:id="rId9"/>
    <sheet name="Graphiques" sheetId="9" r:id="rId10"/>
    <sheet name="Décision_vierge" sheetId="12" r:id="rId11"/>
    <sheet name="Standard" sheetId="17" r:id="rId12"/>
  </sheets>
  <definedNames>
    <definedName name="solver_adj" localSheetId="6" hidden="1">Calcul!#REF!</definedName>
    <definedName name="solver_cvg" localSheetId="6" hidden="1">0.0001</definedName>
    <definedName name="solver_drv" localSheetId="6" hidden="1">2</definedName>
    <definedName name="solver_eng" localSheetId="6" hidden="1">1</definedName>
    <definedName name="solver_est" localSheetId="6" hidden="1">1</definedName>
    <definedName name="solver_itr" localSheetId="6" hidden="1">2147483647</definedName>
    <definedName name="solver_lhs1" localSheetId="6" hidden="1">Calcul!$G$121:$G$130</definedName>
    <definedName name="solver_lhs10" localSheetId="6" hidden="1">Calcul!#REF!</definedName>
    <definedName name="solver_lhs11" localSheetId="6" hidden="1">Calcul!#REF!</definedName>
    <definedName name="solver_lhs12" localSheetId="6" hidden="1">Calcul!#REF!</definedName>
    <definedName name="solver_lhs2" localSheetId="6" hidden="1">Calcul!#REF!</definedName>
    <definedName name="solver_lhs3" localSheetId="6" hidden="1">Calcul!#REF!</definedName>
    <definedName name="solver_lhs4" localSheetId="6" hidden="1">Calcul!$L$131</definedName>
    <definedName name="solver_lhs5" localSheetId="6" hidden="1">Calcul!$M$121:$M$130</definedName>
    <definedName name="solver_lhs6" localSheetId="6" hidden="1">Calcul!$M$121:$M$130</definedName>
    <definedName name="solver_lhs7" localSheetId="6" hidden="1">Calcul!#REF!</definedName>
    <definedName name="solver_lhs8" localSheetId="6" hidden="1">Calcul!#REF!</definedName>
    <definedName name="solver_lhs9" localSheetId="6" hidden="1">Calcul!#REF!</definedName>
    <definedName name="solver_mip" localSheetId="6" hidden="1">2147483647</definedName>
    <definedName name="solver_mni" localSheetId="6" hidden="1">30</definedName>
    <definedName name="solver_mrt" localSheetId="6" hidden="1">0.075</definedName>
    <definedName name="solver_msl" localSheetId="6" hidden="1">2</definedName>
    <definedName name="solver_neg" localSheetId="6" hidden="1">1</definedName>
    <definedName name="solver_nod" localSheetId="6" hidden="1">2147483647</definedName>
    <definedName name="solver_num" localSheetId="6" hidden="1">3</definedName>
    <definedName name="solver_nwt" localSheetId="6" hidden="1">1</definedName>
    <definedName name="solver_opt" localSheetId="6" hidden="1">Calcul!$M$131</definedName>
    <definedName name="solver_pre" localSheetId="6" hidden="1">0.000001</definedName>
    <definedName name="solver_rbv" localSheetId="6" hidden="1">2</definedName>
    <definedName name="solver_rel1" localSheetId="6" hidden="1">1</definedName>
    <definedName name="solver_rel10" localSheetId="6" hidden="1">2</definedName>
    <definedName name="solver_rel11" localSheetId="6" hidden="1">2</definedName>
    <definedName name="solver_rel12" localSheetId="6" hidden="1">2</definedName>
    <definedName name="solver_rel2" localSheetId="6" hidden="1">1</definedName>
    <definedName name="solver_rel3" localSheetId="6" hidden="1">2</definedName>
    <definedName name="solver_rel4" localSheetId="6" hidden="1">2</definedName>
    <definedName name="solver_rel5" localSheetId="6" hidden="1">3</definedName>
    <definedName name="solver_rel6" localSheetId="6" hidden="1">3</definedName>
    <definedName name="solver_rel7" localSheetId="6" hidden="1">2</definedName>
    <definedName name="solver_rel8" localSheetId="6" hidden="1">2</definedName>
    <definedName name="solver_rel9" localSheetId="6" hidden="1">2</definedName>
    <definedName name="solver_rhs1" localSheetId="6" hidden="1">Calcul!#REF!</definedName>
    <definedName name="solver_rhs10" localSheetId="6" hidden="1">1</definedName>
    <definedName name="solver_rhs11" localSheetId="6" hidden="1">1</definedName>
    <definedName name="solver_rhs12" localSheetId="6" hidden="1">1</definedName>
    <definedName name="solver_rhs2" localSheetId="6" hidden="1">Calcul!#REF!</definedName>
    <definedName name="solver_rhs3" localSheetId="6" hidden="1">1</definedName>
    <definedName name="solver_rhs4" localSheetId="6" hidden="1">0</definedName>
    <definedName name="solver_rhs5" localSheetId="6" hidden="1">0</definedName>
    <definedName name="solver_rhs6" localSheetId="6" hidden="1">0</definedName>
    <definedName name="solver_rhs7" localSheetId="6" hidden="1">1</definedName>
    <definedName name="solver_rhs8" localSheetId="6" hidden="1">1</definedName>
    <definedName name="solver_rhs9" localSheetId="6" hidden="1">1</definedName>
    <definedName name="solver_rlx" localSheetId="6" hidden="1">2</definedName>
    <definedName name="solver_rsd" localSheetId="6" hidden="1">0</definedName>
    <definedName name="solver_scl" localSheetId="6" hidden="1">2</definedName>
    <definedName name="solver_sho" localSheetId="6" hidden="1">2</definedName>
    <definedName name="solver_ssz" localSheetId="6" hidden="1">100</definedName>
    <definedName name="solver_tim" localSheetId="6" hidden="1">2147483647</definedName>
    <definedName name="solver_tol" localSheetId="6" hidden="1">0.01</definedName>
    <definedName name="solver_typ" localSheetId="6" hidden="1">2</definedName>
    <definedName name="solver_val" localSheetId="6" hidden="1">0</definedName>
    <definedName name="solver_ver" localSheetId="6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U351" i="2" l="1"/>
  <c r="AU346" i="2"/>
  <c r="AJ351" i="2"/>
  <c r="AJ346" i="2"/>
  <c r="Y351" i="2"/>
  <c r="Y346" i="2"/>
  <c r="N351" i="2"/>
  <c r="N346" i="2"/>
  <c r="N95" i="2"/>
  <c r="C95" i="2"/>
  <c r="AX92" i="2"/>
  <c r="F92" i="2"/>
  <c r="Q92" i="2"/>
  <c r="AM92" i="2"/>
  <c r="AB92" i="2"/>
  <c r="AK90" i="17" l="1"/>
  <c r="Z90" i="17"/>
  <c r="O90" i="17"/>
  <c r="D90" i="17"/>
  <c r="AQ88" i="17"/>
  <c r="AL88" i="17"/>
  <c r="AF88" i="17"/>
  <c r="AA88" i="17"/>
  <c r="U88" i="17"/>
  <c r="Q88" i="17"/>
  <c r="P88" i="17"/>
  <c r="J88" i="17"/>
  <c r="F88" i="17"/>
  <c r="E88" i="17"/>
  <c r="AQ87" i="17"/>
  <c r="AL87" i="17"/>
  <c r="AF87" i="17"/>
  <c r="AA87" i="17"/>
  <c r="U87" i="17"/>
  <c r="Q87" i="17"/>
  <c r="P87" i="17"/>
  <c r="J87" i="17"/>
  <c r="F87" i="17"/>
  <c r="E87" i="17"/>
  <c r="AQ86" i="17"/>
  <c r="AL86" i="17"/>
  <c r="AF86" i="17"/>
  <c r="AA86" i="17"/>
  <c r="U86" i="17"/>
  <c r="Q86" i="17"/>
  <c r="P86" i="17"/>
  <c r="J86" i="17"/>
  <c r="F86" i="17"/>
  <c r="E86" i="17"/>
  <c r="AQ85" i="17"/>
  <c r="AL85" i="17"/>
  <c r="AF85" i="17"/>
  <c r="AA85" i="17"/>
  <c r="U85" i="17"/>
  <c r="Q85" i="17"/>
  <c r="P85" i="17"/>
  <c r="J85" i="17"/>
  <c r="F85" i="17"/>
  <c r="E85" i="17"/>
  <c r="AQ84" i="17"/>
  <c r="AL84" i="17"/>
  <c r="AF84" i="17"/>
  <c r="AA84" i="17"/>
  <c r="U84" i="17"/>
  <c r="Q84" i="17"/>
  <c r="P84" i="17"/>
  <c r="J84" i="17"/>
  <c r="F84" i="17"/>
  <c r="E84" i="17"/>
  <c r="AQ83" i="17"/>
  <c r="AL83" i="17"/>
  <c r="AF83" i="17"/>
  <c r="AA83" i="17"/>
  <c r="U83" i="17"/>
  <c r="Q83" i="17"/>
  <c r="P83" i="17"/>
  <c r="J83" i="17"/>
  <c r="F83" i="17"/>
  <c r="E83" i="17"/>
  <c r="AQ82" i="17"/>
  <c r="AL82" i="17"/>
  <c r="AF82" i="17"/>
  <c r="AA82" i="17"/>
  <c r="U82" i="17"/>
  <c r="Q82" i="17"/>
  <c r="P82" i="17"/>
  <c r="J82" i="17"/>
  <c r="F82" i="17"/>
  <c r="E82" i="17"/>
  <c r="AQ81" i="17"/>
  <c r="AL81" i="17"/>
  <c r="AF81" i="17"/>
  <c r="AA81" i="17"/>
  <c r="U81" i="17"/>
  <c r="Q81" i="17"/>
  <c r="P81" i="17"/>
  <c r="J81" i="17"/>
  <c r="F81" i="17"/>
  <c r="E81" i="17"/>
  <c r="AQ80" i="17"/>
  <c r="AL80" i="17"/>
  <c r="AF80" i="17"/>
  <c r="AA80" i="17"/>
  <c r="U80" i="17"/>
  <c r="Q80" i="17"/>
  <c r="P80" i="17"/>
  <c r="J80" i="17"/>
  <c r="F80" i="17"/>
  <c r="E80" i="17"/>
  <c r="AQ79" i="17"/>
  <c r="AL79" i="17"/>
  <c r="AF79" i="17"/>
  <c r="AA79" i="17"/>
  <c r="U79" i="17"/>
  <c r="Q79" i="17"/>
  <c r="P79" i="17"/>
  <c r="J79" i="17"/>
  <c r="F79" i="17"/>
  <c r="E79" i="17"/>
  <c r="AK74" i="17"/>
  <c r="Z74" i="17"/>
  <c r="O74" i="17"/>
  <c r="D74" i="17"/>
  <c r="AQ72" i="17"/>
  <c r="AL72" i="17"/>
  <c r="AF72" i="17"/>
  <c r="AA72" i="17"/>
  <c r="U72" i="17"/>
  <c r="Q72" i="17"/>
  <c r="P72" i="17"/>
  <c r="J72" i="17"/>
  <c r="F72" i="17"/>
  <c r="E72" i="17"/>
  <c r="AQ71" i="17"/>
  <c r="AL71" i="17"/>
  <c r="AF71" i="17"/>
  <c r="AA71" i="17"/>
  <c r="U71" i="17"/>
  <c r="Q71" i="17"/>
  <c r="P71" i="17"/>
  <c r="J71" i="17"/>
  <c r="F71" i="17"/>
  <c r="E71" i="17"/>
  <c r="AQ70" i="17"/>
  <c r="AL70" i="17"/>
  <c r="AF70" i="17"/>
  <c r="AA70" i="17"/>
  <c r="U70" i="17"/>
  <c r="Q70" i="17"/>
  <c r="P70" i="17"/>
  <c r="J70" i="17"/>
  <c r="F70" i="17"/>
  <c r="E70" i="17"/>
  <c r="AQ69" i="17"/>
  <c r="AL69" i="17"/>
  <c r="AF69" i="17"/>
  <c r="AA69" i="17"/>
  <c r="U69" i="17"/>
  <c r="Q69" i="17"/>
  <c r="P69" i="17"/>
  <c r="J69" i="17"/>
  <c r="F69" i="17"/>
  <c r="E69" i="17"/>
  <c r="AQ68" i="17"/>
  <c r="AL68" i="17"/>
  <c r="AF68" i="17"/>
  <c r="AA68" i="17"/>
  <c r="U68" i="17"/>
  <c r="Q68" i="17"/>
  <c r="P68" i="17"/>
  <c r="J68" i="17"/>
  <c r="F68" i="17"/>
  <c r="E68" i="17"/>
  <c r="AQ67" i="17"/>
  <c r="AL67" i="17"/>
  <c r="AF67" i="17"/>
  <c r="AA67" i="17"/>
  <c r="U67" i="17"/>
  <c r="Q67" i="17"/>
  <c r="P67" i="17"/>
  <c r="J67" i="17"/>
  <c r="F67" i="17"/>
  <c r="E67" i="17"/>
  <c r="AQ66" i="17"/>
  <c r="AL66" i="17"/>
  <c r="AF66" i="17"/>
  <c r="AA66" i="17"/>
  <c r="U66" i="17"/>
  <c r="Q66" i="17"/>
  <c r="P66" i="17"/>
  <c r="J66" i="17"/>
  <c r="F66" i="17"/>
  <c r="E66" i="17"/>
  <c r="AQ65" i="17"/>
  <c r="AL65" i="17"/>
  <c r="AF65" i="17"/>
  <c r="AA65" i="17"/>
  <c r="U65" i="17"/>
  <c r="Q65" i="17"/>
  <c r="P65" i="17"/>
  <c r="J65" i="17"/>
  <c r="F65" i="17"/>
  <c r="E65" i="17"/>
  <c r="AQ64" i="17"/>
  <c r="AL64" i="17"/>
  <c r="AF64" i="17"/>
  <c r="AA64" i="17"/>
  <c r="U64" i="17"/>
  <c r="Q64" i="17"/>
  <c r="P64" i="17"/>
  <c r="J64" i="17"/>
  <c r="F64" i="17"/>
  <c r="E64" i="17"/>
  <c r="AQ63" i="17"/>
  <c r="AL63" i="17"/>
  <c r="AF63" i="17"/>
  <c r="AA63" i="17"/>
  <c r="U63" i="17"/>
  <c r="Q63" i="17"/>
  <c r="P63" i="17"/>
  <c r="J63" i="17"/>
  <c r="F63" i="17"/>
  <c r="E63" i="17"/>
  <c r="AK58" i="17"/>
  <c r="Z58" i="17"/>
  <c r="O58" i="17"/>
  <c r="D58" i="17"/>
  <c r="AQ56" i="17"/>
  <c r="AL56" i="17"/>
  <c r="AF56" i="17"/>
  <c r="AA56" i="17"/>
  <c r="U56" i="17"/>
  <c r="Q56" i="17"/>
  <c r="P56" i="17"/>
  <c r="J56" i="17"/>
  <c r="F56" i="17"/>
  <c r="E56" i="17"/>
  <c r="AQ55" i="17"/>
  <c r="AL55" i="17"/>
  <c r="AF55" i="17"/>
  <c r="AA55" i="17"/>
  <c r="U55" i="17"/>
  <c r="Q55" i="17"/>
  <c r="P55" i="17"/>
  <c r="J55" i="17"/>
  <c r="F55" i="17"/>
  <c r="E55" i="17"/>
  <c r="AQ54" i="17"/>
  <c r="AL54" i="17"/>
  <c r="AF54" i="17"/>
  <c r="AA54" i="17"/>
  <c r="U54" i="17"/>
  <c r="Q54" i="17"/>
  <c r="P54" i="17"/>
  <c r="J54" i="17"/>
  <c r="F54" i="17"/>
  <c r="E54" i="17"/>
  <c r="AQ53" i="17"/>
  <c r="AL53" i="17"/>
  <c r="AF53" i="17"/>
  <c r="AA53" i="17"/>
  <c r="U53" i="17"/>
  <c r="Q53" i="17"/>
  <c r="P53" i="17"/>
  <c r="J53" i="17"/>
  <c r="F53" i="17"/>
  <c r="E53" i="17"/>
  <c r="AQ52" i="17"/>
  <c r="AL52" i="17"/>
  <c r="AF52" i="17"/>
  <c r="AA52" i="17"/>
  <c r="U52" i="17"/>
  <c r="Q52" i="17"/>
  <c r="P52" i="17"/>
  <c r="J52" i="17"/>
  <c r="F52" i="17"/>
  <c r="E52" i="17"/>
  <c r="AQ51" i="17"/>
  <c r="AL51" i="17"/>
  <c r="AF51" i="17"/>
  <c r="AA51" i="17"/>
  <c r="U51" i="17"/>
  <c r="Q51" i="17"/>
  <c r="P51" i="17"/>
  <c r="J51" i="17"/>
  <c r="F51" i="17"/>
  <c r="E51" i="17"/>
  <c r="AQ50" i="17"/>
  <c r="AL50" i="17"/>
  <c r="AF50" i="17"/>
  <c r="AA50" i="17"/>
  <c r="U50" i="17"/>
  <c r="Q50" i="17"/>
  <c r="P50" i="17"/>
  <c r="J50" i="17"/>
  <c r="F50" i="17"/>
  <c r="E50" i="17"/>
  <c r="AQ49" i="17"/>
  <c r="AL49" i="17"/>
  <c r="AF49" i="17"/>
  <c r="AA49" i="17"/>
  <c r="U49" i="17"/>
  <c r="Q49" i="17"/>
  <c r="P49" i="17"/>
  <c r="J49" i="17"/>
  <c r="F49" i="17"/>
  <c r="E49" i="17"/>
  <c r="AQ48" i="17"/>
  <c r="AL48" i="17"/>
  <c r="AF48" i="17"/>
  <c r="AA48" i="17"/>
  <c r="U48" i="17"/>
  <c r="Q48" i="17"/>
  <c r="P48" i="17"/>
  <c r="J48" i="17"/>
  <c r="F48" i="17"/>
  <c r="E48" i="17"/>
  <c r="AQ47" i="17"/>
  <c r="AL47" i="17"/>
  <c r="AF47" i="17"/>
  <c r="AA47" i="17"/>
  <c r="U47" i="17"/>
  <c r="Q47" i="17"/>
  <c r="P47" i="17"/>
  <c r="J47" i="17"/>
  <c r="F47" i="17"/>
  <c r="E47" i="17"/>
  <c r="AO39" i="17"/>
  <c r="AD39" i="17"/>
  <c r="S39" i="17"/>
  <c r="H39" i="17"/>
  <c r="AQ35" i="17"/>
  <c r="AO35" i="17"/>
  <c r="AL35" i="17"/>
  <c r="AJ35" i="17"/>
  <c r="AF35" i="17"/>
  <c r="AD35" i="17"/>
  <c r="AA35" i="17"/>
  <c r="Y35" i="17"/>
  <c r="U35" i="17"/>
  <c r="S35" i="17"/>
  <c r="P35" i="17"/>
  <c r="N35" i="17"/>
  <c r="J35" i="17"/>
  <c r="H35" i="17"/>
  <c r="E35" i="17"/>
  <c r="C35" i="17"/>
  <c r="AQ34" i="17"/>
  <c r="AO34" i="17"/>
  <c r="AL34" i="17"/>
  <c r="AJ34" i="17"/>
  <c r="AF34" i="17"/>
  <c r="AD34" i="17"/>
  <c r="AA34" i="17"/>
  <c r="Y34" i="17"/>
  <c r="U34" i="17"/>
  <c r="S34" i="17"/>
  <c r="P34" i="17"/>
  <c r="N34" i="17"/>
  <c r="J34" i="17"/>
  <c r="H34" i="17"/>
  <c r="E34" i="17"/>
  <c r="C34" i="17"/>
  <c r="AQ33" i="17"/>
  <c r="AO33" i="17"/>
  <c r="AL33" i="17"/>
  <c r="AJ33" i="17"/>
  <c r="AF33" i="17"/>
  <c r="AD33" i="17"/>
  <c r="AA33" i="17"/>
  <c r="Y33" i="17"/>
  <c r="U33" i="17"/>
  <c r="S33" i="17"/>
  <c r="P33" i="17"/>
  <c r="N33" i="17"/>
  <c r="J33" i="17"/>
  <c r="H33" i="17"/>
  <c r="E33" i="17"/>
  <c r="C33" i="17"/>
  <c r="AK30" i="17"/>
  <c r="Z30" i="17"/>
  <c r="O30" i="17"/>
  <c r="E30" i="17"/>
  <c r="D30" i="17"/>
  <c r="AL29" i="17"/>
  <c r="AJ29" i="17"/>
  <c r="AJ72" i="17" s="1"/>
  <c r="AA29" i="17"/>
  <c r="Y29" i="17"/>
  <c r="Y56" i="17" s="1"/>
  <c r="P29" i="17"/>
  <c r="N29" i="17"/>
  <c r="N88" i="17" s="1"/>
  <c r="C29" i="17"/>
  <c r="C88" i="17" s="1"/>
  <c r="AL28" i="17"/>
  <c r="AJ28" i="17"/>
  <c r="AJ71" i="17" s="1"/>
  <c r="AA28" i="17"/>
  <c r="Y28" i="17"/>
  <c r="Y71" i="17" s="1"/>
  <c r="P28" i="17"/>
  <c r="N28" i="17"/>
  <c r="N71" i="17" s="1"/>
  <c r="C28" i="17"/>
  <c r="C71" i="17" s="1"/>
  <c r="AL27" i="17"/>
  <c r="AJ27" i="17"/>
  <c r="AJ86" i="17" s="1"/>
  <c r="AI27" i="17"/>
  <c r="AI54" i="17" s="1"/>
  <c r="AI70" i="17" s="1"/>
  <c r="AI86" i="17" s="1"/>
  <c r="AA27" i="17"/>
  <c r="Y27" i="17"/>
  <c r="Y86" i="17" s="1"/>
  <c r="X27" i="17"/>
  <c r="AD16" i="17" s="1"/>
  <c r="P27" i="17"/>
  <c r="N27" i="17"/>
  <c r="N86" i="17" s="1"/>
  <c r="M27" i="17"/>
  <c r="M54" i="17" s="1"/>
  <c r="M70" i="17" s="1"/>
  <c r="M86" i="17" s="1"/>
  <c r="C27" i="17"/>
  <c r="C86" i="17" s="1"/>
  <c r="B27" i="17"/>
  <c r="B54" i="17" s="1"/>
  <c r="B70" i="17" s="1"/>
  <c r="B86" i="17" s="1"/>
  <c r="AL26" i="17"/>
  <c r="AJ26" i="17"/>
  <c r="AJ53" i="17" s="1"/>
  <c r="AA26" i="17"/>
  <c r="Y26" i="17"/>
  <c r="Y69" i="17" s="1"/>
  <c r="P26" i="17"/>
  <c r="N26" i="17"/>
  <c r="N69" i="17" s="1"/>
  <c r="C26" i="17"/>
  <c r="C53" i="17" s="1"/>
  <c r="AL25" i="17"/>
  <c r="AJ25" i="17"/>
  <c r="AJ84" i="17" s="1"/>
  <c r="AI25" i="17"/>
  <c r="AI52" i="17" s="1"/>
  <c r="AI68" i="17" s="1"/>
  <c r="AI84" i="17" s="1"/>
  <c r="AA25" i="17"/>
  <c r="Y25" i="17"/>
  <c r="Y84" i="17" s="1"/>
  <c r="X25" i="17"/>
  <c r="X52" i="17" s="1"/>
  <c r="X68" i="17" s="1"/>
  <c r="X84" i="17" s="1"/>
  <c r="P25" i="17"/>
  <c r="N25" i="17"/>
  <c r="N84" i="17" s="1"/>
  <c r="M25" i="17"/>
  <c r="M52" i="17" s="1"/>
  <c r="M68" i="17" s="1"/>
  <c r="M84" i="17" s="1"/>
  <c r="C25" i="17"/>
  <c r="C84" i="17" s="1"/>
  <c r="B25" i="17"/>
  <c r="B52" i="17" s="1"/>
  <c r="B68" i="17" s="1"/>
  <c r="B84" i="17" s="1"/>
  <c r="AL24" i="17"/>
  <c r="AJ24" i="17"/>
  <c r="AJ67" i="17" s="1"/>
  <c r="AA24" i="17"/>
  <c r="Y24" i="17"/>
  <c r="Y67" i="17" s="1"/>
  <c r="P24" i="17"/>
  <c r="N24" i="17"/>
  <c r="N67" i="17" s="1"/>
  <c r="C24" i="17"/>
  <c r="C67" i="17" s="1"/>
  <c r="AL23" i="17"/>
  <c r="AJ23" i="17"/>
  <c r="AJ66" i="17" s="1"/>
  <c r="AA23" i="17"/>
  <c r="Y23" i="17"/>
  <c r="Y82" i="17" s="1"/>
  <c r="P23" i="17"/>
  <c r="N23" i="17"/>
  <c r="N82" i="17" s="1"/>
  <c r="C23" i="17"/>
  <c r="C66" i="17" s="1"/>
  <c r="AL22" i="17"/>
  <c r="AJ22" i="17"/>
  <c r="AJ81" i="17" s="1"/>
  <c r="AI22" i="17"/>
  <c r="AI49" i="17" s="1"/>
  <c r="AI65" i="17" s="1"/>
  <c r="AI81" i="17" s="1"/>
  <c r="AA22" i="17"/>
  <c r="Y22" i="17"/>
  <c r="Y81" i="17" s="1"/>
  <c r="X22" i="17"/>
  <c r="X49" i="17" s="1"/>
  <c r="X65" i="17" s="1"/>
  <c r="X81" i="17" s="1"/>
  <c r="P22" i="17"/>
  <c r="N22" i="17"/>
  <c r="N81" i="17" s="1"/>
  <c r="M22" i="17"/>
  <c r="M49" i="17" s="1"/>
  <c r="M65" i="17" s="1"/>
  <c r="M81" i="17" s="1"/>
  <c r="C22" i="17"/>
  <c r="C81" i="17" s="1"/>
  <c r="B22" i="17"/>
  <c r="H14" i="17" s="1"/>
  <c r="AL21" i="17"/>
  <c r="AJ21" i="17"/>
  <c r="AJ80" i="17" s="1"/>
  <c r="AA21" i="17"/>
  <c r="Y21" i="17"/>
  <c r="Y80" i="17" s="1"/>
  <c r="P21" i="17"/>
  <c r="N21" i="17"/>
  <c r="N64" i="17" s="1"/>
  <c r="C21" i="17"/>
  <c r="C64" i="17" s="1"/>
  <c r="AL20" i="17"/>
  <c r="AJ20" i="17"/>
  <c r="AJ79" i="17" s="1"/>
  <c r="AI20" i="17"/>
  <c r="AI47" i="17" s="1"/>
  <c r="AI63" i="17" s="1"/>
  <c r="AI79" i="17" s="1"/>
  <c r="AA20" i="17"/>
  <c r="Y20" i="17"/>
  <c r="Y79" i="17" s="1"/>
  <c r="X20" i="17"/>
  <c r="X47" i="17" s="1"/>
  <c r="X63" i="17" s="1"/>
  <c r="X79" i="17" s="1"/>
  <c r="P20" i="17"/>
  <c r="N20" i="17"/>
  <c r="N79" i="17" s="1"/>
  <c r="M20" i="17"/>
  <c r="M47" i="17" s="1"/>
  <c r="M63" i="17" s="1"/>
  <c r="M79" i="17" s="1"/>
  <c r="C20" i="17"/>
  <c r="C79" i="17" s="1"/>
  <c r="B20" i="17"/>
  <c r="B47" i="17" s="1"/>
  <c r="B63" i="17" s="1"/>
  <c r="B79" i="17" s="1"/>
  <c r="AM17" i="17"/>
  <c r="AB17" i="17"/>
  <c r="Q17" i="17"/>
  <c r="F17" i="17"/>
  <c r="AN16" i="17"/>
  <c r="AC16" i="17"/>
  <c r="R16" i="17"/>
  <c r="G16" i="17"/>
  <c r="AN15" i="17"/>
  <c r="AC15" i="17"/>
  <c r="R15" i="17"/>
  <c r="G15" i="17"/>
  <c r="AN14" i="17"/>
  <c r="AD14" i="17"/>
  <c r="AC14" i="17"/>
  <c r="R14" i="17"/>
  <c r="G14" i="17"/>
  <c r="AN13" i="17"/>
  <c r="AC13" i="17"/>
  <c r="R13" i="17"/>
  <c r="G13" i="17"/>
  <c r="AN12" i="17"/>
  <c r="AC12" i="17"/>
  <c r="R12" i="17"/>
  <c r="G12" i="17"/>
  <c r="AN11" i="17"/>
  <c r="AC11" i="17"/>
  <c r="R11" i="17"/>
  <c r="G11" i="17"/>
  <c r="AN10" i="17"/>
  <c r="AC10" i="17"/>
  <c r="R10" i="17"/>
  <c r="G10" i="17"/>
  <c r="AN9" i="17"/>
  <c r="AC9" i="17"/>
  <c r="R9" i="17"/>
  <c r="G9" i="17"/>
  <c r="AN8" i="17"/>
  <c r="AC8" i="17"/>
  <c r="R8" i="17"/>
  <c r="G8" i="17"/>
  <c r="AN7" i="17"/>
  <c r="AC7" i="17"/>
  <c r="R7" i="17"/>
  <c r="G7" i="17"/>
  <c r="AO4" i="17"/>
  <c r="AN4" i="17"/>
  <c r="AM4" i="17"/>
  <c r="AL4" i="17"/>
  <c r="AD4" i="17"/>
  <c r="AC4" i="17"/>
  <c r="AB4" i="17"/>
  <c r="AA4" i="17"/>
  <c r="S4" i="17"/>
  <c r="R4" i="17"/>
  <c r="Q4" i="17"/>
  <c r="P4" i="17"/>
  <c r="H4" i="17"/>
  <c r="G4" i="17"/>
  <c r="F4" i="17"/>
  <c r="E4" i="17"/>
  <c r="AN16" i="12"/>
  <c r="AN15" i="12"/>
  <c r="AN14" i="12"/>
  <c r="AN13" i="12"/>
  <c r="AN12" i="12"/>
  <c r="AN11" i="12"/>
  <c r="AN10" i="12"/>
  <c r="AN9" i="12"/>
  <c r="AN8" i="12"/>
  <c r="AN7" i="12"/>
  <c r="AC16" i="12"/>
  <c r="AC15" i="12"/>
  <c r="AC14" i="12"/>
  <c r="AC13" i="12"/>
  <c r="AC12" i="12"/>
  <c r="AC11" i="12"/>
  <c r="AC10" i="12"/>
  <c r="AC9" i="12"/>
  <c r="AC8" i="12"/>
  <c r="AC7" i="12"/>
  <c r="R16" i="12"/>
  <c r="R15" i="12"/>
  <c r="R14" i="12"/>
  <c r="R13" i="12"/>
  <c r="R12" i="12"/>
  <c r="R11" i="12"/>
  <c r="R10" i="12"/>
  <c r="R9" i="12"/>
  <c r="R8" i="12"/>
  <c r="R7" i="12"/>
  <c r="G16" i="12"/>
  <c r="G15" i="12"/>
  <c r="G14" i="12"/>
  <c r="G13" i="12"/>
  <c r="G12" i="12"/>
  <c r="G11" i="12"/>
  <c r="G10" i="12"/>
  <c r="G9" i="12"/>
  <c r="G8" i="12"/>
  <c r="G7" i="12"/>
  <c r="S16" i="17" l="1"/>
  <c r="H15" i="17"/>
  <c r="AO15" i="17"/>
  <c r="S15" i="17"/>
  <c r="AJ65" i="17"/>
  <c r="H16" i="17"/>
  <c r="AJ83" i="17"/>
  <c r="AD13" i="17"/>
  <c r="AO16" i="17"/>
  <c r="AJ47" i="17"/>
  <c r="AJ55" i="17"/>
  <c r="AJ85" i="17"/>
  <c r="AJ49" i="17"/>
  <c r="N53" i="17"/>
  <c r="Y53" i="17"/>
  <c r="AJ63" i="17"/>
  <c r="AJ87" i="17"/>
  <c r="H13" i="17"/>
  <c r="S14" i="17"/>
  <c r="AJ48" i="17"/>
  <c r="C55" i="17"/>
  <c r="N55" i="17"/>
  <c r="Y55" i="17"/>
  <c r="AJ56" i="17"/>
  <c r="AJ64" i="17"/>
  <c r="AJ68" i="17"/>
  <c r="C72" i="17"/>
  <c r="N72" i="17"/>
  <c r="C80" i="17"/>
  <c r="N80" i="17"/>
  <c r="C82" i="17"/>
  <c r="C83" i="17"/>
  <c r="N83" i="17"/>
  <c r="Y83" i="17"/>
  <c r="N85" i="17"/>
  <c r="Y85" i="17"/>
  <c r="C87" i="17"/>
  <c r="N87" i="17"/>
  <c r="Y87" i="17"/>
  <c r="AJ88" i="17"/>
  <c r="AO13" i="17"/>
  <c r="AD15" i="17"/>
  <c r="Y50" i="17"/>
  <c r="AJ51" i="17"/>
  <c r="AJ52" i="17"/>
  <c r="Y66" i="17"/>
  <c r="AJ69" i="17"/>
  <c r="C48" i="17"/>
  <c r="N48" i="17"/>
  <c r="C50" i="17"/>
  <c r="C51" i="17"/>
  <c r="N51" i="17"/>
  <c r="Y51" i="17"/>
  <c r="C56" i="17"/>
  <c r="N56" i="17"/>
  <c r="AA30" i="17"/>
  <c r="AL30" i="17"/>
  <c r="AP4" i="17"/>
  <c r="AE4" i="17"/>
  <c r="T4" i="17"/>
  <c r="P30" i="17"/>
  <c r="I4" i="17"/>
  <c r="Y48" i="17"/>
  <c r="AJ50" i="17"/>
  <c r="AJ54" i="17"/>
  <c r="Y64" i="17"/>
  <c r="C69" i="17"/>
  <c r="Y72" i="17"/>
  <c r="AJ82" i="17"/>
  <c r="C85" i="17"/>
  <c r="Y88" i="17"/>
  <c r="S13" i="17"/>
  <c r="AO14" i="17"/>
  <c r="C47" i="17"/>
  <c r="C49" i="17"/>
  <c r="C52" i="17"/>
  <c r="C54" i="17"/>
  <c r="C63" i="17"/>
  <c r="C65" i="17"/>
  <c r="C68" i="17"/>
  <c r="C70" i="17"/>
  <c r="N47" i="17"/>
  <c r="N49" i="17"/>
  <c r="N52" i="17"/>
  <c r="N54" i="17"/>
  <c r="X54" i="17"/>
  <c r="X70" i="17" s="1"/>
  <c r="X86" i="17" s="1"/>
  <c r="N63" i="17"/>
  <c r="N65" i="17"/>
  <c r="N68" i="17"/>
  <c r="N70" i="17"/>
  <c r="B49" i="17"/>
  <c r="B65" i="17" s="1"/>
  <c r="B81" i="17" s="1"/>
  <c r="N50" i="17"/>
  <c r="N66" i="17"/>
  <c r="AJ70" i="17"/>
  <c r="Y47" i="17"/>
  <c r="Y49" i="17"/>
  <c r="Y52" i="17"/>
  <c r="Y54" i="17"/>
  <c r="Y63" i="17"/>
  <c r="Y65" i="17"/>
  <c r="Y68" i="17"/>
  <c r="Y70" i="17"/>
  <c r="AQ35" i="12"/>
  <c r="AO35" i="12"/>
  <c r="AL35" i="12"/>
  <c r="AJ35" i="12"/>
  <c r="AF35" i="12"/>
  <c r="AD35" i="12"/>
  <c r="AA35" i="12"/>
  <c r="Y35" i="12"/>
  <c r="U35" i="12"/>
  <c r="S35" i="12"/>
  <c r="P35" i="12"/>
  <c r="N35" i="12"/>
  <c r="J35" i="12"/>
  <c r="H35" i="12"/>
  <c r="E35" i="12"/>
  <c r="C35" i="12"/>
  <c r="AQ34" i="12"/>
  <c r="AO34" i="12"/>
  <c r="AL34" i="12"/>
  <c r="AJ34" i="12"/>
  <c r="AF34" i="12"/>
  <c r="AD34" i="12"/>
  <c r="AA34" i="12"/>
  <c r="Y34" i="12"/>
  <c r="U34" i="12"/>
  <c r="S34" i="12"/>
  <c r="P34" i="12"/>
  <c r="N34" i="12"/>
  <c r="J34" i="12"/>
  <c r="H34" i="12"/>
  <c r="E34" i="12"/>
  <c r="C34" i="12"/>
  <c r="AQ33" i="12"/>
  <c r="AO33" i="12"/>
  <c r="AL33" i="12"/>
  <c r="AJ33" i="12"/>
  <c r="AF33" i="12"/>
  <c r="AD33" i="12"/>
  <c r="AA33" i="12"/>
  <c r="Y33" i="12"/>
  <c r="U33" i="12"/>
  <c r="S33" i="12"/>
  <c r="P33" i="12"/>
  <c r="N33" i="12"/>
  <c r="J33" i="12"/>
  <c r="H33" i="12"/>
  <c r="E33" i="12"/>
  <c r="C33" i="12"/>
  <c r="AY16" i="8"/>
  <c r="AY15" i="8"/>
  <c r="AY14" i="8"/>
  <c r="AY13" i="8"/>
  <c r="AY12" i="8"/>
  <c r="AY11" i="8"/>
  <c r="AY10" i="8"/>
  <c r="AY9" i="8"/>
  <c r="AY8" i="8"/>
  <c r="AY7" i="8"/>
  <c r="AN16" i="8"/>
  <c r="AN15" i="8"/>
  <c r="AN14" i="8"/>
  <c r="AN13" i="8"/>
  <c r="AN12" i="8"/>
  <c r="AN11" i="8"/>
  <c r="AN10" i="8"/>
  <c r="AN9" i="8"/>
  <c r="AN8" i="8"/>
  <c r="AN7" i="8"/>
  <c r="AC16" i="8"/>
  <c r="AC15" i="8"/>
  <c r="AC14" i="8"/>
  <c r="AC13" i="8"/>
  <c r="AC12" i="8"/>
  <c r="AC11" i="8"/>
  <c r="AC10" i="8"/>
  <c r="AC9" i="8"/>
  <c r="AC8" i="8"/>
  <c r="AC7" i="8"/>
  <c r="R16" i="8"/>
  <c r="R15" i="8"/>
  <c r="R14" i="8"/>
  <c r="R13" i="8"/>
  <c r="R12" i="8"/>
  <c r="R11" i="8"/>
  <c r="R10" i="8"/>
  <c r="R9" i="8"/>
  <c r="R8" i="8"/>
  <c r="R7" i="8"/>
  <c r="G16" i="8"/>
  <c r="G15" i="8"/>
  <c r="G14" i="8"/>
  <c r="G13" i="8"/>
  <c r="G12" i="8"/>
  <c r="G11" i="8"/>
  <c r="G10" i="8"/>
  <c r="G9" i="8"/>
  <c r="G8" i="8"/>
  <c r="G7" i="8"/>
  <c r="BB35" i="8"/>
  <c r="AZ35" i="8"/>
  <c r="BB34" i="8"/>
  <c r="AZ34" i="8"/>
  <c r="BB33" i="8"/>
  <c r="AZ33" i="8"/>
  <c r="AQ35" i="8"/>
  <c r="AO35" i="8"/>
  <c r="AQ34" i="8"/>
  <c r="AO34" i="8"/>
  <c r="AQ33" i="8"/>
  <c r="AO33" i="8"/>
  <c r="AF35" i="8"/>
  <c r="AD35" i="8"/>
  <c r="AF34" i="8"/>
  <c r="AD34" i="8"/>
  <c r="AF33" i="8"/>
  <c r="AD33" i="8"/>
  <c r="U35" i="8"/>
  <c r="S35" i="8"/>
  <c r="U34" i="8"/>
  <c r="S34" i="8"/>
  <c r="U33" i="8"/>
  <c r="S33" i="8"/>
  <c r="J35" i="8"/>
  <c r="J34" i="8"/>
  <c r="J33" i="8"/>
  <c r="H35" i="8"/>
  <c r="H34" i="8"/>
  <c r="H33" i="8"/>
  <c r="AW35" i="8"/>
  <c r="AW34" i="8"/>
  <c r="AW33" i="8"/>
  <c r="AL35" i="8"/>
  <c r="AL34" i="8"/>
  <c r="AL33" i="8"/>
  <c r="AA35" i="8"/>
  <c r="AA34" i="8"/>
  <c r="AA33" i="8"/>
  <c r="P35" i="8"/>
  <c r="P34" i="8"/>
  <c r="P33" i="8"/>
  <c r="E35" i="8"/>
  <c r="E34" i="8"/>
  <c r="E33" i="8"/>
  <c r="AU35" i="8"/>
  <c r="AU34" i="8"/>
  <c r="AU33" i="8"/>
  <c r="AJ35" i="8"/>
  <c r="AJ34" i="8"/>
  <c r="AJ33" i="8"/>
  <c r="Y35" i="8"/>
  <c r="Y34" i="8"/>
  <c r="Y33" i="8"/>
  <c r="N35" i="8"/>
  <c r="N34" i="8"/>
  <c r="N33" i="8"/>
  <c r="C35" i="8"/>
  <c r="C34" i="8"/>
  <c r="C33" i="8"/>
  <c r="AL80" i="12" l="1"/>
  <c r="AL81" i="12"/>
  <c r="AL82" i="12"/>
  <c r="AL83" i="12"/>
  <c r="AL84" i="12"/>
  <c r="AL85" i="12"/>
  <c r="AL86" i="12"/>
  <c r="AL87" i="12"/>
  <c r="AL88" i="12"/>
  <c r="AL79" i="12"/>
  <c r="AL64" i="12"/>
  <c r="AL65" i="12"/>
  <c r="AL66" i="12"/>
  <c r="AL67" i="12"/>
  <c r="AL68" i="12"/>
  <c r="AL69" i="12"/>
  <c r="AL70" i="12"/>
  <c r="AL71" i="12"/>
  <c r="AL72" i="12"/>
  <c r="AL63" i="12"/>
  <c r="AL48" i="12"/>
  <c r="AL49" i="12"/>
  <c r="AL50" i="12"/>
  <c r="AL51" i="12"/>
  <c r="AL52" i="12"/>
  <c r="AL53" i="12"/>
  <c r="AL54" i="12"/>
  <c r="AL55" i="12"/>
  <c r="AL56" i="12"/>
  <c r="AL47" i="12"/>
  <c r="AA80" i="12"/>
  <c r="AA81" i="12"/>
  <c r="AA82" i="12"/>
  <c r="AA83" i="12"/>
  <c r="AA84" i="12"/>
  <c r="AA85" i="12"/>
  <c r="AA86" i="12"/>
  <c r="AA87" i="12"/>
  <c r="AA88" i="12"/>
  <c r="AA79" i="12"/>
  <c r="AA64" i="12"/>
  <c r="AA65" i="12"/>
  <c r="AA66" i="12"/>
  <c r="AA67" i="12"/>
  <c r="AA68" i="12"/>
  <c r="AA69" i="12"/>
  <c r="AA70" i="12"/>
  <c r="AA71" i="12"/>
  <c r="AA72" i="12"/>
  <c r="AA63" i="12"/>
  <c r="AA48" i="12"/>
  <c r="AA49" i="12"/>
  <c r="AA50" i="12"/>
  <c r="AA51" i="12"/>
  <c r="AA52" i="12"/>
  <c r="AA53" i="12"/>
  <c r="AA54" i="12"/>
  <c r="AA55" i="12"/>
  <c r="AA56" i="12"/>
  <c r="AA47" i="12"/>
  <c r="P80" i="12"/>
  <c r="P81" i="12"/>
  <c r="P82" i="12"/>
  <c r="P83" i="12"/>
  <c r="P84" i="12"/>
  <c r="P85" i="12"/>
  <c r="P86" i="12"/>
  <c r="P87" i="12"/>
  <c r="P88" i="12"/>
  <c r="P79" i="12"/>
  <c r="P64" i="12"/>
  <c r="P65" i="12"/>
  <c r="P66" i="12"/>
  <c r="P67" i="12"/>
  <c r="P68" i="12"/>
  <c r="P69" i="12"/>
  <c r="P70" i="12"/>
  <c r="P71" i="12"/>
  <c r="P72" i="12"/>
  <c r="P63" i="12"/>
  <c r="P48" i="12"/>
  <c r="P49" i="12"/>
  <c r="P50" i="12"/>
  <c r="P51" i="12"/>
  <c r="P52" i="12"/>
  <c r="P53" i="12"/>
  <c r="P54" i="12"/>
  <c r="P55" i="12"/>
  <c r="P56" i="12"/>
  <c r="P47" i="12"/>
  <c r="E80" i="12"/>
  <c r="E81" i="12"/>
  <c r="E82" i="12"/>
  <c r="E83" i="12"/>
  <c r="E84" i="12"/>
  <c r="E85" i="12"/>
  <c r="E86" i="12"/>
  <c r="E87" i="12"/>
  <c r="E88" i="12"/>
  <c r="E79" i="12"/>
  <c r="E64" i="12"/>
  <c r="E65" i="12"/>
  <c r="E66" i="12"/>
  <c r="E67" i="12"/>
  <c r="E68" i="12"/>
  <c r="E69" i="12"/>
  <c r="E70" i="12"/>
  <c r="E71" i="12"/>
  <c r="E72" i="12"/>
  <c r="E63" i="12"/>
  <c r="E48" i="12"/>
  <c r="E49" i="12"/>
  <c r="E50" i="12"/>
  <c r="E51" i="12"/>
  <c r="E52" i="12"/>
  <c r="E53" i="12"/>
  <c r="E54" i="12"/>
  <c r="E55" i="12"/>
  <c r="E56" i="12"/>
  <c r="E47" i="12"/>
  <c r="AK90" i="12"/>
  <c r="Z90" i="12"/>
  <c r="O90" i="12"/>
  <c r="D90" i="12"/>
  <c r="AQ88" i="12"/>
  <c r="AF88" i="12"/>
  <c r="U88" i="12"/>
  <c r="Q88" i="12"/>
  <c r="J88" i="12"/>
  <c r="F88" i="12"/>
  <c r="AQ87" i="12"/>
  <c r="AF87" i="12"/>
  <c r="U87" i="12"/>
  <c r="Q87" i="12"/>
  <c r="J87" i="12"/>
  <c r="F87" i="12"/>
  <c r="AQ86" i="12"/>
  <c r="AF86" i="12"/>
  <c r="U86" i="12"/>
  <c r="Q86" i="12"/>
  <c r="J86" i="12"/>
  <c r="F86" i="12"/>
  <c r="AQ85" i="12"/>
  <c r="AF85" i="12"/>
  <c r="U85" i="12"/>
  <c r="Q85" i="12"/>
  <c r="J85" i="12"/>
  <c r="F85" i="12"/>
  <c r="AQ84" i="12"/>
  <c r="AF84" i="12"/>
  <c r="U84" i="12"/>
  <c r="Q84" i="12"/>
  <c r="J84" i="12"/>
  <c r="F84" i="12"/>
  <c r="AQ83" i="12"/>
  <c r="AF83" i="12"/>
  <c r="U83" i="12"/>
  <c r="Q83" i="12"/>
  <c r="J83" i="12"/>
  <c r="F83" i="12"/>
  <c r="AQ82" i="12"/>
  <c r="AF82" i="12"/>
  <c r="U82" i="12"/>
  <c r="Q82" i="12"/>
  <c r="J82" i="12"/>
  <c r="F82" i="12"/>
  <c r="AQ81" i="12"/>
  <c r="AF81" i="12"/>
  <c r="U81" i="12"/>
  <c r="Q81" i="12"/>
  <c r="J81" i="12"/>
  <c r="F81" i="12"/>
  <c r="AQ80" i="12"/>
  <c r="AF80" i="12"/>
  <c r="U80" i="12"/>
  <c r="Q80" i="12"/>
  <c r="J80" i="12"/>
  <c r="F80" i="12"/>
  <c r="AQ79" i="12"/>
  <c r="AF79" i="12"/>
  <c r="U79" i="12"/>
  <c r="Q79" i="12"/>
  <c r="J79" i="12"/>
  <c r="F79" i="12"/>
  <c r="AK74" i="12"/>
  <c r="Z74" i="12"/>
  <c r="O74" i="12"/>
  <c r="D74" i="12"/>
  <c r="AQ72" i="12"/>
  <c r="AF72" i="12"/>
  <c r="U72" i="12"/>
  <c r="Q72" i="12"/>
  <c r="J72" i="12"/>
  <c r="F72" i="12"/>
  <c r="AQ71" i="12"/>
  <c r="AF71" i="12"/>
  <c r="U71" i="12"/>
  <c r="Q71" i="12"/>
  <c r="J71" i="12"/>
  <c r="F71" i="12"/>
  <c r="AQ70" i="12"/>
  <c r="AF70" i="12"/>
  <c r="U70" i="12"/>
  <c r="Q70" i="12"/>
  <c r="J70" i="12"/>
  <c r="F70" i="12"/>
  <c r="AQ69" i="12"/>
  <c r="AF69" i="12"/>
  <c r="U69" i="12"/>
  <c r="Q69" i="12"/>
  <c r="J69" i="12"/>
  <c r="F69" i="12"/>
  <c r="AQ68" i="12"/>
  <c r="AF68" i="12"/>
  <c r="U68" i="12"/>
  <c r="Q68" i="12"/>
  <c r="J68" i="12"/>
  <c r="F68" i="12"/>
  <c r="AQ67" i="12"/>
  <c r="AF67" i="12"/>
  <c r="U67" i="12"/>
  <c r="Q67" i="12"/>
  <c r="J67" i="12"/>
  <c r="F67" i="12"/>
  <c r="AQ66" i="12"/>
  <c r="AF66" i="12"/>
  <c r="U66" i="12"/>
  <c r="Q66" i="12"/>
  <c r="J66" i="12"/>
  <c r="F66" i="12"/>
  <c r="AQ65" i="12"/>
  <c r="AF65" i="12"/>
  <c r="U65" i="12"/>
  <c r="Q65" i="12"/>
  <c r="J65" i="12"/>
  <c r="F65" i="12"/>
  <c r="AQ64" i="12"/>
  <c r="AF64" i="12"/>
  <c r="U64" i="12"/>
  <c r="Q64" i="12"/>
  <c r="J64" i="12"/>
  <c r="F64" i="12"/>
  <c r="AQ63" i="12"/>
  <c r="AF63" i="12"/>
  <c r="U63" i="12"/>
  <c r="Q63" i="12"/>
  <c r="J63" i="12"/>
  <c r="F63" i="12"/>
  <c r="AK58" i="12"/>
  <c r="Z58" i="12"/>
  <c r="O58" i="12"/>
  <c r="D58" i="12"/>
  <c r="AQ56" i="12"/>
  <c r="AF56" i="12"/>
  <c r="U56" i="12"/>
  <c r="Q56" i="12"/>
  <c r="J56" i="12"/>
  <c r="F56" i="12"/>
  <c r="AQ55" i="12"/>
  <c r="AF55" i="12"/>
  <c r="U55" i="12"/>
  <c r="Q55" i="12"/>
  <c r="J55" i="12"/>
  <c r="F55" i="12"/>
  <c r="AQ54" i="12"/>
  <c r="AF54" i="12"/>
  <c r="U54" i="12"/>
  <c r="Q54" i="12"/>
  <c r="J54" i="12"/>
  <c r="F54" i="12"/>
  <c r="AQ53" i="12"/>
  <c r="AF53" i="12"/>
  <c r="U53" i="12"/>
  <c r="Q53" i="12"/>
  <c r="J53" i="12"/>
  <c r="F53" i="12"/>
  <c r="AQ52" i="12"/>
  <c r="AF52" i="12"/>
  <c r="U52" i="12"/>
  <c r="Q52" i="12"/>
  <c r="J52" i="12"/>
  <c r="F52" i="12"/>
  <c r="AQ51" i="12"/>
  <c r="AF51" i="12"/>
  <c r="U51" i="12"/>
  <c r="Q51" i="12"/>
  <c r="J51" i="12"/>
  <c r="F51" i="12"/>
  <c r="AQ50" i="12"/>
  <c r="AF50" i="12"/>
  <c r="U50" i="12"/>
  <c r="Q50" i="12"/>
  <c r="J50" i="12"/>
  <c r="F50" i="12"/>
  <c r="AQ49" i="12"/>
  <c r="AF49" i="12"/>
  <c r="U49" i="12"/>
  <c r="Q49" i="12"/>
  <c r="J49" i="12"/>
  <c r="F49" i="12"/>
  <c r="AQ48" i="12"/>
  <c r="AF48" i="12"/>
  <c r="U48" i="12"/>
  <c r="Q48" i="12"/>
  <c r="J48" i="12"/>
  <c r="F48" i="12"/>
  <c r="AQ47" i="12"/>
  <c r="AF47" i="12"/>
  <c r="U47" i="12"/>
  <c r="Q47" i="12"/>
  <c r="J47" i="12"/>
  <c r="F47" i="12"/>
  <c r="AO39" i="12"/>
  <c r="AD39" i="12"/>
  <c r="S39" i="12"/>
  <c r="H39" i="12"/>
  <c r="AK30" i="12"/>
  <c r="Z30" i="12"/>
  <c r="O30" i="12"/>
  <c r="D30" i="12"/>
  <c r="AL29" i="12"/>
  <c r="AJ29" i="12"/>
  <c r="AJ88" i="12" s="1"/>
  <c r="AA29" i="12"/>
  <c r="Y29" i="12"/>
  <c r="Y88" i="12" s="1"/>
  <c r="P29" i="12"/>
  <c r="N29" i="12"/>
  <c r="N88" i="12" s="1"/>
  <c r="C29" i="12"/>
  <c r="C88" i="12" s="1"/>
  <c r="AL28" i="12"/>
  <c r="AJ28" i="12"/>
  <c r="AJ87" i="12" s="1"/>
  <c r="AA28" i="12"/>
  <c r="Y28" i="12"/>
  <c r="Y87" i="12" s="1"/>
  <c r="P28" i="12"/>
  <c r="N28" i="12"/>
  <c r="N87" i="12" s="1"/>
  <c r="C28" i="12"/>
  <c r="C87" i="12" s="1"/>
  <c r="AL27" i="12"/>
  <c r="AJ27" i="12"/>
  <c r="AJ86" i="12" s="1"/>
  <c r="AI27" i="12"/>
  <c r="AI54" i="12" s="1"/>
  <c r="AI70" i="12" s="1"/>
  <c r="AI86" i="12" s="1"/>
  <c r="AA27" i="12"/>
  <c r="Y27" i="12"/>
  <c r="Y70" i="12" s="1"/>
  <c r="X27" i="12"/>
  <c r="X54" i="12" s="1"/>
  <c r="X70" i="12" s="1"/>
  <c r="X86" i="12" s="1"/>
  <c r="P27" i="12"/>
  <c r="N27" i="12"/>
  <c r="N86" i="12" s="1"/>
  <c r="M27" i="12"/>
  <c r="M54" i="12" s="1"/>
  <c r="M70" i="12" s="1"/>
  <c r="M86" i="12" s="1"/>
  <c r="C27" i="12"/>
  <c r="B27" i="12"/>
  <c r="B54" i="12" s="1"/>
  <c r="B70" i="12" s="1"/>
  <c r="B86" i="12" s="1"/>
  <c r="AL26" i="12"/>
  <c r="AJ26" i="12"/>
  <c r="AJ85" i="12" s="1"/>
  <c r="AA26" i="12"/>
  <c r="Y26" i="12"/>
  <c r="Y85" i="12" s="1"/>
  <c r="P26" i="12"/>
  <c r="N26" i="12"/>
  <c r="N85" i="12" s="1"/>
  <c r="C26" i="12"/>
  <c r="C85" i="12" s="1"/>
  <c r="AL25" i="12"/>
  <c r="AJ25" i="12"/>
  <c r="AJ84" i="12" s="1"/>
  <c r="AI25" i="12"/>
  <c r="AI52" i="12" s="1"/>
  <c r="AI68" i="12" s="1"/>
  <c r="AI84" i="12" s="1"/>
  <c r="AA25" i="12"/>
  <c r="Y25" i="12"/>
  <c r="Y52" i="12" s="1"/>
  <c r="X25" i="12"/>
  <c r="X52" i="12" s="1"/>
  <c r="X68" i="12" s="1"/>
  <c r="X84" i="12" s="1"/>
  <c r="P25" i="12"/>
  <c r="N25" i="12"/>
  <c r="N84" i="12" s="1"/>
  <c r="M25" i="12"/>
  <c r="M52" i="12" s="1"/>
  <c r="M68" i="12" s="1"/>
  <c r="M84" i="12" s="1"/>
  <c r="C25" i="12"/>
  <c r="B25" i="12"/>
  <c r="B52" i="12" s="1"/>
  <c r="B68" i="12" s="1"/>
  <c r="B84" i="12" s="1"/>
  <c r="AL24" i="12"/>
  <c r="AJ24" i="12"/>
  <c r="AJ83" i="12" s="1"/>
  <c r="AA24" i="12"/>
  <c r="Y24" i="12"/>
  <c r="Y51" i="12" s="1"/>
  <c r="P24" i="12"/>
  <c r="N24" i="12"/>
  <c r="N83" i="12" s="1"/>
  <c r="C24" i="12"/>
  <c r="C83" i="12" s="1"/>
  <c r="AL23" i="12"/>
  <c r="AJ23" i="12"/>
  <c r="AJ66" i="12" s="1"/>
  <c r="AA23" i="12"/>
  <c r="Y23" i="12"/>
  <c r="Y82" i="12" s="1"/>
  <c r="P23" i="12"/>
  <c r="N23" i="12"/>
  <c r="N66" i="12" s="1"/>
  <c r="C23" i="12"/>
  <c r="C66" i="12" s="1"/>
  <c r="AL22" i="12"/>
  <c r="AJ22" i="12"/>
  <c r="AJ81" i="12" s="1"/>
  <c r="AI22" i="12"/>
  <c r="AI49" i="12" s="1"/>
  <c r="AI65" i="12" s="1"/>
  <c r="AI81" i="12" s="1"/>
  <c r="AA22" i="12"/>
  <c r="Y22" i="12"/>
  <c r="Y81" i="12" s="1"/>
  <c r="X22" i="12"/>
  <c r="X49" i="12" s="1"/>
  <c r="X65" i="12" s="1"/>
  <c r="X81" i="12" s="1"/>
  <c r="P22" i="12"/>
  <c r="N22" i="12"/>
  <c r="N81" i="12" s="1"/>
  <c r="M22" i="12"/>
  <c r="M49" i="12" s="1"/>
  <c r="M65" i="12" s="1"/>
  <c r="M81" i="12" s="1"/>
  <c r="C22" i="12"/>
  <c r="C81" i="12" s="1"/>
  <c r="B22" i="12"/>
  <c r="B49" i="12" s="1"/>
  <c r="B65" i="12" s="1"/>
  <c r="B81" i="12" s="1"/>
  <c r="AL21" i="12"/>
  <c r="AJ21" i="12"/>
  <c r="AJ80" i="12" s="1"/>
  <c r="AA21" i="12"/>
  <c r="Y21" i="12"/>
  <c r="Y80" i="12" s="1"/>
  <c r="P21" i="12"/>
  <c r="N21" i="12"/>
  <c r="N80" i="12" s="1"/>
  <c r="C21" i="12"/>
  <c r="C64" i="12" s="1"/>
  <c r="AL20" i="12"/>
  <c r="AL30" i="12" s="1"/>
  <c r="AJ20" i="12"/>
  <c r="AJ79" i="12" s="1"/>
  <c r="AI20" i="12"/>
  <c r="AI47" i="12" s="1"/>
  <c r="AI63" i="12" s="1"/>
  <c r="AI79" i="12" s="1"/>
  <c r="AA20" i="12"/>
  <c r="Y20" i="12"/>
  <c r="Y63" i="12" s="1"/>
  <c r="X20" i="12"/>
  <c r="X47" i="12" s="1"/>
  <c r="X63" i="12" s="1"/>
  <c r="X79" i="12" s="1"/>
  <c r="P20" i="12"/>
  <c r="N20" i="12"/>
  <c r="N79" i="12" s="1"/>
  <c r="M20" i="12"/>
  <c r="M47" i="12" s="1"/>
  <c r="M63" i="12" s="1"/>
  <c r="M79" i="12" s="1"/>
  <c r="E30" i="12"/>
  <c r="C20" i="12"/>
  <c r="C79" i="12" s="1"/>
  <c r="B20" i="12"/>
  <c r="B47" i="12" s="1"/>
  <c r="B63" i="12" s="1"/>
  <c r="B79" i="12" s="1"/>
  <c r="AM17" i="12"/>
  <c r="AB17" i="12"/>
  <c r="Q17" i="12"/>
  <c r="F17" i="12"/>
  <c r="AD16" i="12"/>
  <c r="S16" i="12"/>
  <c r="H16" i="12"/>
  <c r="S15" i="12"/>
  <c r="H15" i="12"/>
  <c r="AD14" i="12"/>
  <c r="AD13" i="12"/>
  <c r="H13" i="12"/>
  <c r="AO4" i="12"/>
  <c r="AN4" i="12"/>
  <c r="AM4" i="12"/>
  <c r="AL4" i="12"/>
  <c r="AD4" i="12"/>
  <c r="AC4" i="12"/>
  <c r="AB4" i="12"/>
  <c r="AA4" i="12"/>
  <c r="S4" i="12"/>
  <c r="R4" i="12"/>
  <c r="Q4" i="12"/>
  <c r="P4" i="12"/>
  <c r="H4" i="12"/>
  <c r="G4" i="12"/>
  <c r="F4" i="12"/>
  <c r="E4" i="12"/>
  <c r="AU347" i="2"/>
  <c r="AJ347" i="2"/>
  <c r="Y347" i="2"/>
  <c r="N347" i="2"/>
  <c r="AU290" i="2"/>
  <c r="AJ290" i="2"/>
  <c r="Y290" i="2"/>
  <c r="N290" i="2"/>
  <c r="AU249" i="2"/>
  <c r="AJ249" i="2"/>
  <c r="Y249" i="2"/>
  <c r="N249" i="2"/>
  <c r="AU206" i="2"/>
  <c r="AU205" i="2"/>
  <c r="AJ206" i="2"/>
  <c r="AJ205" i="2"/>
  <c r="Y206" i="2"/>
  <c r="Y205" i="2"/>
  <c r="N206" i="2"/>
  <c r="N205" i="2"/>
  <c r="H14" i="12" l="1"/>
  <c r="N71" i="12"/>
  <c r="AJ49" i="12"/>
  <c r="AJ51" i="12"/>
  <c r="AJ56" i="12"/>
  <c r="AJ65" i="12"/>
  <c r="Y84" i="12"/>
  <c r="N48" i="12"/>
  <c r="AJ67" i="12"/>
  <c r="S14" i="12"/>
  <c r="AD15" i="12"/>
  <c r="N53" i="12"/>
  <c r="N64" i="12"/>
  <c r="AJ54" i="12"/>
  <c r="AJ82" i="12"/>
  <c r="I4" i="12"/>
  <c r="T4" i="12"/>
  <c r="AE4" i="12"/>
  <c r="AP4" i="12"/>
  <c r="AA30" i="12"/>
  <c r="AJ47" i="12"/>
  <c r="N51" i="12"/>
  <c r="AJ52" i="12"/>
  <c r="N56" i="12"/>
  <c r="AJ63" i="12"/>
  <c r="N67" i="12"/>
  <c r="AJ70" i="12"/>
  <c r="AJ72" i="12"/>
  <c r="N82" i="12"/>
  <c r="Y86" i="12"/>
  <c r="P30" i="12"/>
  <c r="AJ50" i="12"/>
  <c r="AJ55" i="12"/>
  <c r="N72" i="12"/>
  <c r="S13" i="12"/>
  <c r="AJ48" i="12"/>
  <c r="N50" i="12"/>
  <c r="AJ53" i="12"/>
  <c r="N55" i="12"/>
  <c r="AJ64" i="12"/>
  <c r="AJ71" i="12"/>
  <c r="C48" i="12"/>
  <c r="Y48" i="12"/>
  <c r="C50" i="12"/>
  <c r="Y50" i="12"/>
  <c r="Y56" i="12"/>
  <c r="C67" i="12"/>
  <c r="Y67" i="12"/>
  <c r="N68" i="12"/>
  <c r="C71" i="12"/>
  <c r="Y71" i="12"/>
  <c r="C72" i="12"/>
  <c r="Y72" i="12"/>
  <c r="C82" i="12"/>
  <c r="C84" i="12"/>
  <c r="C68" i="12"/>
  <c r="C86" i="12"/>
  <c r="C70" i="12"/>
  <c r="C47" i="12"/>
  <c r="C49" i="12"/>
  <c r="C52" i="12"/>
  <c r="C54" i="12"/>
  <c r="C63" i="12"/>
  <c r="C65" i="12"/>
  <c r="Y68" i="12"/>
  <c r="Y79" i="12"/>
  <c r="C51" i="12"/>
  <c r="C53" i="12"/>
  <c r="Y53" i="12"/>
  <c r="Y55" i="12"/>
  <c r="C56" i="12"/>
  <c r="Y64" i="12"/>
  <c r="Y83" i="12"/>
  <c r="N47" i="12"/>
  <c r="N49" i="12"/>
  <c r="N52" i="12"/>
  <c r="N54" i="12"/>
  <c r="N63" i="12"/>
  <c r="N65" i="12"/>
  <c r="AJ68" i="12"/>
  <c r="C69" i="12"/>
  <c r="N69" i="12"/>
  <c r="Y69" i="12"/>
  <c r="AJ69" i="12"/>
  <c r="N70" i="12"/>
  <c r="C80" i="12"/>
  <c r="C55" i="12"/>
  <c r="Y66" i="12"/>
  <c r="AO13" i="12"/>
  <c r="AO14" i="12"/>
  <c r="AO15" i="12"/>
  <c r="AO16" i="12"/>
  <c r="Y47" i="12"/>
  <c r="Y49" i="12"/>
  <c r="Y54" i="12"/>
  <c r="Y65" i="12"/>
  <c r="AV116" i="2"/>
  <c r="AU116" i="2"/>
  <c r="AJ116" i="2"/>
  <c r="AK116" i="2"/>
  <c r="Z116" i="2"/>
  <c r="Y116" i="2"/>
  <c r="N116" i="2"/>
  <c r="AX94" i="2"/>
  <c r="AX93" i="2"/>
  <c r="AX91" i="2"/>
  <c r="AX90" i="2"/>
  <c r="AM94" i="2"/>
  <c r="AM93" i="2"/>
  <c r="AM91" i="2"/>
  <c r="AM90" i="2"/>
  <c r="AB94" i="2"/>
  <c r="AB93" i="2"/>
  <c r="AB91" i="2"/>
  <c r="AB90" i="2"/>
  <c r="Q94" i="2"/>
  <c r="Q93" i="2"/>
  <c r="Q91" i="2"/>
  <c r="Q90" i="2"/>
  <c r="F94" i="2"/>
  <c r="AU99" i="2"/>
  <c r="AU98" i="2"/>
  <c r="AU97" i="2"/>
  <c r="AJ99" i="2"/>
  <c r="AJ98" i="2"/>
  <c r="AJ97" i="2"/>
  <c r="Y99" i="2"/>
  <c r="Y98" i="2"/>
  <c r="Y97" i="2"/>
  <c r="N99" i="2"/>
  <c r="N98" i="2"/>
  <c r="N97" i="2"/>
  <c r="B148" i="8"/>
  <c r="B149" i="8"/>
  <c r="B147" i="8"/>
  <c r="B145" i="8"/>
  <c r="B146" i="8"/>
  <c r="B144" i="8"/>
  <c r="B136" i="8"/>
  <c r="B137" i="8"/>
  <c r="B135" i="8"/>
  <c r="B133" i="8"/>
  <c r="B134" i="8"/>
  <c r="B132" i="8"/>
  <c r="B124" i="8"/>
  <c r="B125" i="8"/>
  <c r="B123" i="8"/>
  <c r="B121" i="8"/>
  <c r="B122" i="8"/>
  <c r="B120" i="8"/>
  <c r="B112" i="8"/>
  <c r="B113" i="8"/>
  <c r="B111" i="8"/>
  <c r="C111" i="8" s="1"/>
  <c r="B109" i="8"/>
  <c r="B110" i="8"/>
  <c r="B108" i="8"/>
  <c r="AU51" i="2"/>
  <c r="AW51" i="2" s="1"/>
  <c r="AJ51" i="2"/>
  <c r="AL51" i="2" s="1"/>
  <c r="Y51" i="2"/>
  <c r="AA51" i="2" s="1"/>
  <c r="N51" i="2"/>
  <c r="P51" i="2" s="1"/>
  <c r="AU50" i="2"/>
  <c r="AW50" i="2" s="1"/>
  <c r="AJ50" i="2"/>
  <c r="AL50" i="2" s="1"/>
  <c r="Y50" i="2"/>
  <c r="AA50" i="2" s="1"/>
  <c r="N50" i="2"/>
  <c r="P50" i="2" s="1"/>
  <c r="AW49" i="2"/>
  <c r="AV49" i="2"/>
  <c r="AU49" i="2"/>
  <c r="AL49" i="2"/>
  <c r="AK49" i="2"/>
  <c r="AJ49" i="2"/>
  <c r="AA49" i="2"/>
  <c r="Z49" i="2"/>
  <c r="Y49" i="2"/>
  <c r="P49" i="2"/>
  <c r="O49" i="2"/>
  <c r="N49" i="2"/>
  <c r="C49" i="2"/>
  <c r="K45" i="2"/>
  <c r="AW29" i="8"/>
  <c r="AW28" i="8"/>
  <c r="AW27" i="8"/>
  <c r="AW26" i="8"/>
  <c r="AW25" i="8"/>
  <c r="AW24" i="8"/>
  <c r="AW23" i="8"/>
  <c r="AW22" i="8"/>
  <c r="AW21" i="8"/>
  <c r="AW20" i="8"/>
  <c r="AL29" i="8"/>
  <c r="AL28" i="8"/>
  <c r="AL27" i="8"/>
  <c r="AL26" i="8"/>
  <c r="AL25" i="8"/>
  <c r="AL24" i="8"/>
  <c r="AL23" i="8"/>
  <c r="AL22" i="8"/>
  <c r="AL21" i="8"/>
  <c r="AL20" i="8"/>
  <c r="AA28" i="8"/>
  <c r="AA29" i="8"/>
  <c r="AA27" i="8"/>
  <c r="AA26" i="8"/>
  <c r="AA25" i="8"/>
  <c r="AA24" i="8"/>
  <c r="AA23" i="8"/>
  <c r="AA22" i="8"/>
  <c r="AA21" i="8"/>
  <c r="AA20" i="8"/>
  <c r="P21" i="8"/>
  <c r="P22" i="8"/>
  <c r="P23" i="8"/>
  <c r="P24" i="8"/>
  <c r="P25" i="8"/>
  <c r="P26" i="8"/>
  <c r="P27" i="8"/>
  <c r="P28" i="8"/>
  <c r="P29" i="8"/>
  <c r="P20" i="8"/>
  <c r="AW30" i="8" l="1"/>
  <c r="AU48" i="2" s="1"/>
  <c r="AL30" i="8"/>
  <c r="AJ48" i="2" s="1"/>
  <c r="P30" i="8"/>
  <c r="N48" i="2" s="1"/>
  <c r="AA30" i="8"/>
  <c r="Y48" i="2" s="1"/>
  <c r="O51" i="2"/>
  <c r="AV51" i="2"/>
  <c r="AK51" i="2"/>
  <c r="Z51" i="2"/>
  <c r="AV50" i="2"/>
  <c r="AK50" i="2"/>
  <c r="Z50" i="2"/>
  <c r="O50" i="2"/>
  <c r="AU17" i="2" l="1"/>
  <c r="AV17" i="2"/>
  <c r="AW17" i="2"/>
  <c r="AU18" i="2"/>
  <c r="AV18" i="2"/>
  <c r="AW18" i="2"/>
  <c r="AU19" i="2"/>
  <c r="AV19" i="2"/>
  <c r="AW19" i="2"/>
  <c r="AU20" i="2"/>
  <c r="AV20" i="2"/>
  <c r="AW20" i="2"/>
  <c r="AU21" i="2"/>
  <c r="AV21" i="2"/>
  <c r="AW21" i="2"/>
  <c r="AU22" i="2"/>
  <c r="AV22" i="2"/>
  <c r="AW22" i="2"/>
  <c r="AU23" i="2"/>
  <c r="AV23" i="2"/>
  <c r="AW23" i="2"/>
  <c r="AU24" i="2"/>
  <c r="AV24" i="2"/>
  <c r="AW24" i="2"/>
  <c r="AU25" i="2"/>
  <c r="AV25" i="2"/>
  <c r="AW25" i="2"/>
  <c r="AV16" i="2"/>
  <c r="AW16" i="2"/>
  <c r="AU16" i="2"/>
  <c r="AJ17" i="2"/>
  <c r="AK17" i="2"/>
  <c r="AL17" i="2"/>
  <c r="AJ18" i="2"/>
  <c r="AK18" i="2"/>
  <c r="AL18" i="2"/>
  <c r="AJ19" i="2"/>
  <c r="AK19" i="2"/>
  <c r="AL19" i="2"/>
  <c r="AJ20" i="2"/>
  <c r="AK20" i="2"/>
  <c r="AL20" i="2"/>
  <c r="AJ21" i="2"/>
  <c r="AK21" i="2"/>
  <c r="AL21" i="2"/>
  <c r="AJ22" i="2"/>
  <c r="AK22" i="2"/>
  <c r="AL22" i="2"/>
  <c r="AJ23" i="2"/>
  <c r="AK23" i="2"/>
  <c r="AL23" i="2"/>
  <c r="AJ24" i="2"/>
  <c r="AK24" i="2"/>
  <c r="AL24" i="2"/>
  <c r="AJ25" i="2"/>
  <c r="AK25" i="2"/>
  <c r="AL25" i="2"/>
  <c r="AK16" i="2"/>
  <c r="AL16" i="2"/>
  <c r="AJ16" i="2"/>
  <c r="Y17" i="2"/>
  <c r="Z17" i="2"/>
  <c r="AA17" i="2"/>
  <c r="Y18" i="2"/>
  <c r="Z18" i="2"/>
  <c r="AA18" i="2"/>
  <c r="Y19" i="2"/>
  <c r="Z19" i="2"/>
  <c r="AA19" i="2"/>
  <c r="Y20" i="2"/>
  <c r="Z20" i="2"/>
  <c r="AA20" i="2"/>
  <c r="Y21" i="2"/>
  <c r="Z21" i="2"/>
  <c r="AA21" i="2"/>
  <c r="Y22" i="2"/>
  <c r="Z22" i="2"/>
  <c r="AA22" i="2"/>
  <c r="Y23" i="2"/>
  <c r="Z23" i="2"/>
  <c r="AA23" i="2"/>
  <c r="Y24" i="2"/>
  <c r="Z24" i="2"/>
  <c r="AA24" i="2"/>
  <c r="Y25" i="2"/>
  <c r="Z25" i="2"/>
  <c r="AA25" i="2"/>
  <c r="Z16" i="2"/>
  <c r="AA16" i="2"/>
  <c r="Y16" i="2"/>
  <c r="C17" i="2"/>
  <c r="D17" i="2"/>
  <c r="E17" i="2"/>
  <c r="C18" i="2"/>
  <c r="D18" i="2"/>
  <c r="E18" i="2"/>
  <c r="C19" i="2"/>
  <c r="D19" i="2"/>
  <c r="E19" i="2"/>
  <c r="C20" i="2"/>
  <c r="D20" i="2"/>
  <c r="E20" i="2"/>
  <c r="C21" i="2"/>
  <c r="D21" i="2"/>
  <c r="E21" i="2"/>
  <c r="C22" i="2"/>
  <c r="D22" i="2"/>
  <c r="E22" i="2"/>
  <c r="C23" i="2"/>
  <c r="D23" i="2"/>
  <c r="E23" i="2"/>
  <c r="C24" i="2"/>
  <c r="D24" i="2"/>
  <c r="E24" i="2"/>
  <c r="C25" i="2"/>
  <c r="D25" i="2"/>
  <c r="E25" i="2"/>
  <c r="D16" i="2"/>
  <c r="E16" i="2"/>
  <c r="C16" i="2"/>
  <c r="N17" i="2"/>
  <c r="O17" i="2"/>
  <c r="P17" i="2"/>
  <c r="N18" i="2"/>
  <c r="O18" i="2"/>
  <c r="P18" i="2"/>
  <c r="N19" i="2"/>
  <c r="O19" i="2"/>
  <c r="P19" i="2"/>
  <c r="N20" i="2"/>
  <c r="O20" i="2"/>
  <c r="P20" i="2"/>
  <c r="N21" i="2"/>
  <c r="O21" i="2"/>
  <c r="P21" i="2"/>
  <c r="N22" i="2"/>
  <c r="O22" i="2"/>
  <c r="P22" i="2"/>
  <c r="N23" i="2"/>
  <c r="O23" i="2"/>
  <c r="P23" i="2"/>
  <c r="N24" i="2"/>
  <c r="O24" i="2"/>
  <c r="P24" i="2"/>
  <c r="N25" i="2"/>
  <c r="O25" i="2"/>
  <c r="P25" i="2"/>
  <c r="O16" i="2"/>
  <c r="P16" i="2"/>
  <c r="N16" i="2"/>
  <c r="AU30" i="2"/>
  <c r="AU31" i="2"/>
  <c r="AU32" i="2"/>
  <c r="AU33" i="2"/>
  <c r="AU34" i="2"/>
  <c r="AU35" i="2"/>
  <c r="AU36" i="2"/>
  <c r="AU37" i="2"/>
  <c r="AU38" i="2"/>
  <c r="AU29" i="2"/>
  <c r="AJ30" i="2"/>
  <c r="AJ31" i="2"/>
  <c r="AJ32" i="2"/>
  <c r="AJ33" i="2"/>
  <c r="AJ34" i="2"/>
  <c r="AJ35" i="2"/>
  <c r="AJ36" i="2"/>
  <c r="AJ37" i="2"/>
  <c r="AJ38" i="2"/>
  <c r="AJ29" i="2"/>
  <c r="Y30" i="2"/>
  <c r="Y31" i="2"/>
  <c r="Y32" i="2"/>
  <c r="Y33" i="2"/>
  <c r="Y34" i="2"/>
  <c r="Y35" i="2"/>
  <c r="Y36" i="2"/>
  <c r="Y37" i="2"/>
  <c r="Y38" i="2"/>
  <c r="Y29" i="2"/>
  <c r="N30" i="2"/>
  <c r="N31" i="2"/>
  <c r="N32" i="2"/>
  <c r="N33" i="2"/>
  <c r="N34" i="2"/>
  <c r="N35" i="2"/>
  <c r="N36" i="2"/>
  <c r="N37" i="2"/>
  <c r="N38" i="2"/>
  <c r="N29" i="2"/>
  <c r="J68" i="8" l="1"/>
  <c r="AZ39" i="8"/>
  <c r="AV30" i="8"/>
  <c r="AU29" i="8"/>
  <c r="AU28" i="8"/>
  <c r="AU27" i="8"/>
  <c r="AT27" i="8"/>
  <c r="AU26" i="8"/>
  <c r="AU25" i="8"/>
  <c r="AT25" i="8"/>
  <c r="AU24" i="8"/>
  <c r="AU23" i="8"/>
  <c r="AU22" i="8"/>
  <c r="AT22" i="8"/>
  <c r="AZ14" i="8" s="1"/>
  <c r="AU21" i="8"/>
  <c r="AU20" i="8"/>
  <c r="AT20" i="8"/>
  <c r="AZ13" i="8" s="1"/>
  <c r="AX17" i="8"/>
  <c r="AZ16" i="8"/>
  <c r="AZ15" i="8"/>
  <c r="AO39" i="8"/>
  <c r="AK30" i="8"/>
  <c r="AJ29" i="8"/>
  <c r="AJ28" i="8"/>
  <c r="AJ27" i="8"/>
  <c r="AI27" i="8"/>
  <c r="AJ26" i="8"/>
  <c r="AJ25" i="8"/>
  <c r="AI25" i="8"/>
  <c r="AO15" i="8" s="1"/>
  <c r="AJ24" i="8"/>
  <c r="AJ23" i="8"/>
  <c r="AJ22" i="8"/>
  <c r="AI22" i="8"/>
  <c r="AO14" i="8" s="1"/>
  <c r="AJ21" i="8"/>
  <c r="AJ20" i="8"/>
  <c r="AI20" i="8"/>
  <c r="AO13" i="8" s="1"/>
  <c r="AM17" i="8"/>
  <c r="AO16" i="8"/>
  <c r="AD39" i="8"/>
  <c r="Z30" i="8"/>
  <c r="Y29" i="8"/>
  <c r="Y28" i="8"/>
  <c r="Y27" i="8"/>
  <c r="X27" i="8"/>
  <c r="Y26" i="8"/>
  <c r="Y25" i="8"/>
  <c r="X25" i="8"/>
  <c r="AD15" i="8" s="1"/>
  <c r="Y24" i="8"/>
  <c r="Y23" i="8"/>
  <c r="Y22" i="8"/>
  <c r="X22" i="8"/>
  <c r="AD14" i="8" s="1"/>
  <c r="Y21" i="8"/>
  <c r="Y20" i="8"/>
  <c r="X20" i="8"/>
  <c r="AD13" i="8" s="1"/>
  <c r="AB17" i="8"/>
  <c r="AD16" i="8"/>
  <c r="S39" i="8"/>
  <c r="O30" i="8"/>
  <c r="N29" i="8"/>
  <c r="N28" i="8"/>
  <c r="N27" i="8"/>
  <c r="M27" i="8"/>
  <c r="N26" i="8"/>
  <c r="N25" i="8"/>
  <c r="M25" i="8"/>
  <c r="S15" i="8" s="1"/>
  <c r="N24" i="8"/>
  <c r="N23" i="8"/>
  <c r="N22" i="8"/>
  <c r="M22" i="8"/>
  <c r="S14" i="8" s="1"/>
  <c r="N21" i="8"/>
  <c r="N20" i="8"/>
  <c r="M20" i="8"/>
  <c r="S13" i="8" s="1"/>
  <c r="Q17" i="8"/>
  <c r="S16" i="8"/>
  <c r="C290" i="2" l="1"/>
  <c r="C206" i="2"/>
  <c r="C99" i="2"/>
  <c r="C98" i="2"/>
  <c r="C51" i="2" l="1"/>
  <c r="D51" i="2" s="1"/>
  <c r="C50" i="2"/>
  <c r="D50" i="2" s="1"/>
  <c r="D30" i="8"/>
  <c r="C30" i="2"/>
  <c r="C31" i="2"/>
  <c r="C32" i="2"/>
  <c r="C33" i="2"/>
  <c r="C34" i="2"/>
  <c r="C35" i="2"/>
  <c r="C36" i="2"/>
  <c r="C37" i="2"/>
  <c r="C38" i="2"/>
  <c r="C29" i="2"/>
  <c r="C46" i="2" l="1"/>
  <c r="E51" i="2"/>
  <c r="E50" i="2"/>
  <c r="F17" i="8"/>
  <c r="I31" i="7" l="1"/>
  <c r="I30" i="7"/>
  <c r="I29" i="7"/>
  <c r="I28" i="7"/>
  <c r="F15" i="5" l="1"/>
  <c r="G15" i="5"/>
  <c r="H15" i="5"/>
  <c r="F16" i="5"/>
  <c r="G16" i="5"/>
  <c r="H16" i="5"/>
  <c r="F17" i="5"/>
  <c r="G17" i="5"/>
  <c r="H17" i="5"/>
  <c r="F18" i="5"/>
  <c r="G18" i="5"/>
  <c r="H18" i="5"/>
  <c r="F19" i="5"/>
  <c r="G19" i="5"/>
  <c r="H19" i="5"/>
  <c r="E34" i="5"/>
  <c r="F93" i="2" l="1"/>
  <c r="C97" i="2"/>
  <c r="AW48" i="2" l="1"/>
  <c r="AL48" i="2"/>
  <c r="O48" i="2"/>
  <c r="Z48" i="2"/>
  <c r="Y210" i="2"/>
  <c r="O116" i="2"/>
  <c r="C147" i="8"/>
  <c r="H144" i="8"/>
  <c r="B100" i="8"/>
  <c r="P100" i="8" s="1"/>
  <c r="B101" i="8"/>
  <c r="L101" i="8" s="1"/>
  <c r="B99" i="8"/>
  <c r="B97" i="8"/>
  <c r="B98" i="8"/>
  <c r="C98" i="8" s="1"/>
  <c r="B96" i="8"/>
  <c r="J96" i="8" s="1"/>
  <c r="H100" i="8"/>
  <c r="E98" i="8"/>
  <c r="F98" i="8"/>
  <c r="H98" i="8"/>
  <c r="I98" i="8"/>
  <c r="J98" i="8"/>
  <c r="L98" i="8"/>
  <c r="M98" i="8"/>
  <c r="N98" i="8"/>
  <c r="P98" i="8"/>
  <c r="Q98" i="8"/>
  <c r="D96" i="8"/>
  <c r="E96" i="8"/>
  <c r="H96" i="8"/>
  <c r="M96" i="8"/>
  <c r="N96" i="8"/>
  <c r="C96" i="8"/>
  <c r="I100" i="8" l="1"/>
  <c r="C100" i="8"/>
  <c r="Q100" i="8"/>
  <c r="D100" i="8"/>
  <c r="D98" i="8"/>
  <c r="N100" i="8"/>
  <c r="E100" i="8"/>
  <c r="L100" i="8"/>
  <c r="D101" i="8"/>
  <c r="G100" i="8"/>
  <c r="M100" i="8"/>
  <c r="Q101" i="8"/>
  <c r="G98" i="8"/>
  <c r="F100" i="8"/>
  <c r="J100" i="8"/>
  <c r="F101" i="8"/>
  <c r="J101" i="8"/>
  <c r="F96" i="8"/>
  <c r="R96" i="8"/>
  <c r="O96" i="8"/>
  <c r="S96" i="8"/>
  <c r="O101" i="8"/>
  <c r="S101" i="8"/>
  <c r="R101" i="8"/>
  <c r="G101" i="8"/>
  <c r="M101" i="8"/>
  <c r="R98" i="8"/>
  <c r="S98" i="8"/>
  <c r="O98" i="8"/>
  <c r="R100" i="8"/>
  <c r="S100" i="8"/>
  <c r="O100" i="8"/>
  <c r="Q99" i="8"/>
  <c r="O99" i="8"/>
  <c r="R99" i="8"/>
  <c r="S99" i="8"/>
  <c r="C101" i="8"/>
  <c r="H101" i="8"/>
  <c r="P101" i="8"/>
  <c r="C97" i="8"/>
  <c r="R97" i="8"/>
  <c r="O97" i="8"/>
  <c r="S97" i="8"/>
  <c r="P97" i="8"/>
  <c r="I147" i="8"/>
  <c r="D147" i="8"/>
  <c r="H147" i="8"/>
  <c r="AV48" i="2"/>
  <c r="G149" i="8"/>
  <c r="L149" i="8"/>
  <c r="P149" i="8"/>
  <c r="M149" i="8"/>
  <c r="Q149" i="8"/>
  <c r="N149" i="8"/>
  <c r="R149" i="8"/>
  <c r="O149" i="8"/>
  <c r="S149" i="8"/>
  <c r="L146" i="8"/>
  <c r="P146" i="8"/>
  <c r="M146" i="8"/>
  <c r="Q146" i="8"/>
  <c r="N146" i="8"/>
  <c r="R146" i="8"/>
  <c r="O146" i="8"/>
  <c r="S146" i="8"/>
  <c r="L148" i="8"/>
  <c r="P148" i="8"/>
  <c r="M148" i="8"/>
  <c r="Q148" i="8"/>
  <c r="N148" i="8"/>
  <c r="R148" i="8"/>
  <c r="O148" i="8"/>
  <c r="S148" i="8"/>
  <c r="G145" i="8"/>
  <c r="L145" i="8"/>
  <c r="P145" i="8"/>
  <c r="M145" i="8"/>
  <c r="Q145" i="8"/>
  <c r="N145" i="8"/>
  <c r="R145" i="8"/>
  <c r="O145" i="8"/>
  <c r="S145" i="8"/>
  <c r="L147" i="8"/>
  <c r="P147" i="8"/>
  <c r="M147" i="8"/>
  <c r="Q147" i="8"/>
  <c r="N147" i="8"/>
  <c r="O147" i="8"/>
  <c r="S147" i="8"/>
  <c r="R147" i="8"/>
  <c r="D144" i="8"/>
  <c r="G144" i="8"/>
  <c r="L144" i="8"/>
  <c r="M144" i="8"/>
  <c r="R144" i="8"/>
  <c r="N144" i="8"/>
  <c r="S144" i="8"/>
  <c r="Q144" i="8"/>
  <c r="O144" i="8"/>
  <c r="C144" i="8"/>
  <c r="P144" i="8"/>
  <c r="Q137" i="8"/>
  <c r="R137" i="8"/>
  <c r="S137" i="8"/>
  <c r="P137" i="8"/>
  <c r="Q134" i="8"/>
  <c r="R134" i="8"/>
  <c r="S134" i="8"/>
  <c r="P134" i="8"/>
  <c r="Q136" i="8"/>
  <c r="R136" i="8"/>
  <c r="S136" i="8"/>
  <c r="P136" i="8"/>
  <c r="Q133" i="8"/>
  <c r="R133" i="8"/>
  <c r="S133" i="8"/>
  <c r="P133" i="8"/>
  <c r="N135" i="8"/>
  <c r="Q135" i="8"/>
  <c r="R135" i="8"/>
  <c r="S135" i="8"/>
  <c r="P135" i="8"/>
  <c r="L132" i="8"/>
  <c r="R132" i="8"/>
  <c r="S132" i="8"/>
  <c r="Q132" i="8"/>
  <c r="R125" i="8"/>
  <c r="Q125" i="8"/>
  <c r="S125" i="8"/>
  <c r="P125" i="8"/>
  <c r="N122" i="8"/>
  <c r="R122" i="8"/>
  <c r="S122" i="8"/>
  <c r="P122" i="8"/>
  <c r="Q122" i="8"/>
  <c r="G124" i="8"/>
  <c r="R124" i="8"/>
  <c r="S124" i="8"/>
  <c r="Q124" i="8"/>
  <c r="P124" i="8"/>
  <c r="I121" i="8"/>
  <c r="R121" i="8"/>
  <c r="S121" i="8"/>
  <c r="P121" i="8"/>
  <c r="Q121" i="8"/>
  <c r="R123" i="8"/>
  <c r="Q123" i="8"/>
  <c r="S123" i="8"/>
  <c r="P123" i="8"/>
  <c r="J120" i="8"/>
  <c r="R120" i="8"/>
  <c r="S120" i="8"/>
  <c r="Q113" i="8"/>
  <c r="R113" i="8"/>
  <c r="S113" i="8"/>
  <c r="P113" i="8"/>
  <c r="Q110" i="8"/>
  <c r="R110" i="8"/>
  <c r="S110" i="8"/>
  <c r="P110" i="8"/>
  <c r="Q112" i="8"/>
  <c r="R112" i="8"/>
  <c r="S112" i="8"/>
  <c r="P112" i="8"/>
  <c r="Q109" i="8"/>
  <c r="R109" i="8"/>
  <c r="S109" i="8"/>
  <c r="P109" i="8"/>
  <c r="N111" i="8"/>
  <c r="Q111" i="8"/>
  <c r="R111" i="8"/>
  <c r="S111" i="8"/>
  <c r="P111" i="8"/>
  <c r="P108" i="8"/>
  <c r="R108" i="8"/>
  <c r="S108" i="8"/>
  <c r="Q108" i="8"/>
  <c r="H132" i="8"/>
  <c r="C135" i="8"/>
  <c r="I135" i="8"/>
  <c r="L133" i="8"/>
  <c r="C145" i="8"/>
  <c r="D135" i="8"/>
  <c r="L135" i="8"/>
  <c r="E135" i="8"/>
  <c r="H135" i="8"/>
  <c r="H122" i="8"/>
  <c r="I122" i="8"/>
  <c r="C123" i="8"/>
  <c r="D123" i="8"/>
  <c r="G123" i="8"/>
  <c r="M123" i="8"/>
  <c r="L123" i="8"/>
  <c r="C136" i="8"/>
  <c r="H136" i="8"/>
  <c r="C133" i="8"/>
  <c r="G133" i="8"/>
  <c r="G135" i="8"/>
  <c r="M135" i="8"/>
  <c r="D122" i="8"/>
  <c r="M122" i="8"/>
  <c r="E122" i="8"/>
  <c r="L124" i="8"/>
  <c r="G112" i="8"/>
  <c r="C149" i="8"/>
  <c r="H148" i="8"/>
  <c r="G137" i="8"/>
  <c r="C137" i="8"/>
  <c r="L137" i="8"/>
  <c r="M136" i="8"/>
  <c r="L136" i="8"/>
  <c r="D136" i="8"/>
  <c r="G136" i="8"/>
  <c r="C132" i="8"/>
  <c r="P132" i="8"/>
  <c r="M132" i="8"/>
  <c r="D132" i="8"/>
  <c r="G132" i="8"/>
  <c r="AK48" i="2"/>
  <c r="E121" i="8"/>
  <c r="N121" i="8"/>
  <c r="H123" i="8"/>
  <c r="C112" i="8"/>
  <c r="L112" i="8"/>
  <c r="G111" i="8"/>
  <c r="M111" i="8"/>
  <c r="H111" i="8"/>
  <c r="I111" i="8"/>
  <c r="D111" i="8"/>
  <c r="E111" i="8"/>
  <c r="L111" i="8"/>
  <c r="D108" i="8"/>
  <c r="G108" i="8"/>
  <c r="C108" i="8"/>
  <c r="AA48" i="2"/>
  <c r="P48" i="2"/>
  <c r="P96" i="8"/>
  <c r="I96" i="8"/>
  <c r="C148" i="8"/>
  <c r="E147" i="8"/>
  <c r="D148" i="8"/>
  <c r="G147" i="8"/>
  <c r="G148" i="8"/>
  <c r="J146" i="8"/>
  <c r="E144" i="8"/>
  <c r="I144" i="8"/>
  <c r="D145" i="8"/>
  <c r="H145" i="8"/>
  <c r="C146" i="8"/>
  <c r="G146" i="8"/>
  <c r="F147" i="8"/>
  <c r="J147" i="8"/>
  <c r="E148" i="8"/>
  <c r="I148" i="8"/>
  <c r="D149" i="8"/>
  <c r="H149" i="8"/>
  <c r="F146" i="8"/>
  <c r="F144" i="8"/>
  <c r="J144" i="8"/>
  <c r="E145" i="8"/>
  <c r="I145" i="8"/>
  <c r="D146" i="8"/>
  <c r="H146" i="8"/>
  <c r="F148" i="8"/>
  <c r="J148" i="8"/>
  <c r="E149" i="8"/>
  <c r="I149" i="8"/>
  <c r="F145" i="8"/>
  <c r="J145" i="8"/>
  <c r="E146" i="8"/>
  <c r="I146" i="8"/>
  <c r="F149" i="8"/>
  <c r="J149" i="8"/>
  <c r="F134" i="8"/>
  <c r="E132" i="8"/>
  <c r="I132" i="8"/>
  <c r="N132" i="8"/>
  <c r="D133" i="8"/>
  <c r="H133" i="8"/>
  <c r="M133" i="8"/>
  <c r="C134" i="8"/>
  <c r="G134" i="8"/>
  <c r="L134" i="8"/>
  <c r="F135" i="8"/>
  <c r="J135" i="8"/>
  <c r="O135" i="8"/>
  <c r="E136" i="8"/>
  <c r="I136" i="8"/>
  <c r="N136" i="8"/>
  <c r="D137" i="8"/>
  <c r="H137" i="8"/>
  <c r="M137" i="8"/>
  <c r="J134" i="8"/>
  <c r="O134" i="8"/>
  <c r="F132" i="8"/>
  <c r="J132" i="8"/>
  <c r="O132" i="8"/>
  <c r="E133" i="8"/>
  <c r="I133" i="8"/>
  <c r="N133" i="8"/>
  <c r="D134" i="8"/>
  <c r="H134" i="8"/>
  <c r="M134" i="8"/>
  <c r="F136" i="8"/>
  <c r="J136" i="8"/>
  <c r="O136" i="8"/>
  <c r="E137" i="8"/>
  <c r="I137" i="8"/>
  <c r="N137" i="8"/>
  <c r="F133" i="8"/>
  <c r="J133" i="8"/>
  <c r="O133" i="8"/>
  <c r="E134" i="8"/>
  <c r="I134" i="8"/>
  <c r="N134" i="8"/>
  <c r="F137" i="8"/>
  <c r="J137" i="8"/>
  <c r="O137" i="8"/>
  <c r="C124" i="8"/>
  <c r="D120" i="8"/>
  <c r="H120" i="8"/>
  <c r="M120" i="8"/>
  <c r="Q120" i="8"/>
  <c r="C121" i="8"/>
  <c r="G121" i="8"/>
  <c r="L121" i="8"/>
  <c r="F122" i="8"/>
  <c r="J122" i="8"/>
  <c r="O122" i="8"/>
  <c r="E123" i="8"/>
  <c r="I123" i="8"/>
  <c r="N123" i="8"/>
  <c r="D124" i="8"/>
  <c r="H124" i="8"/>
  <c r="M124" i="8"/>
  <c r="C125" i="8"/>
  <c r="G125" i="8"/>
  <c r="L125" i="8"/>
  <c r="F120" i="8"/>
  <c r="C120" i="8"/>
  <c r="G120" i="8"/>
  <c r="L120" i="8"/>
  <c r="P120" i="8"/>
  <c r="F121" i="8"/>
  <c r="O121" i="8"/>
  <c r="E120" i="8"/>
  <c r="I120" i="8"/>
  <c r="N120" i="8"/>
  <c r="D121" i="8"/>
  <c r="H121" i="8"/>
  <c r="M121" i="8"/>
  <c r="C122" i="8"/>
  <c r="G122" i="8"/>
  <c r="L122" i="8"/>
  <c r="F123" i="8"/>
  <c r="J123" i="8"/>
  <c r="O123" i="8"/>
  <c r="E124" i="8"/>
  <c r="I124" i="8"/>
  <c r="N124" i="8"/>
  <c r="D125" i="8"/>
  <c r="H125" i="8"/>
  <c r="M125" i="8"/>
  <c r="O120" i="8"/>
  <c r="F124" i="8"/>
  <c r="J124" i="8"/>
  <c r="O124" i="8"/>
  <c r="E125" i="8"/>
  <c r="I125" i="8"/>
  <c r="N125" i="8"/>
  <c r="J121" i="8"/>
  <c r="F125" i="8"/>
  <c r="J125" i="8"/>
  <c r="O125" i="8"/>
  <c r="L108" i="8"/>
  <c r="H108" i="8"/>
  <c r="M108" i="8"/>
  <c r="C109" i="8"/>
  <c r="G109" i="8"/>
  <c r="L109" i="8"/>
  <c r="F110" i="8"/>
  <c r="J110" i="8"/>
  <c r="O110" i="8"/>
  <c r="D112" i="8"/>
  <c r="H112" i="8"/>
  <c r="M112" i="8"/>
  <c r="C113" i="8"/>
  <c r="G113" i="8"/>
  <c r="L113" i="8"/>
  <c r="E108" i="8"/>
  <c r="I108" i="8"/>
  <c r="N108" i="8"/>
  <c r="D109" i="8"/>
  <c r="H109" i="8"/>
  <c r="M109" i="8"/>
  <c r="C110" i="8"/>
  <c r="G110" i="8"/>
  <c r="L110" i="8"/>
  <c r="F111" i="8"/>
  <c r="J111" i="8"/>
  <c r="E112" i="8"/>
  <c r="I112" i="8"/>
  <c r="N112" i="8"/>
  <c r="D113" i="8"/>
  <c r="H113" i="8"/>
  <c r="M113" i="8"/>
  <c r="F108" i="8"/>
  <c r="J108" i="8"/>
  <c r="O108" i="8"/>
  <c r="E109" i="8"/>
  <c r="I109" i="8"/>
  <c r="N109" i="8"/>
  <c r="D110" i="8"/>
  <c r="H110" i="8"/>
  <c r="M110" i="8"/>
  <c r="F112" i="8"/>
  <c r="J112" i="8"/>
  <c r="E113" i="8"/>
  <c r="I113" i="8"/>
  <c r="N113" i="8"/>
  <c r="F109" i="8"/>
  <c r="J109" i="8"/>
  <c r="O109" i="8"/>
  <c r="E110" i="8"/>
  <c r="I110" i="8"/>
  <c r="N110" i="8"/>
  <c r="F113" i="8"/>
  <c r="J113" i="8"/>
  <c r="N99" i="8"/>
  <c r="D99" i="8"/>
  <c r="E99" i="8"/>
  <c r="M99" i="8"/>
  <c r="H99" i="8"/>
  <c r="Q96" i="8"/>
  <c r="L96" i="8"/>
  <c r="G96" i="8"/>
  <c r="I99" i="8"/>
  <c r="E101" i="8"/>
  <c r="I101" i="8"/>
  <c r="N101" i="8"/>
  <c r="J97" i="8"/>
  <c r="N97" i="8"/>
  <c r="Q97" i="8"/>
  <c r="I97" i="8"/>
  <c r="F97" i="8"/>
  <c r="E97" i="8"/>
  <c r="M97" i="8"/>
  <c r="H97" i="8"/>
  <c r="D97" i="8"/>
  <c r="L97" i="8"/>
  <c r="G97" i="8"/>
  <c r="F99" i="8"/>
  <c r="J99" i="8"/>
  <c r="P99" i="8"/>
  <c r="C99" i="8"/>
  <c r="G99" i="8"/>
  <c r="L99" i="8"/>
  <c r="AU211" i="2"/>
  <c r="AV211" i="2"/>
  <c r="AW211" i="2"/>
  <c r="AU212" i="2"/>
  <c r="AV212" i="2"/>
  <c r="AW212" i="2"/>
  <c r="AU213" i="2"/>
  <c r="AV213" i="2"/>
  <c r="AW213" i="2"/>
  <c r="AU214" i="2"/>
  <c r="AV214" i="2"/>
  <c r="AW214" i="2"/>
  <c r="AU215" i="2"/>
  <c r="AV215" i="2"/>
  <c r="AW215" i="2"/>
  <c r="AU216" i="2"/>
  <c r="AV216" i="2"/>
  <c r="AW216" i="2"/>
  <c r="AU217" i="2"/>
  <c r="AV217" i="2"/>
  <c r="AW217" i="2"/>
  <c r="AU218" i="2"/>
  <c r="AV218" i="2"/>
  <c r="AW218" i="2"/>
  <c r="AU219" i="2"/>
  <c r="AV219" i="2"/>
  <c r="AW219" i="2"/>
  <c r="AW210" i="2"/>
  <c r="AV210" i="2"/>
  <c r="AU210" i="2"/>
  <c r="AJ211" i="2"/>
  <c r="AK211" i="2"/>
  <c r="AL211" i="2"/>
  <c r="AJ212" i="2"/>
  <c r="AK212" i="2"/>
  <c r="AL212" i="2"/>
  <c r="AJ213" i="2"/>
  <c r="AK213" i="2"/>
  <c r="AL213" i="2"/>
  <c r="AJ214" i="2"/>
  <c r="AK214" i="2"/>
  <c r="AL214" i="2"/>
  <c r="AJ215" i="2"/>
  <c r="AK215" i="2"/>
  <c r="AL215" i="2"/>
  <c r="AJ216" i="2"/>
  <c r="AK216" i="2"/>
  <c r="AL216" i="2"/>
  <c r="AJ217" i="2"/>
  <c r="AK217" i="2"/>
  <c r="AL217" i="2"/>
  <c r="AJ218" i="2"/>
  <c r="AK218" i="2"/>
  <c r="AL218" i="2"/>
  <c r="AJ219" i="2"/>
  <c r="AK219" i="2"/>
  <c r="AL219" i="2"/>
  <c r="AL210" i="2"/>
  <c r="AK210" i="2"/>
  <c r="AJ210" i="2"/>
  <c r="Y211" i="2"/>
  <c r="Z211" i="2"/>
  <c r="AA211" i="2"/>
  <c r="Y212" i="2"/>
  <c r="Z212" i="2"/>
  <c r="AA212" i="2"/>
  <c r="Y213" i="2"/>
  <c r="Z213" i="2"/>
  <c r="AA213" i="2"/>
  <c r="Y214" i="2"/>
  <c r="Z214" i="2"/>
  <c r="AA214" i="2"/>
  <c r="Y215" i="2"/>
  <c r="Z215" i="2"/>
  <c r="AA215" i="2"/>
  <c r="Y216" i="2"/>
  <c r="Z216" i="2"/>
  <c r="AA216" i="2"/>
  <c r="Y217" i="2"/>
  <c r="Z217" i="2"/>
  <c r="AA217" i="2"/>
  <c r="Y218" i="2"/>
  <c r="Z218" i="2"/>
  <c r="AA218" i="2"/>
  <c r="Y219" i="2"/>
  <c r="Z219" i="2"/>
  <c r="AA219" i="2"/>
  <c r="AA210" i="2"/>
  <c r="Z210" i="2"/>
  <c r="O211" i="2"/>
  <c r="P211" i="2"/>
  <c r="O212" i="2"/>
  <c r="P212" i="2"/>
  <c r="O213" i="2"/>
  <c r="P213" i="2"/>
  <c r="O214" i="2"/>
  <c r="P214" i="2"/>
  <c r="O215" i="2"/>
  <c r="P215" i="2"/>
  <c r="O216" i="2"/>
  <c r="P216" i="2"/>
  <c r="O217" i="2"/>
  <c r="P217" i="2"/>
  <c r="O218" i="2"/>
  <c r="P218" i="2"/>
  <c r="O219" i="2"/>
  <c r="P219" i="2"/>
  <c r="P210" i="2"/>
  <c r="O210" i="2"/>
  <c r="L127" i="8" l="1"/>
  <c r="L151" i="8"/>
  <c r="C103" i="8"/>
  <c r="C204" i="2" s="1"/>
  <c r="O103" i="8"/>
  <c r="D103" i="8"/>
  <c r="D204" i="2" s="1"/>
  <c r="H103" i="8"/>
  <c r="D248" i="2" s="1"/>
  <c r="S103" i="8"/>
  <c r="C151" i="8"/>
  <c r="AU204" i="2" s="1"/>
  <c r="P151" i="8"/>
  <c r="C139" i="8"/>
  <c r="AJ204" i="2" s="1"/>
  <c r="D139" i="8"/>
  <c r="AK204" i="2" s="1"/>
  <c r="S139" i="8"/>
  <c r="P139" i="8"/>
  <c r="S151" i="8"/>
  <c r="L139" i="8"/>
  <c r="G139" i="8"/>
  <c r="AJ248" i="2" s="1"/>
  <c r="G127" i="8"/>
  <c r="Y248" i="2" s="1"/>
  <c r="G115" i="8"/>
  <c r="N248" i="2" s="1"/>
  <c r="R103" i="8"/>
  <c r="N103" i="8"/>
  <c r="G151" i="8"/>
  <c r="AU248" i="2" s="1"/>
  <c r="D151" i="8"/>
  <c r="AV204" i="2" s="1"/>
  <c r="M151" i="8"/>
  <c r="H151" i="8"/>
  <c r="AV248" i="2" s="1"/>
  <c r="E151" i="8"/>
  <c r="AW204" i="2" s="1"/>
  <c r="Q151" i="8"/>
  <c r="R151" i="8"/>
  <c r="O151" i="8"/>
  <c r="N151" i="8"/>
  <c r="F151" i="8"/>
  <c r="AX204" i="2" s="1"/>
  <c r="J151" i="8"/>
  <c r="AX248" i="2" s="1"/>
  <c r="I151" i="8"/>
  <c r="AW248" i="2" s="1"/>
  <c r="Q139" i="8"/>
  <c r="M139" i="8"/>
  <c r="I139" i="8"/>
  <c r="AL248" i="2" s="1"/>
  <c r="H139" i="8"/>
  <c r="AK248" i="2" s="1"/>
  <c r="E139" i="8"/>
  <c r="AL204" i="2" s="1"/>
  <c r="O139" i="8"/>
  <c r="R139" i="8"/>
  <c r="F139" i="8"/>
  <c r="AM204" i="2" s="1"/>
  <c r="J139" i="8"/>
  <c r="AM248" i="2" s="1"/>
  <c r="N139" i="8"/>
  <c r="S127" i="8"/>
  <c r="J127" i="8"/>
  <c r="AB248" i="2" s="1"/>
  <c r="E127" i="8"/>
  <c r="AA204" i="2" s="1"/>
  <c r="N127" i="8"/>
  <c r="C127" i="8"/>
  <c r="Y204" i="2" s="1"/>
  <c r="M127" i="8"/>
  <c r="I127" i="8"/>
  <c r="AA248" i="2" s="1"/>
  <c r="P127" i="8"/>
  <c r="H127" i="8"/>
  <c r="Z248" i="2" s="1"/>
  <c r="F127" i="8"/>
  <c r="AB204" i="2" s="1"/>
  <c r="D127" i="8"/>
  <c r="Z204" i="2" s="1"/>
  <c r="Q127" i="8"/>
  <c r="R115" i="8"/>
  <c r="AJ52" i="2" s="1"/>
  <c r="C115" i="8"/>
  <c r="N204" i="2" s="1"/>
  <c r="P115" i="8"/>
  <c r="N52" i="2" s="1"/>
  <c r="D115" i="8"/>
  <c r="O204" i="2" s="1"/>
  <c r="L115" i="8"/>
  <c r="N96" i="2" s="1"/>
  <c r="S115" i="8"/>
  <c r="AU52" i="2" s="1"/>
  <c r="F115" i="8"/>
  <c r="Q204" i="2" s="1"/>
  <c r="N115" i="8"/>
  <c r="M115" i="8"/>
  <c r="Q115" i="8"/>
  <c r="Y52" i="2" s="1"/>
  <c r="O115" i="8"/>
  <c r="I115" i="8"/>
  <c r="P248" i="2" s="1"/>
  <c r="H115" i="8"/>
  <c r="O248" i="2" s="1"/>
  <c r="J115" i="8"/>
  <c r="Q248" i="2" s="1"/>
  <c r="E115" i="8"/>
  <c r="P204" i="2" s="1"/>
  <c r="M103" i="8"/>
  <c r="L103" i="8"/>
  <c r="C96" i="2" s="1"/>
  <c r="E103" i="8"/>
  <c r="E204" i="2" s="1"/>
  <c r="Q103" i="8"/>
  <c r="I103" i="8"/>
  <c r="E248" i="2" s="1"/>
  <c r="F103" i="8"/>
  <c r="F204" i="2" s="1"/>
  <c r="G103" i="8"/>
  <c r="C248" i="2" s="1"/>
  <c r="P103" i="8"/>
  <c r="C52" i="2" s="1"/>
  <c r="J103" i="8"/>
  <c r="F248" i="2" s="1"/>
  <c r="D37" i="3"/>
  <c r="E37" i="3"/>
  <c r="F37" i="3"/>
  <c r="G37" i="3"/>
  <c r="D25" i="3"/>
  <c r="E25" i="3"/>
  <c r="F25" i="3"/>
  <c r="G25" i="3"/>
  <c r="D13" i="3"/>
  <c r="E13" i="3"/>
  <c r="F13" i="3"/>
  <c r="G13" i="3"/>
  <c r="F11" i="5"/>
  <c r="G11" i="5"/>
  <c r="H11" i="5"/>
  <c r="F12" i="5"/>
  <c r="G12" i="5"/>
  <c r="H12" i="5"/>
  <c r="F13" i="5"/>
  <c r="G13" i="5"/>
  <c r="H13" i="5"/>
  <c r="F14" i="5"/>
  <c r="G14" i="5"/>
  <c r="H14" i="5"/>
  <c r="G10" i="5"/>
  <c r="H10" i="5"/>
  <c r="F10" i="5"/>
  <c r="F6" i="1"/>
  <c r="E6" i="1"/>
  <c r="AJ96" i="2" l="1"/>
  <c r="AU96" i="2"/>
  <c r="Y96" i="2"/>
  <c r="AV52" i="2"/>
  <c r="AK52" i="2"/>
  <c r="E52" i="2"/>
  <c r="D52" i="2"/>
  <c r="O52" i="2"/>
  <c r="P52" i="2"/>
  <c r="AW80" i="8"/>
  <c r="AW81" i="8"/>
  <c r="AW82" i="8"/>
  <c r="AW83" i="8"/>
  <c r="AW84" i="8"/>
  <c r="AW85" i="8"/>
  <c r="AW86" i="8"/>
  <c r="AW87" i="8"/>
  <c r="AW88" i="8"/>
  <c r="AW79" i="8"/>
  <c r="AW64" i="8"/>
  <c r="AW65" i="8"/>
  <c r="AW66" i="8"/>
  <c r="AW67" i="8"/>
  <c r="AW68" i="8"/>
  <c r="AW69" i="8"/>
  <c r="AW70" i="8"/>
  <c r="AW71" i="8"/>
  <c r="AW72" i="8"/>
  <c r="AW63" i="8"/>
  <c r="AW48" i="8"/>
  <c r="AW49" i="8"/>
  <c r="AW50" i="8"/>
  <c r="AW51" i="8"/>
  <c r="AW52" i="8"/>
  <c r="AW53" i="8"/>
  <c r="AW54" i="8"/>
  <c r="AW55" i="8"/>
  <c r="AW56" i="8"/>
  <c r="AW47" i="8"/>
  <c r="BB80" i="8"/>
  <c r="BB81" i="8"/>
  <c r="BB82" i="8"/>
  <c r="BB83" i="8"/>
  <c r="BB84" i="8"/>
  <c r="BB85" i="8"/>
  <c r="BB86" i="8"/>
  <c r="BB87" i="8"/>
  <c r="BB88" i="8"/>
  <c r="BB79" i="8"/>
  <c r="BB64" i="8"/>
  <c r="BB65" i="8"/>
  <c r="BB66" i="8"/>
  <c r="BB67" i="8"/>
  <c r="BB68" i="8"/>
  <c r="BB69" i="8"/>
  <c r="BB70" i="8"/>
  <c r="BB71" i="8"/>
  <c r="BB72" i="8"/>
  <c r="BB63" i="8"/>
  <c r="BB48" i="8"/>
  <c r="BB49" i="8"/>
  <c r="BB50" i="8"/>
  <c r="BB51" i="8"/>
  <c r="BB52" i="8"/>
  <c r="BB53" i="8"/>
  <c r="BB54" i="8"/>
  <c r="BB55" i="8"/>
  <c r="BB56" i="8"/>
  <c r="BB47" i="8"/>
  <c r="AW52" i="2" l="1"/>
  <c r="AL52" i="2"/>
  <c r="AA52" i="2"/>
  <c r="Z52" i="2"/>
  <c r="AL80" i="8"/>
  <c r="AL81" i="8"/>
  <c r="AL82" i="8"/>
  <c r="AL83" i="8"/>
  <c r="AL84" i="8"/>
  <c r="AL85" i="8"/>
  <c r="AL86" i="8"/>
  <c r="AL87" i="8"/>
  <c r="AL88" i="8"/>
  <c r="AL79" i="8"/>
  <c r="AL64" i="8"/>
  <c r="AL65" i="8"/>
  <c r="AL66" i="8"/>
  <c r="AL67" i="8"/>
  <c r="AL68" i="8"/>
  <c r="AL69" i="8"/>
  <c r="AL70" i="8"/>
  <c r="AL71" i="8"/>
  <c r="AL72" i="8"/>
  <c r="AL63" i="8"/>
  <c r="AL48" i="8"/>
  <c r="AL49" i="8"/>
  <c r="AL50" i="8"/>
  <c r="AL51" i="8"/>
  <c r="AL52" i="8"/>
  <c r="AL53" i="8"/>
  <c r="AL54" i="8"/>
  <c r="AL55" i="8"/>
  <c r="AL56" i="8"/>
  <c r="AL47" i="8"/>
  <c r="AQ80" i="8"/>
  <c r="AQ81" i="8"/>
  <c r="AQ82" i="8"/>
  <c r="AQ83" i="8"/>
  <c r="AQ84" i="8"/>
  <c r="AQ85" i="8"/>
  <c r="AQ86" i="8"/>
  <c r="AQ87" i="8"/>
  <c r="AQ88" i="8"/>
  <c r="AQ79" i="8"/>
  <c r="AQ64" i="8"/>
  <c r="AQ65" i="8"/>
  <c r="AQ66" i="8"/>
  <c r="AQ67" i="8"/>
  <c r="AQ68" i="8"/>
  <c r="AQ69" i="8"/>
  <c r="AQ70" i="8"/>
  <c r="AQ71" i="8"/>
  <c r="AQ72" i="8"/>
  <c r="AQ63" i="8"/>
  <c r="AQ48" i="8"/>
  <c r="AQ49" i="8"/>
  <c r="AQ50" i="8"/>
  <c r="AQ51" i="8"/>
  <c r="AQ52" i="8"/>
  <c r="AQ53" i="8"/>
  <c r="AQ54" i="8"/>
  <c r="AQ55" i="8"/>
  <c r="AQ56" i="8"/>
  <c r="AQ47" i="8"/>
  <c r="AA80" i="8"/>
  <c r="AA81" i="8"/>
  <c r="AA82" i="8"/>
  <c r="AA83" i="8"/>
  <c r="AA84" i="8"/>
  <c r="AA85" i="8"/>
  <c r="AA86" i="8"/>
  <c r="AA87" i="8"/>
  <c r="AA88" i="8"/>
  <c r="AA79" i="8"/>
  <c r="AA64" i="8"/>
  <c r="AA65" i="8"/>
  <c r="AA66" i="8"/>
  <c r="AA67" i="8"/>
  <c r="AA68" i="8"/>
  <c r="AA69" i="8"/>
  <c r="AA70" i="8"/>
  <c r="AA71" i="8"/>
  <c r="AA72" i="8"/>
  <c r="AA63" i="8"/>
  <c r="AA48" i="8"/>
  <c r="AA49" i="8"/>
  <c r="AA50" i="8"/>
  <c r="AA51" i="8"/>
  <c r="AA52" i="8"/>
  <c r="AA53" i="8"/>
  <c r="AA54" i="8"/>
  <c r="AA55" i="8"/>
  <c r="AA56" i="8"/>
  <c r="AA47" i="8"/>
  <c r="AF48" i="8"/>
  <c r="AF49" i="8"/>
  <c r="AF50" i="8"/>
  <c r="AF51" i="8"/>
  <c r="AF52" i="8"/>
  <c r="AF53" i="8"/>
  <c r="AF54" i="8"/>
  <c r="AF55" i="8"/>
  <c r="AF56" i="8"/>
  <c r="AF47" i="8"/>
  <c r="AF80" i="8"/>
  <c r="AF81" i="8"/>
  <c r="AF82" i="8"/>
  <c r="AF83" i="8"/>
  <c r="AF84" i="8"/>
  <c r="AF85" i="8"/>
  <c r="AF86" i="8"/>
  <c r="AF87" i="8"/>
  <c r="AF88" i="8"/>
  <c r="AF79" i="8"/>
  <c r="AF64" i="8"/>
  <c r="AF65" i="8"/>
  <c r="AF66" i="8"/>
  <c r="AF67" i="8"/>
  <c r="AF68" i="8"/>
  <c r="AF69" i="8"/>
  <c r="AF70" i="8"/>
  <c r="AF71" i="8"/>
  <c r="AF72" i="8"/>
  <c r="AF63" i="8"/>
  <c r="U80" i="8"/>
  <c r="U81" i="8"/>
  <c r="U82" i="8"/>
  <c r="U83" i="8"/>
  <c r="U84" i="8"/>
  <c r="U85" i="8"/>
  <c r="U86" i="8"/>
  <c r="U87" i="8"/>
  <c r="U88" i="8"/>
  <c r="U79" i="8"/>
  <c r="U64" i="8"/>
  <c r="U65" i="8"/>
  <c r="U66" i="8"/>
  <c r="U67" i="8"/>
  <c r="U68" i="8"/>
  <c r="U69" i="8"/>
  <c r="U70" i="8"/>
  <c r="U71" i="8"/>
  <c r="U72" i="8"/>
  <c r="U63" i="8"/>
  <c r="U48" i="8"/>
  <c r="U49" i="8"/>
  <c r="U50" i="8"/>
  <c r="U51" i="8"/>
  <c r="U52" i="8"/>
  <c r="U53" i="8"/>
  <c r="U54" i="8"/>
  <c r="U55" i="8"/>
  <c r="U56" i="8"/>
  <c r="U47" i="8"/>
  <c r="P80" i="8"/>
  <c r="P81" i="8"/>
  <c r="P82" i="8"/>
  <c r="P83" i="8"/>
  <c r="P84" i="8"/>
  <c r="P85" i="8"/>
  <c r="P86" i="8"/>
  <c r="P87" i="8"/>
  <c r="P88" i="8"/>
  <c r="P79" i="8"/>
  <c r="P64" i="8"/>
  <c r="P65" i="8"/>
  <c r="P66" i="8"/>
  <c r="P67" i="8"/>
  <c r="P68" i="8"/>
  <c r="P69" i="8"/>
  <c r="P70" i="8"/>
  <c r="P71" i="8"/>
  <c r="P72" i="8"/>
  <c r="P63" i="8"/>
  <c r="P48" i="8" l="1"/>
  <c r="P49" i="8"/>
  <c r="P50" i="8"/>
  <c r="P51" i="8"/>
  <c r="P52" i="8"/>
  <c r="P53" i="8"/>
  <c r="P54" i="8"/>
  <c r="P55" i="8"/>
  <c r="P56" i="8"/>
  <c r="P47" i="8"/>
  <c r="E80" i="8"/>
  <c r="E81" i="8"/>
  <c r="E82" i="8"/>
  <c r="E83" i="8"/>
  <c r="E84" i="8"/>
  <c r="E85" i="8"/>
  <c r="E86" i="8"/>
  <c r="E87" i="8"/>
  <c r="E88" i="8"/>
  <c r="E79" i="8"/>
  <c r="E64" i="8"/>
  <c r="E65" i="8"/>
  <c r="E66" i="8"/>
  <c r="E67" i="8"/>
  <c r="E68" i="8"/>
  <c r="E69" i="8"/>
  <c r="E70" i="8"/>
  <c r="E71" i="8"/>
  <c r="E72" i="8"/>
  <c r="E63" i="8"/>
  <c r="C125" i="2"/>
  <c r="E48" i="8"/>
  <c r="E49" i="8"/>
  <c r="E50" i="8"/>
  <c r="E51" i="8"/>
  <c r="E52" i="8"/>
  <c r="E53" i="8"/>
  <c r="E54" i="8"/>
  <c r="E55" i="8"/>
  <c r="E56" i="8"/>
  <c r="E47" i="8"/>
  <c r="C44" i="2"/>
  <c r="C45" i="2" s="1"/>
  <c r="M28" i="10" s="1"/>
  <c r="C47" i="2"/>
  <c r="E47" i="2" s="1"/>
  <c r="O30" i="10" s="1"/>
  <c r="N44" i="2"/>
  <c r="N45" i="2" s="1"/>
  <c r="N47" i="2"/>
  <c r="O47" i="2" s="1"/>
  <c r="Y28" i="2"/>
  <c r="Y44" i="2"/>
  <c r="Y45" i="2" s="1"/>
  <c r="AJ28" i="2"/>
  <c r="AJ44" i="2"/>
  <c r="AJ45" i="2" s="1"/>
  <c r="AU28" i="2"/>
  <c r="AU44" i="2"/>
  <c r="AU45" i="2" s="1"/>
  <c r="C205" i="2"/>
  <c r="AC11" i="9" s="1"/>
  <c r="D44" i="2"/>
  <c r="D45" i="2" s="1"/>
  <c r="N28" i="10" s="1"/>
  <c r="O44" i="2"/>
  <c r="O45" i="2" s="1"/>
  <c r="E44" i="2"/>
  <c r="E45" i="2" s="1"/>
  <c r="O28" i="10" s="1"/>
  <c r="P44" i="2"/>
  <c r="P45" i="2" s="1"/>
  <c r="Z28" i="2"/>
  <c r="Z44" i="2"/>
  <c r="Z45" i="2" s="1"/>
  <c r="AA28" i="2"/>
  <c r="AA44" i="2"/>
  <c r="AA45" i="2" s="1"/>
  <c r="AK28" i="2"/>
  <c r="AK44" i="2"/>
  <c r="AK45" i="2" s="1"/>
  <c r="AV28" i="2"/>
  <c r="AV44" i="2"/>
  <c r="AV45" i="2" s="1"/>
  <c r="G36" i="7"/>
  <c r="F36" i="7"/>
  <c r="E36" i="7"/>
  <c r="O64" i="7"/>
  <c r="O63" i="7"/>
  <c r="O61" i="7"/>
  <c r="O60" i="7"/>
  <c r="O59" i="7"/>
  <c r="O58" i="7"/>
  <c r="O57" i="7"/>
  <c r="O56" i="7"/>
  <c r="O55" i="7"/>
  <c r="O54" i="7"/>
  <c r="O53" i="7"/>
  <c r="O52" i="7"/>
  <c r="O51" i="7"/>
  <c r="B31" i="7"/>
  <c r="B30" i="7"/>
  <c r="B29" i="7"/>
  <c r="B28" i="7"/>
  <c r="I26" i="10"/>
  <c r="M26" i="10"/>
  <c r="N26" i="10"/>
  <c r="O26" i="10"/>
  <c r="L27" i="10"/>
  <c r="AV4" i="2"/>
  <c r="AV5" i="2" s="1"/>
  <c r="AW4" i="2"/>
  <c r="AW5" i="2" s="1"/>
  <c r="AU4" i="2"/>
  <c r="AU5" i="2" s="1"/>
  <c r="AK4" i="2"/>
  <c r="AK5" i="2" s="1"/>
  <c r="AL4" i="2"/>
  <c r="AL5" i="2" s="1"/>
  <c r="AJ4" i="2"/>
  <c r="AJ5" i="2" s="1"/>
  <c r="Z4" i="2"/>
  <c r="Z5" i="2" s="1"/>
  <c r="AA4" i="2"/>
  <c r="AA5" i="2" s="1"/>
  <c r="Y4" i="2"/>
  <c r="Y5" i="2" s="1"/>
  <c r="O4" i="2"/>
  <c r="O5" i="2" s="1"/>
  <c r="P4" i="2"/>
  <c r="P5" i="2" s="1"/>
  <c r="N4" i="2"/>
  <c r="N5" i="2" s="1"/>
  <c r="E4" i="2"/>
  <c r="D4" i="2"/>
  <c r="C4" i="2"/>
  <c r="G2" i="1"/>
  <c r="C6" i="5"/>
  <c r="B11" i="7"/>
  <c r="B10" i="7"/>
  <c r="B4" i="7" s="1"/>
  <c r="B9" i="7"/>
  <c r="N350" i="2"/>
  <c r="N345" i="2"/>
  <c r="J39" i="7"/>
  <c r="I37" i="7"/>
  <c r="I34" i="7"/>
  <c r="J36" i="7"/>
  <c r="AU122" i="2"/>
  <c r="AV122" i="2"/>
  <c r="AW122" i="2"/>
  <c r="AU123" i="2"/>
  <c r="AV123" i="2"/>
  <c r="AW123" i="2"/>
  <c r="AU124" i="2"/>
  <c r="AV124" i="2"/>
  <c r="AW124" i="2"/>
  <c r="AU125" i="2"/>
  <c r="AV125" i="2"/>
  <c r="AW125" i="2"/>
  <c r="AU126" i="2"/>
  <c r="AV126" i="2"/>
  <c r="AW126" i="2"/>
  <c r="AU127" i="2"/>
  <c r="AV127" i="2"/>
  <c r="AW127" i="2"/>
  <c r="AU128" i="2"/>
  <c r="AV128" i="2"/>
  <c r="AW128" i="2"/>
  <c r="AU129" i="2"/>
  <c r="AV129" i="2"/>
  <c r="AW129" i="2"/>
  <c r="AU130" i="2"/>
  <c r="AV130" i="2"/>
  <c r="AW130" i="2"/>
  <c r="AW121" i="2"/>
  <c r="AV121" i="2"/>
  <c r="AU121" i="2"/>
  <c r="AU112" i="2"/>
  <c r="AW44" i="2"/>
  <c r="AW45" i="2" s="1"/>
  <c r="AW28" i="2"/>
  <c r="AV90" i="8"/>
  <c r="AV74" i="8"/>
  <c r="AU89" i="2"/>
  <c r="AX88" i="2"/>
  <c r="AW43" i="2"/>
  <c r="AV43" i="2"/>
  <c r="AU43" i="2"/>
  <c r="AW38" i="2"/>
  <c r="AV38" i="2"/>
  <c r="AW37" i="2"/>
  <c r="AV37" i="2"/>
  <c r="AW36" i="2"/>
  <c r="AV36" i="2"/>
  <c r="AW35" i="2"/>
  <c r="AV35" i="2"/>
  <c r="AW3" i="2"/>
  <c r="AW15" i="2" s="1"/>
  <c r="AV3" i="2"/>
  <c r="AV15" i="2" s="1"/>
  <c r="AU3" i="2"/>
  <c r="AU15" i="2" s="1"/>
  <c r="B22" i="7"/>
  <c r="I22" i="7" s="1"/>
  <c r="B3" i="7"/>
  <c r="B23" i="7"/>
  <c r="I23" i="7" s="1"/>
  <c r="B24" i="7"/>
  <c r="I24" i="7"/>
  <c r="B5" i="7"/>
  <c r="AJ121" i="2"/>
  <c r="AJ122" i="2"/>
  <c r="AK122" i="2"/>
  <c r="AL122" i="2"/>
  <c r="AJ123" i="2"/>
  <c r="AK123" i="2"/>
  <c r="AL123" i="2"/>
  <c r="AJ124" i="2"/>
  <c r="AK124" i="2"/>
  <c r="AL124" i="2"/>
  <c r="AJ125" i="2"/>
  <c r="AK125" i="2"/>
  <c r="AL125" i="2"/>
  <c r="AJ126" i="2"/>
  <c r="AK126" i="2"/>
  <c r="AL126" i="2"/>
  <c r="AJ127" i="2"/>
  <c r="AK127" i="2"/>
  <c r="AL127" i="2"/>
  <c r="AJ128" i="2"/>
  <c r="AK128" i="2"/>
  <c r="AL128" i="2"/>
  <c r="AJ129" i="2"/>
  <c r="AK129" i="2"/>
  <c r="AL129" i="2"/>
  <c r="AJ130" i="2"/>
  <c r="AK130" i="2"/>
  <c r="AL130" i="2"/>
  <c r="AL121" i="2"/>
  <c r="AK121" i="2"/>
  <c r="AJ112" i="2"/>
  <c r="AL44" i="2"/>
  <c r="AL45" i="2" s="1"/>
  <c r="AL28" i="2"/>
  <c r="AJ89" i="2"/>
  <c r="AM88" i="2"/>
  <c r="AL43" i="2"/>
  <c r="AK43" i="2"/>
  <c r="AJ43" i="2"/>
  <c r="AL38" i="2"/>
  <c r="AK38" i="2"/>
  <c r="AL37" i="2"/>
  <c r="AK37" i="2"/>
  <c r="AL36" i="2"/>
  <c r="AK36" i="2"/>
  <c r="AL35" i="2"/>
  <c r="AK35" i="2"/>
  <c r="AL3" i="2"/>
  <c r="AL15" i="2" s="1"/>
  <c r="AK3" i="2"/>
  <c r="AK15" i="2" s="1"/>
  <c r="AJ3" i="2"/>
  <c r="AJ15" i="2" s="1"/>
  <c r="E34" i="7"/>
  <c r="F34" i="7"/>
  <c r="G34" i="7"/>
  <c r="D34" i="7"/>
  <c r="Z122" i="2"/>
  <c r="AA122" i="2"/>
  <c r="Z123" i="2"/>
  <c r="AA123" i="2"/>
  <c r="Z124" i="2"/>
  <c r="AA124" i="2"/>
  <c r="Z125" i="2"/>
  <c r="AA125" i="2"/>
  <c r="Z126" i="2"/>
  <c r="AA126" i="2"/>
  <c r="Z127" i="2"/>
  <c r="AA127" i="2"/>
  <c r="Z128" i="2"/>
  <c r="AA128" i="2"/>
  <c r="Z129" i="2"/>
  <c r="AA129" i="2"/>
  <c r="Z130" i="2"/>
  <c r="AA130" i="2"/>
  <c r="AA121" i="2"/>
  <c r="Z121" i="2"/>
  <c r="Y122" i="2"/>
  <c r="Y123" i="2"/>
  <c r="Y124" i="2"/>
  <c r="Y125" i="2"/>
  <c r="Y126" i="2"/>
  <c r="Y127" i="2"/>
  <c r="Y128" i="2"/>
  <c r="Y129" i="2"/>
  <c r="Y130" i="2"/>
  <c r="Y121" i="2"/>
  <c r="Y112" i="2"/>
  <c r="Y89" i="2"/>
  <c r="AB88" i="2"/>
  <c r="AA43" i="2"/>
  <c r="Z43" i="2"/>
  <c r="Y43" i="2"/>
  <c r="AA38" i="2"/>
  <c r="Z38" i="2"/>
  <c r="AA37" i="2"/>
  <c r="Z37" i="2"/>
  <c r="AA36" i="2"/>
  <c r="Z36" i="2"/>
  <c r="AA35" i="2"/>
  <c r="Z35" i="2"/>
  <c r="AA3" i="2"/>
  <c r="AA15" i="2" s="1"/>
  <c r="Z3" i="2"/>
  <c r="Z15" i="2" s="1"/>
  <c r="Y3" i="2"/>
  <c r="Y15" i="2" s="1"/>
  <c r="N1" i="9"/>
  <c r="AG12" i="9"/>
  <c r="AG11" i="9"/>
  <c r="AG10" i="9"/>
  <c r="AG9" i="9"/>
  <c r="AG8" i="9"/>
  <c r="AG7" i="9"/>
  <c r="AG6" i="9"/>
  <c r="AG5" i="9"/>
  <c r="AG4" i="9"/>
  <c r="AG3" i="9"/>
  <c r="I1" i="9"/>
  <c r="AB12" i="9"/>
  <c r="AB11" i="9"/>
  <c r="AB10" i="9"/>
  <c r="AB9" i="9"/>
  <c r="AB8" i="9"/>
  <c r="AB7" i="9"/>
  <c r="AB6" i="9"/>
  <c r="AB5" i="9"/>
  <c r="AB4" i="9"/>
  <c r="AB3" i="9"/>
  <c r="D1" i="9"/>
  <c r="W7" i="9"/>
  <c r="W8" i="9"/>
  <c r="W9" i="9"/>
  <c r="W10" i="9"/>
  <c r="W11" i="9"/>
  <c r="W12" i="9"/>
  <c r="B5" i="9"/>
  <c r="B8" i="9"/>
  <c r="B10" i="9"/>
  <c r="C7" i="9"/>
  <c r="C8" i="9"/>
  <c r="C9" i="9"/>
  <c r="C10" i="9"/>
  <c r="C11" i="9"/>
  <c r="C12" i="9"/>
  <c r="C6" i="9"/>
  <c r="C4" i="9"/>
  <c r="C5" i="9"/>
  <c r="C3" i="9"/>
  <c r="B3" i="9"/>
  <c r="W4" i="9"/>
  <c r="W5" i="9"/>
  <c r="W6" i="9"/>
  <c r="W3" i="9"/>
  <c r="E17" i="7"/>
  <c r="F17" i="7"/>
  <c r="G17" i="7"/>
  <c r="D17" i="7"/>
  <c r="O50" i="7"/>
  <c r="P122" i="2"/>
  <c r="P123" i="2"/>
  <c r="P124" i="2"/>
  <c r="P125" i="2"/>
  <c r="P126" i="2"/>
  <c r="P127" i="2"/>
  <c r="P128" i="2"/>
  <c r="P129" i="2"/>
  <c r="P130" i="2"/>
  <c r="P121" i="2"/>
  <c r="P3" i="2"/>
  <c r="P15" i="2" s="1"/>
  <c r="O3" i="2"/>
  <c r="O15" i="2" s="1"/>
  <c r="N3" i="2"/>
  <c r="N41" i="2" s="1"/>
  <c r="E3" i="2"/>
  <c r="E70" i="2" s="1"/>
  <c r="E82" i="2" s="1"/>
  <c r="D3" i="2"/>
  <c r="D70" i="2" s="1"/>
  <c r="C3" i="2"/>
  <c r="C41" i="2" s="1"/>
  <c r="C56" i="2" s="1"/>
  <c r="C249" i="2"/>
  <c r="AK74" i="8"/>
  <c r="AK90" i="8"/>
  <c r="Z74" i="8"/>
  <c r="Z90" i="8"/>
  <c r="O90" i="8"/>
  <c r="O74" i="8"/>
  <c r="C123" i="2"/>
  <c r="N122" i="2"/>
  <c r="O122" i="2"/>
  <c r="N123" i="2"/>
  <c r="O123" i="2"/>
  <c r="N124" i="2"/>
  <c r="O124" i="2"/>
  <c r="N125" i="2"/>
  <c r="O125" i="2"/>
  <c r="N126" i="2"/>
  <c r="O126" i="2"/>
  <c r="N127" i="2"/>
  <c r="O127" i="2"/>
  <c r="N128" i="2"/>
  <c r="O128" i="2"/>
  <c r="N129" i="2"/>
  <c r="O129" i="2"/>
  <c r="N130" i="2"/>
  <c r="O130" i="2"/>
  <c r="O121" i="2"/>
  <c r="N121" i="2"/>
  <c r="C116" i="2"/>
  <c r="C112" i="2"/>
  <c r="N112" i="2"/>
  <c r="Q88" i="2"/>
  <c r="F88" i="2"/>
  <c r="N89" i="2"/>
  <c r="C89" i="2"/>
  <c r="J27" i="10" s="1"/>
  <c r="P43" i="2"/>
  <c r="O43" i="2"/>
  <c r="N43" i="2"/>
  <c r="E43" i="2"/>
  <c r="O27" i="10" s="1"/>
  <c r="D43" i="2"/>
  <c r="N27" i="10" s="1"/>
  <c r="C43" i="2"/>
  <c r="P38" i="2"/>
  <c r="O38" i="2"/>
  <c r="P37" i="2"/>
  <c r="O37" i="2"/>
  <c r="P36" i="2"/>
  <c r="O36" i="2"/>
  <c r="P35" i="2"/>
  <c r="O35" i="2"/>
  <c r="AV58" i="8"/>
  <c r="AU47" i="2"/>
  <c r="AW47" i="2" s="1"/>
  <c r="AU72" i="8"/>
  <c r="AU71" i="8"/>
  <c r="AU86" i="8"/>
  <c r="AU85" i="8"/>
  <c r="AU52" i="8"/>
  <c r="AT52" i="8"/>
  <c r="AT68" i="8" s="1"/>
  <c r="AT84" i="8" s="1"/>
  <c r="AU51" i="8"/>
  <c r="AU66" i="8"/>
  <c r="AU65" i="8"/>
  <c r="AU64" i="8"/>
  <c r="AU79" i="8"/>
  <c r="AT47" i="8"/>
  <c r="AT63" i="8" s="1"/>
  <c r="AT79" i="8" s="1"/>
  <c r="AZ4" i="8"/>
  <c r="AY4" i="8"/>
  <c r="AX4" i="8"/>
  <c r="AW4" i="8"/>
  <c r="AK58" i="8"/>
  <c r="AJ72" i="8"/>
  <c r="AJ71" i="8"/>
  <c r="AJ86" i="8"/>
  <c r="AJ85" i="8"/>
  <c r="AJ52" i="8"/>
  <c r="AI52" i="8"/>
  <c r="AI68" i="8" s="1"/>
  <c r="AI84" i="8" s="1"/>
  <c r="AJ51" i="8"/>
  <c r="AJ66" i="8"/>
  <c r="AJ81" i="8"/>
  <c r="AI49" i="8"/>
  <c r="AI65" i="8" s="1"/>
  <c r="AI81" i="8" s="1"/>
  <c r="AJ64" i="8"/>
  <c r="AJ79" i="8"/>
  <c r="AI47" i="8"/>
  <c r="AI63" i="8" s="1"/>
  <c r="AI79" i="8" s="1"/>
  <c r="AO4" i="8"/>
  <c r="AN4" i="8"/>
  <c r="AM4" i="8"/>
  <c r="AL4" i="8"/>
  <c r="Z58" i="8"/>
  <c r="Y47" i="2"/>
  <c r="Y72" i="8"/>
  <c r="Y71" i="8"/>
  <c r="Y86" i="8"/>
  <c r="Y69" i="8"/>
  <c r="Y52" i="8"/>
  <c r="X52" i="8"/>
  <c r="X68" i="8" s="1"/>
  <c r="X84" i="8" s="1"/>
  <c r="Y51" i="8"/>
  <c r="Y66" i="8"/>
  <c r="Y65" i="8"/>
  <c r="Y80" i="8"/>
  <c r="Y79" i="8"/>
  <c r="X47" i="8"/>
  <c r="X63" i="8" s="1"/>
  <c r="X79" i="8" s="1"/>
  <c r="AD4" i="8"/>
  <c r="AC4" i="8"/>
  <c r="AB4" i="8"/>
  <c r="AA4" i="8"/>
  <c r="O58" i="8"/>
  <c r="N56" i="8"/>
  <c r="N71" i="8"/>
  <c r="N86" i="8"/>
  <c r="N85" i="8"/>
  <c r="N52" i="8"/>
  <c r="N51" i="8"/>
  <c r="N66" i="8"/>
  <c r="N65" i="8"/>
  <c r="N64" i="8"/>
  <c r="N79" i="8"/>
  <c r="S4" i="8"/>
  <c r="R4" i="8"/>
  <c r="Q4" i="8"/>
  <c r="P4" i="8"/>
  <c r="B27" i="8"/>
  <c r="B25" i="8"/>
  <c r="B22" i="8"/>
  <c r="B20" i="8"/>
  <c r="H13" i="8" s="1"/>
  <c r="C29" i="8"/>
  <c r="C72" i="8" s="1"/>
  <c r="C28" i="8"/>
  <c r="C87" i="8" s="1"/>
  <c r="C27" i="8"/>
  <c r="C70" i="8" s="1"/>
  <c r="C26" i="8"/>
  <c r="C69" i="8" s="1"/>
  <c r="C25" i="8"/>
  <c r="C84" i="8" s="1"/>
  <c r="C24" i="8"/>
  <c r="C83" i="8" s="1"/>
  <c r="C23" i="8"/>
  <c r="C66" i="8" s="1"/>
  <c r="C22" i="8"/>
  <c r="C49" i="8" s="1"/>
  <c r="C21" i="8"/>
  <c r="C48" i="8" s="1"/>
  <c r="C20" i="8"/>
  <c r="C79" i="8" s="1"/>
  <c r="AT49" i="8"/>
  <c r="AT65" i="8" s="1"/>
  <c r="AT81" i="8" s="1"/>
  <c r="B47" i="8"/>
  <c r="B63" i="8" s="1"/>
  <c r="B79" i="8" s="1"/>
  <c r="C347" i="2"/>
  <c r="G165" i="1"/>
  <c r="J165" i="1" s="1"/>
  <c r="F165" i="1"/>
  <c r="E165" i="1"/>
  <c r="C165" i="1"/>
  <c r="D165" i="1"/>
  <c r="D36" i="7"/>
  <c r="C128" i="2"/>
  <c r="D35" i="2"/>
  <c r="E35" i="2"/>
  <c r="D36" i="2"/>
  <c r="E36" i="2"/>
  <c r="D37" i="2"/>
  <c r="E37" i="2"/>
  <c r="D38" i="2"/>
  <c r="E38" i="2"/>
  <c r="C350" i="2"/>
  <c r="C345" i="2"/>
  <c r="C58" i="2"/>
  <c r="F48" i="8" s="1"/>
  <c r="D58" i="2"/>
  <c r="D72" i="2" s="1"/>
  <c r="O58" i="2" s="1"/>
  <c r="E58" i="2"/>
  <c r="F80" i="8" s="1"/>
  <c r="C59" i="2"/>
  <c r="D59" i="2"/>
  <c r="D73" i="2" s="1"/>
  <c r="O59" i="2" s="1"/>
  <c r="E59" i="2"/>
  <c r="F81" i="8" s="1"/>
  <c r="C60" i="2"/>
  <c r="C74" i="2" s="1"/>
  <c r="N60" i="2" s="1"/>
  <c r="D60" i="2"/>
  <c r="F66" i="8" s="1"/>
  <c r="E60" i="2"/>
  <c r="E74" i="2" s="1"/>
  <c r="P60" i="2" s="1"/>
  <c r="C61" i="2"/>
  <c r="C75" i="2" s="1"/>
  <c r="N61" i="2" s="1"/>
  <c r="D61" i="2"/>
  <c r="D75" i="2" s="1"/>
  <c r="O61" i="2" s="1"/>
  <c r="E61" i="2"/>
  <c r="F83" i="8" s="1"/>
  <c r="C62" i="2"/>
  <c r="F52" i="8" s="1"/>
  <c r="D62" i="2"/>
  <c r="D76" i="2" s="1"/>
  <c r="O62" i="2" s="1"/>
  <c r="E62" i="2"/>
  <c r="F84" i="8" s="1"/>
  <c r="C63" i="2"/>
  <c r="C271" i="2" s="1"/>
  <c r="D63" i="2"/>
  <c r="F69" i="8" s="1"/>
  <c r="E63" i="2"/>
  <c r="F85" i="8" s="1"/>
  <c r="C64" i="2"/>
  <c r="C78" i="2" s="1"/>
  <c r="N64" i="2" s="1"/>
  <c r="D64" i="2"/>
  <c r="E64" i="2"/>
  <c r="E78" i="2" s="1"/>
  <c r="C65" i="2"/>
  <c r="C79" i="2" s="1"/>
  <c r="N65" i="2" s="1"/>
  <c r="D65" i="2"/>
  <c r="F71" i="8" s="1"/>
  <c r="E65" i="2"/>
  <c r="E79" i="2" s="1"/>
  <c r="P65" i="2" s="1"/>
  <c r="C66" i="2"/>
  <c r="F56" i="8" s="1"/>
  <c r="D66" i="2"/>
  <c r="D80" i="2" s="1"/>
  <c r="O66" i="2" s="1"/>
  <c r="E66" i="2"/>
  <c r="F88" i="8" s="1"/>
  <c r="D57" i="2"/>
  <c r="E57" i="2"/>
  <c r="E71" i="2" s="1"/>
  <c r="P57" i="2" s="1"/>
  <c r="C57" i="2"/>
  <c r="F47" i="8" s="1"/>
  <c r="E189" i="2"/>
  <c r="D189" i="2"/>
  <c r="C189" i="2"/>
  <c r="B92" i="2"/>
  <c r="M92" i="2" s="1"/>
  <c r="B93" i="2"/>
  <c r="E92" i="2" s="1"/>
  <c r="B91" i="2"/>
  <c r="M91" i="2" s="1"/>
  <c r="H4" i="8"/>
  <c r="G4" i="8"/>
  <c r="F4" i="8"/>
  <c r="E4" i="8"/>
  <c r="C88" i="2"/>
  <c r="E103" i="2"/>
  <c r="E107" i="2" s="1"/>
  <c r="D103" i="2"/>
  <c r="D107" i="2" s="1"/>
  <c r="C103" i="2"/>
  <c r="C107" i="2" s="1"/>
  <c r="E42" i="2"/>
  <c r="D42" i="2"/>
  <c r="C42" i="2"/>
  <c r="D125" i="2"/>
  <c r="C122" i="1"/>
  <c r="H84" i="1"/>
  <c r="P83" i="1" s="1"/>
  <c r="G84" i="1"/>
  <c r="O83" i="1" s="1"/>
  <c r="F84" i="1"/>
  <c r="N83" i="1" s="1"/>
  <c r="D136" i="1"/>
  <c r="E136" i="1"/>
  <c r="C136" i="1"/>
  <c r="B11" i="5"/>
  <c r="L24" i="5" s="1"/>
  <c r="B12" i="5"/>
  <c r="L25" i="5" s="1"/>
  <c r="B13" i="5"/>
  <c r="L26" i="5" s="1"/>
  <c r="B14" i="5"/>
  <c r="L27" i="5" s="1"/>
  <c r="B15" i="5"/>
  <c r="B16" i="5"/>
  <c r="B17" i="5"/>
  <c r="B18" i="5"/>
  <c r="L31" i="5" s="1"/>
  <c r="B19" i="5"/>
  <c r="B12" i="3" s="1"/>
  <c r="B24" i="3" s="1"/>
  <c r="B36" i="3" s="1"/>
  <c r="B10" i="5"/>
  <c r="L23" i="5" s="1"/>
  <c r="B27" i="5"/>
  <c r="D27" i="5" s="1"/>
  <c r="B28" i="5"/>
  <c r="D28" i="5" s="1"/>
  <c r="B26" i="5"/>
  <c r="D26" i="5" s="1"/>
  <c r="E9" i="5"/>
  <c r="D9" i="5"/>
  <c r="C9" i="5"/>
  <c r="B5" i="5"/>
  <c r="B4" i="5"/>
  <c r="B3" i="5"/>
  <c r="E26" i="1"/>
  <c r="E30" i="1" s="1"/>
  <c r="D26" i="1"/>
  <c r="D30" i="1" s="1"/>
  <c r="C26" i="1"/>
  <c r="H26" i="1" s="1"/>
  <c r="D20" i="1"/>
  <c r="E20" i="1"/>
  <c r="C20" i="1"/>
  <c r="C13" i="3"/>
  <c r="C25" i="3"/>
  <c r="C37" i="3"/>
  <c r="A26" i="3"/>
  <c r="A14" i="3"/>
  <c r="A2" i="3"/>
  <c r="L20" i="5"/>
  <c r="H39" i="1"/>
  <c r="H40" i="1"/>
  <c r="H38" i="1"/>
  <c r="D11" i="1"/>
  <c r="D12" i="1"/>
  <c r="D13" i="1"/>
  <c r="D14" i="1"/>
  <c r="D15" i="1"/>
  <c r="D16" i="1"/>
  <c r="D17" i="1"/>
  <c r="D18" i="1"/>
  <c r="D19" i="1"/>
  <c r="D10" i="1"/>
  <c r="P20" i="5"/>
  <c r="C52" i="8" l="1"/>
  <c r="E91" i="2"/>
  <c r="E15" i="2"/>
  <c r="K9" i="1"/>
  <c r="N9" i="1" s="1"/>
  <c r="Q9" i="1" s="1"/>
  <c r="Y175" i="2" s="1"/>
  <c r="F9" i="5"/>
  <c r="M22" i="5" s="1"/>
  <c r="G9" i="5"/>
  <c r="N22" i="5" s="1"/>
  <c r="F49" i="1"/>
  <c r="E74" i="1" s="1"/>
  <c r="H9" i="5"/>
  <c r="O22" i="5" s="1"/>
  <c r="D104" i="2"/>
  <c r="E104" i="2"/>
  <c r="E49" i="2"/>
  <c r="O31" i="10" s="1"/>
  <c r="F90" i="2"/>
  <c r="C53" i="2"/>
  <c r="F91" i="2"/>
  <c r="D49" i="2"/>
  <c r="N31" i="10" s="1"/>
  <c r="J74" i="1"/>
  <c r="J78" i="1"/>
  <c r="M27" i="10"/>
  <c r="I26" i="1"/>
  <c r="N25" i="1" s="1"/>
  <c r="C30" i="1"/>
  <c r="M25" i="1"/>
  <c r="H30" i="1"/>
  <c r="C53" i="8"/>
  <c r="M165" i="1"/>
  <c r="H165" i="1"/>
  <c r="J26" i="1"/>
  <c r="I165" i="1"/>
  <c r="M9" i="1"/>
  <c r="P9" i="1" s="1"/>
  <c r="S9" i="1" s="1"/>
  <c r="AW120" i="2" s="1"/>
  <c r="F4" i="2"/>
  <c r="E49" i="1"/>
  <c r="D74" i="1" s="1"/>
  <c r="B3" i="3"/>
  <c r="B15" i="3" s="1"/>
  <c r="B27" i="3" s="1"/>
  <c r="N88" i="8"/>
  <c r="AJ68" i="8"/>
  <c r="C15" i="2"/>
  <c r="Y81" i="8"/>
  <c r="AJ84" i="8"/>
  <c r="B11" i="3"/>
  <c r="B23" i="3" s="1"/>
  <c r="B35" i="3" s="1"/>
  <c r="C70" i="2"/>
  <c r="C102" i="2" s="1"/>
  <c r="Y88" i="8"/>
  <c r="AJ55" i="8"/>
  <c r="B7" i="3"/>
  <c r="B19" i="3" s="1"/>
  <c r="B31" i="3" s="1"/>
  <c r="L9" i="1"/>
  <c r="O9" i="1" s="1"/>
  <c r="R9" i="1" s="1"/>
  <c r="AV189" i="2" s="1"/>
  <c r="AX4" i="2"/>
  <c r="B10" i="3"/>
  <c r="B22" i="3" s="1"/>
  <c r="B34" i="3" s="1"/>
  <c r="L30" i="5"/>
  <c r="B52" i="8"/>
  <c r="B68" i="8" s="1"/>
  <c r="B84" i="8" s="1"/>
  <c r="H15" i="8"/>
  <c r="B9" i="3"/>
  <c r="B21" i="3" s="1"/>
  <c r="B33" i="3" s="1"/>
  <c r="L29" i="5"/>
  <c r="B54" i="8"/>
  <c r="B70" i="8" s="1"/>
  <c r="B86" i="8" s="1"/>
  <c r="H16" i="8"/>
  <c r="B8" i="3"/>
  <c r="B20" i="3" s="1"/>
  <c r="B32" i="3" s="1"/>
  <c r="L28" i="5"/>
  <c r="B49" i="8"/>
  <c r="B65" i="8" s="1"/>
  <c r="B81" i="8" s="1"/>
  <c r="H14" i="8"/>
  <c r="N67" i="8"/>
  <c r="AJ48" i="8"/>
  <c r="AJ80" i="8"/>
  <c r="AU83" i="8"/>
  <c r="C63" i="8"/>
  <c r="N70" i="8"/>
  <c r="AJ56" i="8"/>
  <c r="AJ83" i="8"/>
  <c r="D49" i="1"/>
  <c r="C74" i="1" s="1"/>
  <c r="B5" i="3"/>
  <c r="B17" i="3" s="1"/>
  <c r="B29" i="3" s="1"/>
  <c r="B115" i="2"/>
  <c r="M115" i="2" s="1"/>
  <c r="X115" i="2" s="1"/>
  <c r="AI115" i="2" s="1"/>
  <c r="AT115" i="2" s="1"/>
  <c r="N80" i="8"/>
  <c r="N84" i="8"/>
  <c r="Y54" i="8"/>
  <c r="AJ49" i="8"/>
  <c r="M52" i="8"/>
  <c r="M68" i="8" s="1"/>
  <c r="M84" i="8" s="1"/>
  <c r="N72" i="8"/>
  <c r="Y64" i="8"/>
  <c r="B4" i="3"/>
  <c r="B16" i="3" s="1"/>
  <c r="B28" i="3" s="1"/>
  <c r="C47" i="8"/>
  <c r="N54" i="8"/>
  <c r="N83" i="8"/>
  <c r="M93" i="2"/>
  <c r="P92" i="2" s="1"/>
  <c r="C64" i="8"/>
  <c r="AU70" i="8"/>
  <c r="E41" i="2"/>
  <c r="E56" i="2" s="1"/>
  <c r="Y48" i="8"/>
  <c r="AJ41" i="2"/>
  <c r="B6" i="3"/>
  <c r="B18" i="3" s="1"/>
  <c r="B30" i="3" s="1"/>
  <c r="C81" i="8"/>
  <c r="C50" i="8"/>
  <c r="AI54" i="8"/>
  <c r="AI70" i="8" s="1"/>
  <c r="AI86" i="8" s="1"/>
  <c r="AJ65" i="8"/>
  <c r="Q55" i="8"/>
  <c r="Q64" i="8"/>
  <c r="Q82" i="8"/>
  <c r="Q79" i="8"/>
  <c r="Q87" i="8"/>
  <c r="Q72" i="8"/>
  <c r="Q51" i="8"/>
  <c r="O73" i="2"/>
  <c r="Z59" i="2" s="1"/>
  <c r="O75" i="2"/>
  <c r="Z61" i="2" s="1"/>
  <c r="N15" i="2"/>
  <c r="C82" i="8"/>
  <c r="C54" i="8"/>
  <c r="AJ87" i="8"/>
  <c r="AU80" i="8"/>
  <c r="C67" i="8"/>
  <c r="C86" i="8"/>
  <c r="AU56" i="8"/>
  <c r="AU67" i="8"/>
  <c r="C51" i="8"/>
  <c r="AU48" i="8"/>
  <c r="Y70" i="8"/>
  <c r="M47" i="8"/>
  <c r="M63" i="8" s="1"/>
  <c r="M79" i="8" s="1"/>
  <c r="C56" i="8"/>
  <c r="C68" i="8"/>
  <c r="C88" i="8"/>
  <c r="C80" i="8"/>
  <c r="AJ47" i="8"/>
  <c r="AJ67" i="8"/>
  <c r="AU53" i="8"/>
  <c r="AU88" i="8"/>
  <c r="C121" i="2"/>
  <c r="C210" i="2"/>
  <c r="U3" i="9" s="1"/>
  <c r="N49" i="8"/>
  <c r="N63" i="8"/>
  <c r="AU69" i="8"/>
  <c r="I4" i="8"/>
  <c r="N81" i="8"/>
  <c r="Y87" i="8"/>
  <c r="Y53" i="8"/>
  <c r="Y49" i="8"/>
  <c r="AJ63" i="8"/>
  <c r="T4" i="8"/>
  <c r="N90" i="2" s="1"/>
  <c r="Y85" i="8"/>
  <c r="D102" i="2"/>
  <c r="D82" i="2"/>
  <c r="AU41" i="2"/>
  <c r="D15" i="2"/>
  <c r="D41" i="2"/>
  <c r="D56" i="2" s="1"/>
  <c r="AM4" i="2"/>
  <c r="Y41" i="2"/>
  <c r="X91" i="2"/>
  <c r="P90" i="2"/>
  <c r="X92" i="2"/>
  <c r="P91" i="2"/>
  <c r="B113" i="2"/>
  <c r="M113" i="2" s="1"/>
  <c r="X113" i="2" s="1"/>
  <c r="AI113" i="2" s="1"/>
  <c r="AT113" i="2" s="1"/>
  <c r="E274" i="2"/>
  <c r="E90" i="2"/>
  <c r="Q4" i="2"/>
  <c r="E102" i="2"/>
  <c r="B114" i="2"/>
  <c r="M114" i="2" s="1"/>
  <c r="X114" i="2" s="1"/>
  <c r="AI114" i="2" s="1"/>
  <c r="AT114" i="2" s="1"/>
  <c r="C346" i="2"/>
  <c r="E77" i="2"/>
  <c r="P63" i="2" s="1"/>
  <c r="D274" i="2"/>
  <c r="C266" i="2"/>
  <c r="F42" i="2"/>
  <c r="C76" i="2"/>
  <c r="N62" i="2" s="1"/>
  <c r="C67" i="2"/>
  <c r="C3" i="7" s="1"/>
  <c r="C270" i="2"/>
  <c r="C274" i="2"/>
  <c r="E270" i="2"/>
  <c r="F51" i="8"/>
  <c r="D129" i="2"/>
  <c r="D218" i="2"/>
  <c r="Z11" i="9" s="1"/>
  <c r="J87" i="8"/>
  <c r="E218" i="2"/>
  <c r="AE11" i="9" s="1"/>
  <c r="J80" i="8"/>
  <c r="E211" i="2"/>
  <c r="AE4" i="9" s="1"/>
  <c r="N211" i="2"/>
  <c r="C211" i="2"/>
  <c r="U4" i="9" s="1"/>
  <c r="J55" i="8"/>
  <c r="N218" i="2"/>
  <c r="C218" i="2"/>
  <c r="U11" i="9" s="1"/>
  <c r="J64" i="8"/>
  <c r="D211" i="2"/>
  <c r="Z4" i="9" s="1"/>
  <c r="J83" i="8"/>
  <c r="E214" i="2"/>
  <c r="AE7" i="9" s="1"/>
  <c r="J53" i="8"/>
  <c r="N216" i="2"/>
  <c r="C216" i="2"/>
  <c r="U9" i="9" s="1"/>
  <c r="D128" i="2"/>
  <c r="D217" i="2"/>
  <c r="Z10" i="9" s="1"/>
  <c r="J67" i="8"/>
  <c r="D214" i="2"/>
  <c r="Z7" i="9" s="1"/>
  <c r="J86" i="8"/>
  <c r="E217" i="2"/>
  <c r="AE10" i="9" s="1"/>
  <c r="E213" i="2"/>
  <c r="AE6" i="9" s="1"/>
  <c r="N215" i="2"/>
  <c r="C215" i="2"/>
  <c r="U8" i="9" s="1"/>
  <c r="F72" i="8"/>
  <c r="J54" i="8"/>
  <c r="N217" i="2"/>
  <c r="C217" i="2"/>
  <c r="U10" i="9" s="1"/>
  <c r="E73" i="2"/>
  <c r="P59" i="2" s="1"/>
  <c r="C72" i="2"/>
  <c r="N58" i="2" s="1"/>
  <c r="J63" i="8"/>
  <c r="D210" i="2"/>
  <c r="Z3" i="9" s="1"/>
  <c r="D216" i="2"/>
  <c r="Z9" i="9" s="1"/>
  <c r="D213" i="2"/>
  <c r="Z6" i="9" s="1"/>
  <c r="J79" i="8"/>
  <c r="E210" i="2"/>
  <c r="AE3" i="9" s="1"/>
  <c r="J85" i="8"/>
  <c r="E216" i="2"/>
  <c r="AE9" i="9" s="1"/>
  <c r="J81" i="8"/>
  <c r="E212" i="2"/>
  <c r="AE5" i="9" s="1"/>
  <c r="D5" i="2"/>
  <c r="J50" i="8"/>
  <c r="N213" i="2"/>
  <c r="C213" i="2"/>
  <c r="U6" i="9" s="1"/>
  <c r="F67" i="8"/>
  <c r="J51" i="8"/>
  <c r="N214" i="2"/>
  <c r="C214" i="2"/>
  <c r="U7" i="9" s="1"/>
  <c r="D77" i="2"/>
  <c r="O63" i="2" s="1"/>
  <c r="J56" i="8"/>
  <c r="N219" i="2"/>
  <c r="C219" i="2"/>
  <c r="U12" i="9" s="1"/>
  <c r="J72" i="8"/>
  <c r="D219" i="2"/>
  <c r="Z12" i="9" s="1"/>
  <c r="D215" i="2"/>
  <c r="Z8" i="9" s="1"/>
  <c r="J65" i="8"/>
  <c r="D212" i="2"/>
  <c r="Z5" i="9" s="1"/>
  <c r="J88" i="8"/>
  <c r="E219" i="2"/>
  <c r="AE12" i="9" s="1"/>
  <c r="J84" i="8"/>
  <c r="E215" i="2"/>
  <c r="AE8" i="9" s="1"/>
  <c r="E122" i="2"/>
  <c r="E5" i="2"/>
  <c r="N212" i="2"/>
  <c r="C212" i="2"/>
  <c r="U5" i="9" s="1"/>
  <c r="F55" i="8"/>
  <c r="F87" i="8"/>
  <c r="J47" i="8"/>
  <c r="N210" i="2"/>
  <c r="C80" i="2"/>
  <c r="N66" i="2" s="1"/>
  <c r="BA4" i="8"/>
  <c r="AU187" i="2" s="1"/>
  <c r="J34" i="10"/>
  <c r="C5" i="2"/>
  <c r="N149" i="2"/>
  <c r="Y234" i="2"/>
  <c r="AU251" i="2"/>
  <c r="AU264" i="2" s="1"/>
  <c r="AU277" i="2" s="1"/>
  <c r="AU293" i="2" s="1"/>
  <c r="AJ162" i="2"/>
  <c r="N189" i="2"/>
  <c r="E124" i="2"/>
  <c r="C108" i="2"/>
  <c r="D108" i="2" s="1"/>
  <c r="C104" i="2"/>
  <c r="C251" i="2"/>
  <c r="C264" i="2" s="1"/>
  <c r="C277" i="2" s="1"/>
  <c r="C293" i="2" s="1"/>
  <c r="AU102" i="2"/>
  <c r="D71" i="2"/>
  <c r="F63" i="8"/>
  <c r="D78" i="2"/>
  <c r="O64" i="2" s="1"/>
  <c r="F70" i="8"/>
  <c r="C77" i="2"/>
  <c r="N63" i="2" s="1"/>
  <c r="F53" i="8"/>
  <c r="E67" i="2"/>
  <c r="C5" i="7" s="1"/>
  <c r="E75" i="2"/>
  <c r="P61" i="2" s="1"/>
  <c r="C73" i="2"/>
  <c r="N59" i="2" s="1"/>
  <c r="C267" i="2"/>
  <c r="F49" i="8"/>
  <c r="C126" i="2"/>
  <c r="F54" i="8"/>
  <c r="F50" i="8"/>
  <c r="F65" i="8"/>
  <c r="F86" i="8"/>
  <c r="F82" i="8"/>
  <c r="E80" i="2"/>
  <c r="P66" i="2" s="1"/>
  <c r="Q88" i="8" s="1"/>
  <c r="E76" i="2"/>
  <c r="P62" i="2" s="1"/>
  <c r="E72" i="2"/>
  <c r="P58" i="2" s="1"/>
  <c r="C71" i="2"/>
  <c r="N57" i="2" s="1"/>
  <c r="F20" i="1"/>
  <c r="F64" i="8"/>
  <c r="F79" i="8"/>
  <c r="F68" i="8"/>
  <c r="D74" i="2"/>
  <c r="O60" i="2" s="1"/>
  <c r="D67" i="2"/>
  <c r="C4" i="7" s="1"/>
  <c r="D79" i="2"/>
  <c r="O65" i="2" s="1"/>
  <c r="AB4" i="2"/>
  <c r="AJ70" i="8"/>
  <c r="C130" i="2"/>
  <c r="C124" i="2"/>
  <c r="D127" i="2"/>
  <c r="E130" i="2"/>
  <c r="E128" i="2"/>
  <c r="E126" i="2"/>
  <c r="C129" i="2"/>
  <c r="C85" i="8"/>
  <c r="N48" i="8"/>
  <c r="N69" i="8"/>
  <c r="Y67" i="8"/>
  <c r="AJ54" i="8"/>
  <c r="AJ88" i="8"/>
  <c r="AU54" i="8"/>
  <c r="AU49" i="8"/>
  <c r="Y83" i="8"/>
  <c r="AP4" i="8"/>
  <c r="AM89" i="2" s="1"/>
  <c r="D90" i="8"/>
  <c r="C65" i="8"/>
  <c r="N87" i="8"/>
  <c r="N82" i="8"/>
  <c r="AJ53" i="8"/>
  <c r="AJ82" i="8"/>
  <c r="AU81" i="8"/>
  <c r="AJ69" i="8"/>
  <c r="AE4" i="8"/>
  <c r="Y90" i="2" s="1"/>
  <c r="D58" i="8"/>
  <c r="D121" i="2"/>
  <c r="D123" i="2"/>
  <c r="E121" i="2"/>
  <c r="E129" i="2"/>
  <c r="E127" i="2"/>
  <c r="E125" i="2"/>
  <c r="E123" i="2"/>
  <c r="C351" i="2"/>
  <c r="N53" i="8"/>
  <c r="Y56" i="8"/>
  <c r="AJ50" i="8"/>
  <c r="C55" i="8"/>
  <c r="C71" i="8"/>
  <c r="N68" i="8"/>
  <c r="M54" i="8"/>
  <c r="M70" i="8" s="1"/>
  <c r="M86" i="8" s="1"/>
  <c r="N55" i="8"/>
  <c r="M49" i="8"/>
  <c r="M65" i="8" s="1"/>
  <c r="M81" i="8" s="1"/>
  <c r="Y82" i="8"/>
  <c r="Y84" i="8"/>
  <c r="AU47" i="8"/>
  <c r="AU82" i="8"/>
  <c r="AU84" i="8"/>
  <c r="X49" i="8"/>
  <c r="X65" i="8" s="1"/>
  <c r="X81" i="8" s="1"/>
  <c r="D74" i="8"/>
  <c r="J52" i="8"/>
  <c r="J49" i="8"/>
  <c r="J71" i="8"/>
  <c r="J82" i="8"/>
  <c r="C122" i="2"/>
  <c r="N50" i="8"/>
  <c r="Y68" i="8"/>
  <c r="X54" i="8"/>
  <c r="X70" i="8" s="1"/>
  <c r="X86" i="8" s="1"/>
  <c r="Y55" i="8"/>
  <c r="AU87" i="8"/>
  <c r="AU68" i="8"/>
  <c r="AT54" i="8"/>
  <c r="AT70" i="8" s="1"/>
  <c r="AT86" i="8" s="1"/>
  <c r="AU55" i="8"/>
  <c r="Y63" i="8"/>
  <c r="Y50" i="8"/>
  <c r="AU50" i="8"/>
  <c r="J48" i="8"/>
  <c r="J70" i="8"/>
  <c r="J66" i="8"/>
  <c r="C127" i="2"/>
  <c r="D130" i="2"/>
  <c r="D126" i="2"/>
  <c r="D124" i="2"/>
  <c r="D122" i="2"/>
  <c r="N47" i="8"/>
  <c r="Y47" i="8"/>
  <c r="AU63" i="8"/>
  <c r="J69" i="8"/>
  <c r="H39" i="8"/>
  <c r="Z47" i="2"/>
  <c r="AA47" i="2"/>
  <c r="X4" i="9"/>
  <c r="X3" i="9"/>
  <c r="AH4" i="9"/>
  <c r="X6" i="9"/>
  <c r="AH5" i="9"/>
  <c r="Q68" i="8"/>
  <c r="M30" i="10"/>
  <c r="AC3" i="9"/>
  <c r="AC6" i="9"/>
  <c r="Z132" i="2"/>
  <c r="N132" i="2"/>
  <c r="Z131" i="2"/>
  <c r="Q5" i="2"/>
  <c r="AH11" i="9"/>
  <c r="P131" i="2"/>
  <c r="AC9" i="9"/>
  <c r="AH3" i="9"/>
  <c r="AC12" i="9"/>
  <c r="AH6" i="9"/>
  <c r="AC7" i="9"/>
  <c r="X12" i="9"/>
  <c r="AH9" i="9"/>
  <c r="X7" i="9"/>
  <c r="AC10" i="9"/>
  <c r="X10" i="9"/>
  <c r="AH8" i="9"/>
  <c r="P47" i="2"/>
  <c r="AX5" i="2"/>
  <c r="X8" i="9"/>
  <c r="AC4" i="9"/>
  <c r="X9" i="9"/>
  <c r="AC5" i="9"/>
  <c r="X5" i="9"/>
  <c r="AH7" i="9"/>
  <c r="X11" i="9"/>
  <c r="AC8" i="9"/>
  <c r="AH10" i="9"/>
  <c r="AH12" i="9"/>
  <c r="AB5" i="2"/>
  <c r="AM5" i="2"/>
  <c r="N78" i="2"/>
  <c r="Y64" i="2" s="1"/>
  <c r="Q54" i="8"/>
  <c r="N74" i="2"/>
  <c r="Y60" i="2" s="1"/>
  <c r="Q50" i="8"/>
  <c r="AV47" i="2"/>
  <c r="Q65" i="8"/>
  <c r="Q67" i="8"/>
  <c r="D47" i="2"/>
  <c r="N30" i="10" s="1"/>
  <c r="AV132" i="2"/>
  <c r="O132" i="2"/>
  <c r="O131" i="2"/>
  <c r="P132" i="2"/>
  <c r="AK132" i="2"/>
  <c r="AK131" i="2"/>
  <c r="AL132" i="2"/>
  <c r="AL131" i="2"/>
  <c r="AJ131" i="2"/>
  <c r="AJ132" i="2"/>
  <c r="AV131" i="2"/>
  <c r="AW132" i="2"/>
  <c r="AW131" i="2"/>
  <c r="AU131" i="2"/>
  <c r="AU132" i="2"/>
  <c r="Y132" i="2"/>
  <c r="Y131" i="2"/>
  <c r="AA132" i="2"/>
  <c r="AA131" i="2"/>
  <c r="N131" i="2"/>
  <c r="AW46" i="2"/>
  <c r="P64" i="2"/>
  <c r="P79" i="2"/>
  <c r="AA65" i="2" s="1"/>
  <c r="P74" i="2"/>
  <c r="AA60" i="2" s="1"/>
  <c r="O80" i="2"/>
  <c r="Z66" i="2" s="1"/>
  <c r="N75" i="2"/>
  <c r="Y61" i="2" s="1"/>
  <c r="P71" i="2"/>
  <c r="AA57" i="2" s="1"/>
  <c r="O76" i="2"/>
  <c r="Z62" i="2" s="1"/>
  <c r="O72" i="2"/>
  <c r="Z58" i="2" s="1"/>
  <c r="N79" i="2"/>
  <c r="Y65" i="2" s="1"/>
  <c r="AJ46" i="2"/>
  <c r="N39" i="2"/>
  <c r="N352" i="2" s="1"/>
  <c r="AV46" i="2"/>
  <c r="N46" i="2"/>
  <c r="AK46" i="2"/>
  <c r="AL46" i="2"/>
  <c r="AJ39" i="2"/>
  <c r="AJ352" i="2" s="1"/>
  <c r="AU39" i="2"/>
  <c r="AU352" i="2" s="1"/>
  <c r="C39" i="2"/>
  <c r="C352" i="2" s="1"/>
  <c r="AA46" i="2"/>
  <c r="P46" i="2"/>
  <c r="O46" i="2"/>
  <c r="E46" i="2"/>
  <c r="Y39" i="2"/>
  <c r="Y352" i="2" s="1"/>
  <c r="L38" i="7" s="1"/>
  <c r="D46" i="2"/>
  <c r="AU46" i="2"/>
  <c r="Z46" i="2"/>
  <c r="Y46" i="2"/>
  <c r="AJ70" i="2" l="1"/>
  <c r="AJ82" i="2" s="1"/>
  <c r="Y251" i="2"/>
  <c r="Y264" i="2" s="1"/>
  <c r="Y277" i="2" s="1"/>
  <c r="Y293" i="2" s="1"/>
  <c r="AU70" i="2"/>
  <c r="AU82" i="2" s="1"/>
  <c r="N162" i="2"/>
  <c r="Y162" i="2"/>
  <c r="N120" i="2"/>
  <c r="AU189" i="2"/>
  <c r="AJ102" i="2"/>
  <c r="C120" i="2"/>
  <c r="C135" i="2" s="1"/>
  <c r="AJ189" i="2"/>
  <c r="Y102" i="2"/>
  <c r="Y222" i="2"/>
  <c r="Y202" i="2" s="1"/>
  <c r="Y209" i="2" s="1"/>
  <c r="AU135" i="2"/>
  <c r="AJ56" i="2"/>
  <c r="T9" i="1"/>
  <c r="Y120" i="2"/>
  <c r="N234" i="2"/>
  <c r="N135" i="2"/>
  <c r="Y135" i="2"/>
  <c r="AU222" i="2"/>
  <c r="AU202" i="2" s="1"/>
  <c r="AU209" i="2" s="1"/>
  <c r="Y189" i="2"/>
  <c r="N56" i="2"/>
  <c r="Y56" i="2"/>
  <c r="AU120" i="2"/>
  <c r="N70" i="2"/>
  <c r="N82" i="2" s="1"/>
  <c r="Y70" i="2"/>
  <c r="Y82" i="2" s="1"/>
  <c r="AU234" i="2"/>
  <c r="N251" i="2"/>
  <c r="N264" i="2" s="1"/>
  <c r="N277" i="2" s="1"/>
  <c r="N293" i="2" s="1"/>
  <c r="N306" i="2" s="1"/>
  <c r="AJ175" i="2"/>
  <c r="AU56" i="2"/>
  <c r="AJ120" i="2"/>
  <c r="AU162" i="2"/>
  <c r="N102" i="2"/>
  <c r="AJ234" i="2"/>
  <c r="AU175" i="2"/>
  <c r="N222" i="2"/>
  <c r="N202" i="2" s="1"/>
  <c r="N209" i="2" s="1"/>
  <c r="AJ251" i="2"/>
  <c r="AJ264" i="2" s="1"/>
  <c r="AJ277" i="2" s="1"/>
  <c r="AJ293" i="2" s="1"/>
  <c r="AJ135" i="2"/>
  <c r="N175" i="2"/>
  <c r="AJ222" i="2"/>
  <c r="AJ202" i="2" s="1"/>
  <c r="AJ209" i="2" s="1"/>
  <c r="C149" i="2"/>
  <c r="AB87" i="17"/>
  <c r="AB87" i="12"/>
  <c r="AB82" i="17"/>
  <c r="AB82" i="12"/>
  <c r="AB79" i="17"/>
  <c r="AB79" i="12"/>
  <c r="AB72" i="17"/>
  <c r="AB72" i="12"/>
  <c r="AB68" i="17"/>
  <c r="AB68" i="12"/>
  <c r="AB67" i="17"/>
  <c r="AB67" i="12"/>
  <c r="AB65" i="17"/>
  <c r="AB65" i="12"/>
  <c r="AB64" i="17"/>
  <c r="AB64" i="12"/>
  <c r="AB55" i="17"/>
  <c r="AB55" i="12"/>
  <c r="AB54" i="17"/>
  <c r="AB54" i="12"/>
  <c r="AB51" i="17"/>
  <c r="AB51" i="12"/>
  <c r="AB50" i="17"/>
  <c r="AB50" i="12"/>
  <c r="AL162" i="2"/>
  <c r="E53" i="2"/>
  <c r="C115" i="2" s="1"/>
  <c r="C113" i="2"/>
  <c r="C203" i="2"/>
  <c r="C187" i="2"/>
  <c r="M31" i="10"/>
  <c r="D53" i="2"/>
  <c r="D203" i="2" s="1"/>
  <c r="I74" i="1"/>
  <c r="I78" i="1"/>
  <c r="H74" i="1"/>
  <c r="H78" i="1"/>
  <c r="D251" i="2"/>
  <c r="D264" i="2" s="1"/>
  <c r="D277" i="2" s="1"/>
  <c r="D293" i="2" s="1"/>
  <c r="D331" i="2" s="1"/>
  <c r="D318" i="2" s="1"/>
  <c r="AK120" i="2"/>
  <c r="AK102" i="2"/>
  <c r="Z162" i="2"/>
  <c r="AK162" i="2"/>
  <c r="AV175" i="2"/>
  <c r="O56" i="2"/>
  <c r="AV135" i="2"/>
  <c r="O120" i="2"/>
  <c r="Z251" i="2"/>
  <c r="Z264" i="2" s="1"/>
  <c r="Z277" i="2" s="1"/>
  <c r="Z293" i="2" s="1"/>
  <c r="Z306" i="2" s="1"/>
  <c r="O189" i="2"/>
  <c r="I30" i="1"/>
  <c r="AW135" i="2"/>
  <c r="Z135" i="2"/>
  <c r="X93" i="2"/>
  <c r="AA92" i="2" s="1"/>
  <c r="P56" i="2"/>
  <c r="P70" i="2"/>
  <c r="P82" i="2" s="1"/>
  <c r="P120" i="2"/>
  <c r="AL189" i="2"/>
  <c r="AW162" i="2"/>
  <c r="AL135" i="2"/>
  <c r="AW189" i="2"/>
  <c r="E251" i="2"/>
  <c r="E264" i="2" s="1"/>
  <c r="E277" i="2" s="1"/>
  <c r="E293" i="2" s="1"/>
  <c r="E306" i="2" s="1"/>
  <c r="P102" i="2"/>
  <c r="K165" i="1"/>
  <c r="AW175" i="2"/>
  <c r="AA102" i="2"/>
  <c r="AL234" i="2"/>
  <c r="AW222" i="2"/>
  <c r="AW202" i="2" s="1"/>
  <c r="AW209" i="2" s="1"/>
  <c r="AA162" i="2"/>
  <c r="AA135" i="2"/>
  <c r="V9" i="1"/>
  <c r="AA189" i="2"/>
  <c r="P162" i="2"/>
  <c r="AL175" i="2"/>
  <c r="AW251" i="2"/>
  <c r="AW264" i="2" s="1"/>
  <c r="AW277" i="2" s="1"/>
  <c r="AW293" i="2" s="1"/>
  <c r="AW306" i="2" s="1"/>
  <c r="P135" i="2"/>
  <c r="AL70" i="2"/>
  <c r="AL82" i="2" s="1"/>
  <c r="AW56" i="2"/>
  <c r="P234" i="2"/>
  <c r="AL120" i="2"/>
  <c r="AW102" i="2"/>
  <c r="AA120" i="2"/>
  <c r="E120" i="2"/>
  <c r="E135" i="2" s="1"/>
  <c r="AL251" i="2"/>
  <c r="AL264" i="2" s="1"/>
  <c r="AL277" i="2" s="1"/>
  <c r="AL293" i="2" s="1"/>
  <c r="AL306" i="2" s="1"/>
  <c r="AA70" i="2"/>
  <c r="AA82" i="2" s="1"/>
  <c r="AA175" i="2"/>
  <c r="AA251" i="2"/>
  <c r="AA264" i="2" s="1"/>
  <c r="AA277" i="2" s="1"/>
  <c r="AA293" i="2" s="1"/>
  <c r="AA331" i="2" s="1"/>
  <c r="AA318" i="2" s="1"/>
  <c r="P189" i="2"/>
  <c r="L165" i="1"/>
  <c r="P165" i="1"/>
  <c r="P175" i="2"/>
  <c r="AL222" i="2"/>
  <c r="AL202" i="2" s="1"/>
  <c r="AL209" i="2" s="1"/>
  <c r="AW70" i="2"/>
  <c r="AW82" i="2" s="1"/>
  <c r="P149" i="2"/>
  <c r="AA222" i="2"/>
  <c r="AA202" i="2" s="1"/>
  <c r="AA209" i="2" s="1"/>
  <c r="AW234" i="2"/>
  <c r="AA234" i="2"/>
  <c r="E149" i="2"/>
  <c r="E175" i="2" s="1"/>
  <c r="E222" i="2" s="1"/>
  <c r="AL56" i="2"/>
  <c r="AL102" i="2"/>
  <c r="P251" i="2"/>
  <c r="P264" i="2" s="1"/>
  <c r="P277" i="2" s="1"/>
  <c r="P293" i="2" s="1"/>
  <c r="P306" i="2" s="1"/>
  <c r="AA56" i="2"/>
  <c r="P222" i="2"/>
  <c r="P202" i="2" s="1"/>
  <c r="P209" i="2" s="1"/>
  <c r="O25" i="1"/>
  <c r="J30" i="1"/>
  <c r="AV56" i="2"/>
  <c r="O70" i="2"/>
  <c r="O82" i="2" s="1"/>
  <c r="Z234" i="2"/>
  <c r="AV222" i="2"/>
  <c r="AV202" i="2" s="1"/>
  <c r="AV209" i="2" s="1"/>
  <c r="D149" i="2"/>
  <c r="D162" i="2" s="1"/>
  <c r="Z189" i="2"/>
  <c r="AV234" i="2"/>
  <c r="O234" i="2"/>
  <c r="AV162" i="2"/>
  <c r="O162" i="2"/>
  <c r="Z56" i="2"/>
  <c r="AV102" i="2"/>
  <c r="Z120" i="2"/>
  <c r="O149" i="2"/>
  <c r="AK222" i="2"/>
  <c r="AK202" i="2" s="1"/>
  <c r="AK209" i="2" s="1"/>
  <c r="AK70" i="2"/>
  <c r="AK82" i="2" s="1"/>
  <c r="U9" i="1"/>
  <c r="O222" i="2"/>
  <c r="O202" i="2" s="1"/>
  <c r="O209" i="2" s="1"/>
  <c r="AK175" i="2"/>
  <c r="AV70" i="2"/>
  <c r="AV82" i="2" s="1"/>
  <c r="O135" i="2"/>
  <c r="Z70" i="2"/>
  <c r="Z82" i="2" s="1"/>
  <c r="AV120" i="2"/>
  <c r="D120" i="2"/>
  <c r="D135" i="2" s="1"/>
  <c r="C82" i="2"/>
  <c r="AK189" i="2"/>
  <c r="O102" i="2"/>
  <c r="AK56" i="2"/>
  <c r="Z175" i="2"/>
  <c r="O251" i="2"/>
  <c r="O264" i="2" s="1"/>
  <c r="O277" i="2" s="1"/>
  <c r="O293" i="2" s="1"/>
  <c r="O306" i="2" s="1"/>
  <c r="Z102" i="2"/>
  <c r="AK251" i="2"/>
  <c r="AK264" i="2" s="1"/>
  <c r="AK277" i="2" s="1"/>
  <c r="AK293" i="2" s="1"/>
  <c r="AK331" i="2" s="1"/>
  <c r="AK318" i="2" s="1"/>
  <c r="O175" i="2"/>
  <c r="AK135" i="2"/>
  <c r="AK234" i="2"/>
  <c r="Z222" i="2"/>
  <c r="Z202" i="2" s="1"/>
  <c r="Z209" i="2" s="1"/>
  <c r="AV251" i="2"/>
  <c r="AV264" i="2" s="1"/>
  <c r="AV277" i="2" s="1"/>
  <c r="AV293" i="2" s="1"/>
  <c r="AV331" i="2" s="1"/>
  <c r="AV318" i="2" s="1"/>
  <c r="F274" i="2"/>
  <c r="AJ247" i="2"/>
  <c r="AU90" i="2"/>
  <c r="N289" i="2"/>
  <c r="AU247" i="2"/>
  <c r="N247" i="2"/>
  <c r="N260" i="2" s="1"/>
  <c r="AB89" i="2"/>
  <c r="Y289" i="2"/>
  <c r="N187" i="2"/>
  <c r="Q70" i="8"/>
  <c r="O77" i="2"/>
  <c r="Z63" i="2" s="1"/>
  <c r="AB64" i="8"/>
  <c r="AB72" i="8"/>
  <c r="N348" i="2"/>
  <c r="K36" i="7" s="1"/>
  <c r="Q66" i="8"/>
  <c r="P73" i="2"/>
  <c r="AA59" i="2" s="1"/>
  <c r="P77" i="2"/>
  <c r="AA63" i="2" s="1"/>
  <c r="P76" i="2"/>
  <c r="AA62" i="2" s="1"/>
  <c r="AB68" i="8"/>
  <c r="AB82" i="8"/>
  <c r="Q47" i="8"/>
  <c r="Q53" i="8"/>
  <c r="Q56" i="8"/>
  <c r="N72" i="2"/>
  <c r="Y58" i="2" s="1"/>
  <c r="AB79" i="8"/>
  <c r="AB87" i="8"/>
  <c r="P72" i="2"/>
  <c r="AA58" i="2" s="1"/>
  <c r="Q83" i="8"/>
  <c r="N270" i="2"/>
  <c r="Q89" i="2"/>
  <c r="AU289" i="2"/>
  <c r="AX89" i="2"/>
  <c r="C90" i="2"/>
  <c r="J28" i="10" s="1"/>
  <c r="Y247" i="2"/>
  <c r="Y260" i="2" s="1"/>
  <c r="AJ289" i="2"/>
  <c r="AJ187" i="2"/>
  <c r="F89" i="2"/>
  <c r="Y187" i="2"/>
  <c r="AJ90" i="2"/>
  <c r="C247" i="2"/>
  <c r="D261" i="2" s="1"/>
  <c r="C289" i="2"/>
  <c r="Q52" i="8"/>
  <c r="M38" i="7"/>
  <c r="C348" i="2"/>
  <c r="N76" i="2"/>
  <c r="Y62" i="2" s="1"/>
  <c r="M29" i="10"/>
  <c r="M32" i="10" s="1"/>
  <c r="N71" i="2"/>
  <c r="Y57" i="2" s="1"/>
  <c r="N38" i="7"/>
  <c r="AI92" i="2"/>
  <c r="AA91" i="2"/>
  <c r="O78" i="2"/>
  <c r="Z64" i="2" s="1"/>
  <c r="Q85" i="8"/>
  <c r="AA90" i="2"/>
  <c r="AI91" i="2"/>
  <c r="L35" i="7"/>
  <c r="M35" i="7"/>
  <c r="N35" i="7"/>
  <c r="F5" i="2"/>
  <c r="O74" i="2"/>
  <c r="Z60" i="2" s="1"/>
  <c r="E108" i="2"/>
  <c r="E85" i="2"/>
  <c r="E132" i="2"/>
  <c r="N274" i="2"/>
  <c r="D83" i="2"/>
  <c r="N67" i="2"/>
  <c r="D3" i="7" s="1"/>
  <c r="Q80" i="8"/>
  <c r="N73" i="2"/>
  <c r="Y59" i="2" s="1"/>
  <c r="Q69" i="8"/>
  <c r="C85" i="2"/>
  <c r="N271" i="2"/>
  <c r="D85" i="2"/>
  <c r="O57" i="2"/>
  <c r="D84" i="2"/>
  <c r="C83" i="2"/>
  <c r="N77" i="2"/>
  <c r="Y63" i="2" s="1"/>
  <c r="C84" i="2"/>
  <c r="Q49" i="8"/>
  <c r="N80" i="2"/>
  <c r="Y66" i="2" s="1"/>
  <c r="Q81" i="8"/>
  <c r="Q48" i="8"/>
  <c r="C162" i="2"/>
  <c r="C175" i="2"/>
  <c r="C222" i="2" s="1"/>
  <c r="C306" i="2"/>
  <c r="C331" i="2"/>
  <c r="C318" i="2" s="1"/>
  <c r="P80" i="2"/>
  <c r="AA66" i="2" s="1"/>
  <c r="N331" i="2"/>
  <c r="N318" i="2" s="1"/>
  <c r="E83" i="2"/>
  <c r="Q84" i="8"/>
  <c r="AJ306" i="2"/>
  <c r="AJ331" i="2"/>
  <c r="AJ318" i="2" s="1"/>
  <c r="E84" i="2"/>
  <c r="P75" i="2"/>
  <c r="AA61" i="2" s="1"/>
  <c r="Y331" i="2"/>
  <c r="Y318" i="2" s="1"/>
  <c r="Y306" i="2"/>
  <c r="AU306" i="2"/>
  <c r="AU331" i="2"/>
  <c r="AU318" i="2" s="1"/>
  <c r="F67" i="2"/>
  <c r="F96" i="2" s="1"/>
  <c r="C353" i="2"/>
  <c r="D131" i="2"/>
  <c r="E131" i="2"/>
  <c r="C131" i="2"/>
  <c r="C132" i="2"/>
  <c r="N353" i="2"/>
  <c r="K39" i="7" s="1"/>
  <c r="D132" i="2"/>
  <c r="AB65" i="8"/>
  <c r="AB67" i="8"/>
  <c r="K35" i="7"/>
  <c r="Z75" i="2"/>
  <c r="AK61" i="2" s="1"/>
  <c r="K38" i="7"/>
  <c r="Y75" i="2"/>
  <c r="AJ61" i="2" s="1"/>
  <c r="AB51" i="8"/>
  <c r="AA79" i="2"/>
  <c r="AL65" i="2" s="1"/>
  <c r="AA74" i="2"/>
  <c r="AL60" i="2" s="1"/>
  <c r="Z72" i="2"/>
  <c r="AK58" i="2" s="1"/>
  <c r="Z80" i="2"/>
  <c r="AK66" i="2" s="1"/>
  <c r="Y78" i="2"/>
  <c r="AJ64" i="2" s="1"/>
  <c r="AB54" i="8"/>
  <c r="Z76" i="2"/>
  <c r="AK62" i="2" s="1"/>
  <c r="AA71" i="2"/>
  <c r="AL57" i="2" s="1"/>
  <c r="P78" i="2"/>
  <c r="P67" i="2"/>
  <c r="D5" i="7" s="1"/>
  <c r="Q86" i="8"/>
  <c r="Y74" i="2"/>
  <c r="AJ60" i="2" s="1"/>
  <c r="AB50" i="8"/>
  <c r="Y79" i="2"/>
  <c r="AJ65" i="2" s="1"/>
  <c r="AB55" i="8"/>
  <c r="Z73" i="2"/>
  <c r="AK59" i="2" s="1"/>
  <c r="O79" i="2"/>
  <c r="Z65" i="2" s="1"/>
  <c r="Q71" i="8"/>
  <c r="O29" i="10"/>
  <c r="O32" i="10" s="1"/>
  <c r="N29" i="10"/>
  <c r="N32" i="10" s="1"/>
  <c r="E331" i="2" l="1"/>
  <c r="E318" i="2" s="1"/>
  <c r="AI93" i="2"/>
  <c r="AT93" i="2" s="1"/>
  <c r="AW92" i="2" s="1"/>
  <c r="AB88" i="17"/>
  <c r="AB88" i="12"/>
  <c r="AM87" i="17"/>
  <c r="AM87" i="12"/>
  <c r="AB85" i="17"/>
  <c r="AB85" i="12"/>
  <c r="AB84" i="8"/>
  <c r="AB84" i="17"/>
  <c r="AB84" i="12"/>
  <c r="AB83" i="17"/>
  <c r="AB83" i="12"/>
  <c r="AM82" i="17"/>
  <c r="AM82" i="12"/>
  <c r="AA73" i="2"/>
  <c r="AL59" i="2" s="1"/>
  <c r="AB81" i="17"/>
  <c r="AB81" i="12"/>
  <c r="AA72" i="2"/>
  <c r="AL58" i="2" s="1"/>
  <c r="AB80" i="17"/>
  <c r="AB80" i="12"/>
  <c r="AM79" i="17"/>
  <c r="AM79" i="12"/>
  <c r="AM72" i="17"/>
  <c r="AM72" i="12"/>
  <c r="AB71" i="17"/>
  <c r="AB71" i="12"/>
  <c r="AB70" i="17"/>
  <c r="AB70" i="12"/>
  <c r="AB69" i="17"/>
  <c r="AB69" i="12"/>
  <c r="AM68" i="17"/>
  <c r="AM68" i="12"/>
  <c r="AM67" i="17"/>
  <c r="AM67" i="12"/>
  <c r="AB66" i="17"/>
  <c r="AB66" i="12"/>
  <c r="AM65" i="17"/>
  <c r="AM65" i="12"/>
  <c r="AM64" i="17"/>
  <c r="AM64" i="12"/>
  <c r="AB56" i="17"/>
  <c r="AB56" i="12"/>
  <c r="AM55" i="17"/>
  <c r="AM55" i="12"/>
  <c r="AM54" i="17"/>
  <c r="AM54" i="12"/>
  <c r="AB53" i="17"/>
  <c r="AB53" i="12"/>
  <c r="Y76" i="2"/>
  <c r="AJ62" i="2" s="1"/>
  <c r="AJ312" i="2" s="1"/>
  <c r="AB52" i="17"/>
  <c r="AB52" i="12"/>
  <c r="AM51" i="17"/>
  <c r="AM51" i="12"/>
  <c r="AM50" i="17"/>
  <c r="AM50" i="12"/>
  <c r="AB49" i="17"/>
  <c r="AB49" i="12"/>
  <c r="AB48" i="17"/>
  <c r="AB48" i="12"/>
  <c r="Y71" i="2"/>
  <c r="AB47" i="17"/>
  <c r="AB47" i="12"/>
  <c r="AL307" i="2"/>
  <c r="AL308" i="2"/>
  <c r="AJ310" i="2"/>
  <c r="AK311" i="2"/>
  <c r="AJ314" i="2"/>
  <c r="AL315" i="2"/>
  <c r="AK309" i="2"/>
  <c r="AL310" i="2"/>
  <c r="AK308" i="2"/>
  <c r="AL309" i="2"/>
  <c r="AJ311" i="2"/>
  <c r="AK312" i="2"/>
  <c r="AJ315" i="2"/>
  <c r="AK316" i="2"/>
  <c r="AA307" i="2"/>
  <c r="Y308" i="2"/>
  <c r="Z309" i="2"/>
  <c r="AA310" i="2"/>
  <c r="Y312" i="2"/>
  <c r="Z313" i="2"/>
  <c r="Y316" i="2"/>
  <c r="AA311" i="2"/>
  <c r="Z314" i="2"/>
  <c r="Z308" i="2"/>
  <c r="AA309" i="2"/>
  <c r="Y311" i="2"/>
  <c r="Z312" i="2"/>
  <c r="AA313" i="2"/>
  <c r="Y315" i="2"/>
  <c r="Z316" i="2"/>
  <c r="Z310" i="2"/>
  <c r="AA315" i="2"/>
  <c r="AA308" i="2"/>
  <c r="Y310" i="2"/>
  <c r="Z311" i="2"/>
  <c r="AA312" i="2"/>
  <c r="Y314" i="2"/>
  <c r="Z315" i="2"/>
  <c r="AA316" i="2"/>
  <c r="Y309" i="2"/>
  <c r="Y313" i="2"/>
  <c r="Y307" i="2"/>
  <c r="P307" i="2"/>
  <c r="N308" i="2"/>
  <c r="O309" i="2"/>
  <c r="P310" i="2"/>
  <c r="N312" i="2"/>
  <c r="O313" i="2"/>
  <c r="P314" i="2"/>
  <c r="N316" i="2"/>
  <c r="O308" i="2"/>
  <c r="P309" i="2"/>
  <c r="N311" i="2"/>
  <c r="O312" i="2"/>
  <c r="P313" i="2"/>
  <c r="N315" i="2"/>
  <c r="O316" i="2"/>
  <c r="P308" i="2"/>
  <c r="N310" i="2"/>
  <c r="O311" i="2"/>
  <c r="P312" i="2"/>
  <c r="N314" i="2"/>
  <c r="O315" i="2"/>
  <c r="P316" i="2"/>
  <c r="N309" i="2"/>
  <c r="O310" i="2"/>
  <c r="P311" i="2"/>
  <c r="N313" i="2"/>
  <c r="O314" i="2"/>
  <c r="P315" i="2"/>
  <c r="N307" i="2"/>
  <c r="O307" i="2"/>
  <c r="E307" i="2"/>
  <c r="C308" i="2"/>
  <c r="D309" i="2"/>
  <c r="E310" i="2"/>
  <c r="C312" i="2"/>
  <c r="D313" i="2"/>
  <c r="E314" i="2"/>
  <c r="C316" i="2"/>
  <c r="E311" i="2"/>
  <c r="D308" i="2"/>
  <c r="E309" i="2"/>
  <c r="C311" i="2"/>
  <c r="D312" i="2"/>
  <c r="E313" i="2"/>
  <c r="C315" i="2"/>
  <c r="D316" i="2"/>
  <c r="D310" i="2"/>
  <c r="C313" i="2"/>
  <c r="E315" i="2"/>
  <c r="E308" i="2"/>
  <c r="C310" i="2"/>
  <c r="D311" i="2"/>
  <c r="E312" i="2"/>
  <c r="C314" i="2"/>
  <c r="D315" i="2"/>
  <c r="E316" i="2"/>
  <c r="C309" i="2"/>
  <c r="D314" i="2"/>
  <c r="C307" i="2"/>
  <c r="D307" i="2"/>
  <c r="AL294" i="2"/>
  <c r="AK296" i="2"/>
  <c r="AL297" i="2"/>
  <c r="AK295" i="2"/>
  <c r="AL296" i="2"/>
  <c r="AJ298" i="2"/>
  <c r="AK299" i="2"/>
  <c r="AJ302" i="2"/>
  <c r="AK303" i="2"/>
  <c r="AL295" i="2"/>
  <c r="AJ297" i="2"/>
  <c r="AK298" i="2"/>
  <c r="AJ301" i="2"/>
  <c r="AL302" i="2"/>
  <c r="Z295" i="2"/>
  <c r="Z299" i="2"/>
  <c r="Z303" i="2"/>
  <c r="Z302" i="2"/>
  <c r="Z296" i="2"/>
  <c r="Z300" i="2"/>
  <c r="Z297" i="2"/>
  <c r="Z301" i="2"/>
  <c r="Z298" i="2"/>
  <c r="Y295" i="2"/>
  <c r="AA297" i="2"/>
  <c r="Y299" i="2"/>
  <c r="Y303" i="2"/>
  <c r="Y297" i="2"/>
  <c r="Y296" i="2"/>
  <c r="AA298" i="2"/>
  <c r="AA302" i="2"/>
  <c r="AA296" i="2"/>
  <c r="Y298" i="2"/>
  <c r="AA300" i="2"/>
  <c r="Y302" i="2"/>
  <c r="AA295" i="2"/>
  <c r="AA299" i="2"/>
  <c r="Y301" i="2"/>
  <c r="AA303" i="2"/>
  <c r="Y300" i="2"/>
  <c r="AA294" i="2"/>
  <c r="Y294" i="2"/>
  <c r="N295" i="2"/>
  <c r="O296" i="2"/>
  <c r="P297" i="2"/>
  <c r="N299" i="2"/>
  <c r="O300" i="2"/>
  <c r="P301" i="2"/>
  <c r="N303" i="2"/>
  <c r="N297" i="2"/>
  <c r="P299" i="2"/>
  <c r="O302" i="2"/>
  <c r="O297" i="2"/>
  <c r="O301" i="2"/>
  <c r="O295" i="2"/>
  <c r="P296" i="2"/>
  <c r="N298" i="2"/>
  <c r="O299" i="2"/>
  <c r="P300" i="2"/>
  <c r="N302" i="2"/>
  <c r="O303" i="2"/>
  <c r="P295" i="2"/>
  <c r="O298" i="2"/>
  <c r="N301" i="2"/>
  <c r="P303" i="2"/>
  <c r="N296" i="2"/>
  <c r="P298" i="2"/>
  <c r="N300" i="2"/>
  <c r="P302" i="2"/>
  <c r="O294" i="2"/>
  <c r="P294" i="2"/>
  <c r="N294" i="2"/>
  <c r="E294" i="2"/>
  <c r="C295" i="2"/>
  <c r="D296" i="2"/>
  <c r="E297" i="2"/>
  <c r="C299" i="2"/>
  <c r="D300" i="2"/>
  <c r="E301" i="2"/>
  <c r="C303" i="2"/>
  <c r="D297" i="2"/>
  <c r="D301" i="2"/>
  <c r="D295" i="2"/>
  <c r="E296" i="2"/>
  <c r="C298" i="2"/>
  <c r="D299" i="2"/>
  <c r="E300" i="2"/>
  <c r="C302" i="2"/>
  <c r="D303" i="2"/>
  <c r="E298" i="2"/>
  <c r="E302" i="2"/>
  <c r="E295" i="2"/>
  <c r="C297" i="2"/>
  <c r="D298" i="2"/>
  <c r="E299" i="2"/>
  <c r="C301" i="2"/>
  <c r="D302" i="2"/>
  <c r="E303" i="2"/>
  <c r="C296" i="2"/>
  <c r="C300" i="2"/>
  <c r="C294" i="2"/>
  <c r="D294" i="2"/>
  <c r="D306" i="2"/>
  <c r="Z331" i="2"/>
  <c r="Z318" i="2" s="1"/>
  <c r="E203" i="2"/>
  <c r="C114" i="2"/>
  <c r="AW331" i="2"/>
  <c r="AW318" i="2" s="1"/>
  <c r="E162" i="2"/>
  <c r="AV306" i="2"/>
  <c r="AA306" i="2"/>
  <c r="P331" i="2"/>
  <c r="P318" i="2" s="1"/>
  <c r="D175" i="2"/>
  <c r="D222" i="2" s="1"/>
  <c r="D234" i="2" s="1"/>
  <c r="AL331" i="2"/>
  <c r="AL318" i="2" s="1"/>
  <c r="O165" i="1"/>
  <c r="N165" i="1"/>
  <c r="O331" i="2"/>
  <c r="O318" i="2" s="1"/>
  <c r="AL92" i="2"/>
  <c r="AK306" i="2"/>
  <c r="AB47" i="8"/>
  <c r="P252" i="2"/>
  <c r="P255" i="2"/>
  <c r="P258" i="2"/>
  <c r="P261" i="2"/>
  <c r="N252" i="2"/>
  <c r="P253" i="2"/>
  <c r="O254" i="2"/>
  <c r="P256" i="2"/>
  <c r="P257" i="2"/>
  <c r="O258" i="2"/>
  <c r="N259" i="2"/>
  <c r="O260" i="2"/>
  <c r="P254" i="2"/>
  <c r="N255" i="2"/>
  <c r="O259" i="2"/>
  <c r="O253" i="2"/>
  <c r="N254" i="2"/>
  <c r="O255" i="2"/>
  <c r="O257" i="2"/>
  <c r="N258" i="2"/>
  <c r="N261" i="2"/>
  <c r="O261" i="2"/>
  <c r="N253" i="2"/>
  <c r="N256" i="2"/>
  <c r="O256" i="2"/>
  <c r="N257" i="2"/>
  <c r="P259" i="2"/>
  <c r="P260" i="2"/>
  <c r="Y345" i="2"/>
  <c r="Y348" i="2" s="1"/>
  <c r="AJ345" i="2" s="1"/>
  <c r="AJ348" i="2" s="1"/>
  <c r="C260" i="2"/>
  <c r="AB69" i="8"/>
  <c r="AB66" i="8"/>
  <c r="AB70" i="8"/>
  <c r="AB85" i="8"/>
  <c r="AM79" i="8"/>
  <c r="AM64" i="8"/>
  <c r="AB48" i="8"/>
  <c r="AM80" i="8"/>
  <c r="AB80" i="8"/>
  <c r="AM82" i="8"/>
  <c r="AM68" i="8"/>
  <c r="AM72" i="8"/>
  <c r="AK256" i="2"/>
  <c r="AM81" i="8"/>
  <c r="AM65" i="8"/>
  <c r="AB83" i="8"/>
  <c r="AM50" i="8"/>
  <c r="AM54" i="8"/>
  <c r="AB71" i="8"/>
  <c r="AM55" i="8"/>
  <c r="AM87" i="8"/>
  <c r="Y72" i="2"/>
  <c r="AJ58" i="2" s="1"/>
  <c r="AJ295" i="2" s="1"/>
  <c r="AM51" i="8"/>
  <c r="AA77" i="2"/>
  <c r="AL63" i="2" s="1"/>
  <c r="AA76" i="2"/>
  <c r="AL62" i="2" s="1"/>
  <c r="AB81" i="8"/>
  <c r="E256" i="2"/>
  <c r="D255" i="2"/>
  <c r="E253" i="2"/>
  <c r="D258" i="2"/>
  <c r="D253" i="2"/>
  <c r="C258" i="2"/>
  <c r="D254" i="2"/>
  <c r="E257" i="2"/>
  <c r="C259" i="2"/>
  <c r="E252" i="2"/>
  <c r="C254" i="2"/>
  <c r="D257" i="2"/>
  <c r="C261" i="2"/>
  <c r="Y261" i="2"/>
  <c r="Z254" i="2"/>
  <c r="Y255" i="2"/>
  <c r="Z253" i="2"/>
  <c r="Y259" i="2"/>
  <c r="D252" i="2"/>
  <c r="C253" i="2"/>
  <c r="C256" i="2"/>
  <c r="D256" i="2"/>
  <c r="C257" i="2"/>
  <c r="E259" i="2"/>
  <c r="E261" i="2"/>
  <c r="C252" i="2"/>
  <c r="E254" i="2"/>
  <c r="E255" i="2"/>
  <c r="C255" i="2"/>
  <c r="E258" i="2"/>
  <c r="D259" i="2"/>
  <c r="D260" i="2"/>
  <c r="E260" i="2"/>
  <c r="AA261" i="2"/>
  <c r="AA255" i="2"/>
  <c r="AA260" i="2"/>
  <c r="AL72" i="2"/>
  <c r="AW58" i="2" s="1"/>
  <c r="AW308" i="2" s="1"/>
  <c r="Y252" i="2"/>
  <c r="AA252" i="2"/>
  <c r="Y256" i="2"/>
  <c r="Z257" i="2"/>
  <c r="Z261" i="2"/>
  <c r="Y253" i="2"/>
  <c r="AA257" i="2"/>
  <c r="Y257" i="2"/>
  <c r="AA253" i="2"/>
  <c r="AA254" i="2"/>
  <c r="Z256" i="2"/>
  <c r="AA258" i="2"/>
  <c r="Q63" i="8"/>
  <c r="AB52" i="8"/>
  <c r="Z74" i="2"/>
  <c r="AK60" i="2" s="1"/>
  <c r="AK297" i="2" s="1"/>
  <c r="AJ256" i="2"/>
  <c r="AJ260" i="2"/>
  <c r="Z78" i="2"/>
  <c r="AK64" i="2" s="1"/>
  <c r="AK314" i="2" s="1"/>
  <c r="O252" i="2"/>
  <c r="Z255" i="2"/>
  <c r="Y254" i="2"/>
  <c r="Z258" i="2"/>
  <c r="AL254" i="2"/>
  <c r="AL255" i="2"/>
  <c r="AJ255" i="2"/>
  <c r="Z260" i="2"/>
  <c r="AL253" i="2"/>
  <c r="AK254" i="2"/>
  <c r="AJ259" i="2"/>
  <c r="AA256" i="2"/>
  <c r="Y258" i="2"/>
  <c r="Z259" i="2"/>
  <c r="AL252" i="2"/>
  <c r="AK253" i="2"/>
  <c r="AK257" i="2"/>
  <c r="AL260" i="2"/>
  <c r="AK261" i="2"/>
  <c r="AT92" i="2"/>
  <c r="AW91" i="2" s="1"/>
  <c r="AL91" i="2"/>
  <c r="AL90" i="2"/>
  <c r="AT91" i="2"/>
  <c r="AW90" i="2" s="1"/>
  <c r="AB53" i="8"/>
  <c r="AB56" i="8"/>
  <c r="Y73" i="2"/>
  <c r="AJ59" i="2" s="1"/>
  <c r="AB49" i="8"/>
  <c r="D6" i="2"/>
  <c r="D7" i="2" s="1"/>
  <c r="D8" i="2" s="1"/>
  <c r="Y80" i="2"/>
  <c r="AJ66" i="2" s="1"/>
  <c r="C6" i="2"/>
  <c r="C7" i="2" s="1"/>
  <c r="C8" i="2" s="1"/>
  <c r="P84" i="2"/>
  <c r="N83" i="2"/>
  <c r="N85" i="2"/>
  <c r="Y77" i="2"/>
  <c r="AJ63" i="2" s="1"/>
  <c r="AA75" i="2"/>
  <c r="AL61" i="2" s="1"/>
  <c r="AL298" i="2" s="1"/>
  <c r="Y67" i="2"/>
  <c r="E3" i="7" s="1"/>
  <c r="N84" i="2"/>
  <c r="Z77" i="2"/>
  <c r="AK63" i="2" s="1"/>
  <c r="Y271" i="2"/>
  <c r="O67" i="2"/>
  <c r="D4" i="7" s="1"/>
  <c r="O71" i="2"/>
  <c r="O85" i="2" s="1"/>
  <c r="C234" i="2"/>
  <c r="C202" i="2"/>
  <c r="C209" i="2" s="1"/>
  <c r="E6" i="2"/>
  <c r="E7" i="2" s="1"/>
  <c r="E9" i="2" s="1"/>
  <c r="E234" i="2"/>
  <c r="E202" i="2"/>
  <c r="E209" i="2" s="1"/>
  <c r="C6" i="7"/>
  <c r="J33" i="10"/>
  <c r="AB88" i="8"/>
  <c r="AA80" i="2"/>
  <c r="AL66" i="2" s="1"/>
  <c r="AL316" i="2" s="1"/>
  <c r="Y350" i="2"/>
  <c r="Y353" i="2" s="1"/>
  <c r="L39" i="7" s="1"/>
  <c r="AM67" i="8"/>
  <c r="C9" i="7"/>
  <c r="V10" i="9"/>
  <c r="Y10" i="9" s="1"/>
  <c r="N42" i="2"/>
  <c r="N53" i="2" s="1"/>
  <c r="P85" i="2"/>
  <c r="AK75" i="2"/>
  <c r="AV61" i="2" s="1"/>
  <c r="AV311" i="2" s="1"/>
  <c r="P83" i="2"/>
  <c r="AA64" i="2"/>
  <c r="AA301" i="2" s="1"/>
  <c r="F53" i="2"/>
  <c r="C94" i="2" s="1"/>
  <c r="AK76" i="2"/>
  <c r="AV62" i="2" s="1"/>
  <c r="AV299" i="2" s="1"/>
  <c r="AK72" i="2"/>
  <c r="AV58" i="2" s="1"/>
  <c r="AV295" i="2" s="1"/>
  <c r="AJ79" i="2"/>
  <c r="AU65" i="2" s="1"/>
  <c r="AU302" i="2" s="1"/>
  <c r="AK80" i="2"/>
  <c r="AV66" i="2" s="1"/>
  <c r="AV316" i="2" s="1"/>
  <c r="AJ75" i="2"/>
  <c r="AU61" i="2" s="1"/>
  <c r="AU311" i="2" s="1"/>
  <c r="AJ78" i="2"/>
  <c r="AU64" i="2" s="1"/>
  <c r="AU314" i="2" s="1"/>
  <c r="AL74" i="2"/>
  <c r="AW60" i="2" s="1"/>
  <c r="AW310" i="2" s="1"/>
  <c r="AK73" i="2"/>
  <c r="AV59" i="2" s="1"/>
  <c r="AV296" i="2" s="1"/>
  <c r="AJ74" i="2"/>
  <c r="AU60" i="2" s="1"/>
  <c r="AU310" i="2" s="1"/>
  <c r="Z79" i="2"/>
  <c r="AK65" i="2" s="1"/>
  <c r="AK302" i="2" s="1"/>
  <c r="AL71" i="2"/>
  <c r="AW57" i="2" s="1"/>
  <c r="AW294" i="2" s="1"/>
  <c r="AL79" i="2"/>
  <c r="AW65" i="2" s="1"/>
  <c r="AW302" i="2" s="1"/>
  <c r="AJ57" i="2"/>
  <c r="AJ307" i="2" s="1"/>
  <c r="O42" i="2"/>
  <c r="O53" i="2" s="1"/>
  <c r="C10" i="7"/>
  <c r="P42" i="2"/>
  <c r="P53" i="2" s="1"/>
  <c r="C11" i="7"/>
  <c r="AJ257" i="2" l="1"/>
  <c r="AM52" i="8"/>
  <c r="AJ299" i="2"/>
  <c r="AJ76" i="2"/>
  <c r="AU62" i="2" s="1"/>
  <c r="AU312" i="2" s="1"/>
  <c r="AM88" i="17"/>
  <c r="AM88" i="12"/>
  <c r="AL303" i="2"/>
  <c r="AW315" i="2"/>
  <c r="AA314" i="2"/>
  <c r="AB86" i="17"/>
  <c r="AB86" i="12"/>
  <c r="AM85" i="17"/>
  <c r="AM85" i="12"/>
  <c r="AL300" i="2"/>
  <c r="AL313" i="2"/>
  <c r="AM84" i="17"/>
  <c r="AM84" i="12"/>
  <c r="AL299" i="2"/>
  <c r="AL312" i="2"/>
  <c r="AM83" i="17"/>
  <c r="AM83" i="12"/>
  <c r="AL311" i="2"/>
  <c r="AW297" i="2"/>
  <c r="AL73" i="2"/>
  <c r="AW59" i="2" s="1"/>
  <c r="AM81" i="17"/>
  <c r="AM81" i="12"/>
  <c r="AW295" i="2"/>
  <c r="AM80" i="17"/>
  <c r="AM80" i="12"/>
  <c r="AW307" i="2"/>
  <c r="AV303" i="2"/>
  <c r="AM71" i="17"/>
  <c r="AM71" i="12"/>
  <c r="AK315" i="2"/>
  <c r="AM70" i="17"/>
  <c r="AM70" i="12"/>
  <c r="AK301" i="2"/>
  <c r="AM69" i="17"/>
  <c r="AM69" i="12"/>
  <c r="AK300" i="2"/>
  <c r="AK313" i="2"/>
  <c r="AV312" i="2"/>
  <c r="AV298" i="2"/>
  <c r="AM66" i="17"/>
  <c r="AM66" i="12"/>
  <c r="AK310" i="2"/>
  <c r="AV309" i="2"/>
  <c r="AV308" i="2"/>
  <c r="AM56" i="17"/>
  <c r="AM56" i="12"/>
  <c r="AJ303" i="2"/>
  <c r="AJ316" i="2"/>
  <c r="AU315" i="2"/>
  <c r="AU301" i="2"/>
  <c r="AM53" i="17"/>
  <c r="AM53" i="12"/>
  <c r="AJ313" i="2"/>
  <c r="AJ300" i="2"/>
  <c r="AM52" i="17"/>
  <c r="AM52" i="12"/>
  <c r="AU298" i="2"/>
  <c r="AU297" i="2"/>
  <c r="AM49" i="17"/>
  <c r="AM49" i="12"/>
  <c r="AJ309" i="2"/>
  <c r="AJ296" i="2"/>
  <c r="AM48" i="17"/>
  <c r="AM48" i="12"/>
  <c r="AJ308" i="2"/>
  <c r="AJ294" i="2"/>
  <c r="AM47" i="17"/>
  <c r="AM47" i="12"/>
  <c r="N114" i="2"/>
  <c r="O203" i="2"/>
  <c r="N115" i="2"/>
  <c r="P203" i="2"/>
  <c r="N113" i="2"/>
  <c r="N203" i="2"/>
  <c r="D202" i="2"/>
  <c r="D209" i="2" s="1"/>
  <c r="Q67" i="2"/>
  <c r="L36" i="7"/>
  <c r="AM66" i="8"/>
  <c r="AM84" i="8"/>
  <c r="AL76" i="2"/>
  <c r="AW62" i="2" s="1"/>
  <c r="AL257" i="2"/>
  <c r="AM85" i="8"/>
  <c r="AL77" i="2"/>
  <c r="AW63" i="2" s="1"/>
  <c r="AM48" i="8"/>
  <c r="AK74" i="2"/>
  <c r="AV60" i="2" s="1"/>
  <c r="AL258" i="2"/>
  <c r="AX80" i="8"/>
  <c r="AJ72" i="2"/>
  <c r="AU58" i="2" s="1"/>
  <c r="AK255" i="2"/>
  <c r="AM70" i="8"/>
  <c r="AL261" i="2"/>
  <c r="AM53" i="8"/>
  <c r="AJ253" i="2"/>
  <c r="O84" i="2"/>
  <c r="Z57" i="2"/>
  <c r="C117" i="2"/>
  <c r="AW72" i="2"/>
  <c r="AW253" i="2"/>
  <c r="AK78" i="2"/>
  <c r="AV64" i="2" s="1"/>
  <c r="AK259" i="2"/>
  <c r="AX87" i="8"/>
  <c r="AW260" i="2"/>
  <c r="AX68" i="8"/>
  <c r="AV257" i="2"/>
  <c r="AM83" i="8"/>
  <c r="AL256" i="2"/>
  <c r="AM49" i="8"/>
  <c r="AJ254" i="2"/>
  <c r="AM47" i="8"/>
  <c r="AJ252" i="2"/>
  <c r="AX65" i="8"/>
  <c r="AV254" i="2"/>
  <c r="AX72" i="8"/>
  <c r="AV261" i="2"/>
  <c r="AX64" i="8"/>
  <c r="AV253" i="2"/>
  <c r="AM69" i="8"/>
  <c r="AK258" i="2"/>
  <c r="AM56" i="8"/>
  <c r="AJ261" i="2"/>
  <c r="AX50" i="8"/>
  <c r="AU255" i="2"/>
  <c r="AX54" i="8"/>
  <c r="AU259" i="2"/>
  <c r="AX51" i="8"/>
  <c r="AU256" i="2"/>
  <c r="AX67" i="8"/>
  <c r="AV256" i="2"/>
  <c r="AJ258" i="2"/>
  <c r="AX79" i="8"/>
  <c r="AW252" i="2"/>
  <c r="AM71" i="8"/>
  <c r="AK260" i="2"/>
  <c r="AX82" i="8"/>
  <c r="AW255" i="2"/>
  <c r="AX55" i="8"/>
  <c r="AU260" i="2"/>
  <c r="AB86" i="8"/>
  <c r="AA259" i="2"/>
  <c r="D9" i="2"/>
  <c r="D10" i="2" s="1"/>
  <c r="D157" i="2" s="1"/>
  <c r="C9" i="2"/>
  <c r="C10" i="2" s="1"/>
  <c r="AK77" i="2"/>
  <c r="AV63" i="2" s="1"/>
  <c r="Y83" i="2"/>
  <c r="AJ80" i="2"/>
  <c r="AU66" i="2" s="1"/>
  <c r="N6" i="2"/>
  <c r="N7" i="2" s="1"/>
  <c r="N8" i="2" s="1"/>
  <c r="O83" i="2"/>
  <c r="AJ73" i="2"/>
  <c r="AU59" i="2" s="1"/>
  <c r="Y85" i="2"/>
  <c r="Y84" i="2"/>
  <c r="AJ77" i="2"/>
  <c r="AU63" i="2" s="1"/>
  <c r="AL75" i="2"/>
  <c r="AW61" i="2" s="1"/>
  <c r="F6" i="2"/>
  <c r="E8" i="2"/>
  <c r="E10" i="2" s="1"/>
  <c r="E155" i="2" s="1"/>
  <c r="E168" i="2" s="1"/>
  <c r="F7" i="2"/>
  <c r="J32" i="10"/>
  <c r="AM88" i="8"/>
  <c r="AL80" i="2"/>
  <c r="AW66" i="2" s="1"/>
  <c r="AJ350" i="2"/>
  <c r="AJ353" i="2" s="1"/>
  <c r="M39" i="7" s="1"/>
  <c r="P6" i="2"/>
  <c r="P7" i="2" s="1"/>
  <c r="P8" i="2" s="1"/>
  <c r="AA78" i="2"/>
  <c r="AL64" i="2" s="1"/>
  <c r="AV75" i="2"/>
  <c r="AA67" i="2"/>
  <c r="E5" i="7" s="1"/>
  <c r="V11" i="9"/>
  <c r="Y11" i="9" s="1"/>
  <c r="V6" i="9"/>
  <c r="Y6" i="9" s="1"/>
  <c r="V4" i="9"/>
  <c r="Y4" i="9" s="1"/>
  <c r="V8" i="9"/>
  <c r="Y8" i="9" s="1"/>
  <c r="V12" i="9"/>
  <c r="Y12" i="9" s="1"/>
  <c r="V5" i="9"/>
  <c r="Y5" i="9" s="1"/>
  <c r="V7" i="9"/>
  <c r="Y7" i="9" s="1"/>
  <c r="V3" i="9"/>
  <c r="Y3" i="9" s="1"/>
  <c r="V9" i="9"/>
  <c r="Y9" i="9" s="1"/>
  <c r="AV73" i="2"/>
  <c r="AK79" i="2"/>
  <c r="AV65" i="2" s="1"/>
  <c r="AV80" i="2"/>
  <c r="AW74" i="2"/>
  <c r="AU75" i="2"/>
  <c r="AU79" i="2"/>
  <c r="AV72" i="2"/>
  <c r="AW79" i="2"/>
  <c r="AW71" i="2"/>
  <c r="AU78" i="2"/>
  <c r="AU74" i="2"/>
  <c r="AV76" i="2"/>
  <c r="AJ71" i="2"/>
  <c r="AU57" i="2" s="1"/>
  <c r="AJ67" i="2"/>
  <c r="C12" i="7"/>
  <c r="M36" i="7"/>
  <c r="AU345" i="2"/>
  <c r="AU348" i="2" s="1"/>
  <c r="N36" i="7" s="1"/>
  <c r="AA42" i="2"/>
  <c r="D11" i="7"/>
  <c r="AF12" i="9"/>
  <c r="AI12" i="9" s="1"/>
  <c r="AF8" i="9"/>
  <c r="AI8" i="9" s="1"/>
  <c r="AF9" i="9"/>
  <c r="AI9" i="9" s="1"/>
  <c r="AF6" i="9"/>
  <c r="AI6" i="9" s="1"/>
  <c r="AF5" i="9"/>
  <c r="AI5" i="9" s="1"/>
  <c r="AF10" i="9"/>
  <c r="AI10" i="9" s="1"/>
  <c r="AF3" i="9"/>
  <c r="AI3" i="9" s="1"/>
  <c r="AF7" i="9"/>
  <c r="AI7" i="9" s="1"/>
  <c r="AF4" i="9"/>
  <c r="AI4" i="9" s="1"/>
  <c r="AF11" i="9"/>
  <c r="AI11" i="9" s="1"/>
  <c r="Q42" i="2"/>
  <c r="AA11" i="9"/>
  <c r="AD11" i="9" s="1"/>
  <c r="AA9" i="9"/>
  <c r="AD9" i="9" s="1"/>
  <c r="AA7" i="9"/>
  <c r="AD7" i="9" s="1"/>
  <c r="AA10" i="9"/>
  <c r="AD10" i="9" s="1"/>
  <c r="AA4" i="9"/>
  <c r="AD4" i="9" s="1"/>
  <c r="AA6" i="9"/>
  <c r="AD6" i="9" s="1"/>
  <c r="AA5" i="9"/>
  <c r="AD5" i="9" s="1"/>
  <c r="AA3" i="9"/>
  <c r="AD3" i="9" s="1"/>
  <c r="AA8" i="9"/>
  <c r="AD8" i="9" s="1"/>
  <c r="AA12" i="9"/>
  <c r="AD12" i="9" s="1"/>
  <c r="Y42" i="2"/>
  <c r="Y53" i="2" s="1"/>
  <c r="Q53" i="2"/>
  <c r="N94" i="2" s="1"/>
  <c r="D9" i="7"/>
  <c r="Z42" i="2"/>
  <c r="D10" i="7"/>
  <c r="AU299" i="2" l="1"/>
  <c r="AU257" i="2"/>
  <c r="AU76" i="2"/>
  <c r="AX52" i="8"/>
  <c r="AW316" i="2"/>
  <c r="AW303" i="2"/>
  <c r="AM86" i="17"/>
  <c r="AM86" i="12"/>
  <c r="AL301" i="2"/>
  <c r="AL314" i="2"/>
  <c r="AW300" i="2"/>
  <c r="AW313" i="2"/>
  <c r="AW312" i="2"/>
  <c r="AW299" i="2"/>
  <c r="AW311" i="2"/>
  <c r="AW298" i="2"/>
  <c r="AX81" i="8"/>
  <c r="AW73" i="2"/>
  <c r="AW309" i="2"/>
  <c r="AW296" i="2"/>
  <c r="AW254" i="2"/>
  <c r="AV315" i="2"/>
  <c r="AV302" i="2"/>
  <c r="AV314" i="2"/>
  <c r="AV301" i="2"/>
  <c r="AV313" i="2"/>
  <c r="AV300" i="2"/>
  <c r="AV310" i="2"/>
  <c r="AV297" i="2"/>
  <c r="Z67" i="2"/>
  <c r="E4" i="7" s="1"/>
  <c r="AB63" i="17"/>
  <c r="AB63" i="12"/>
  <c r="Z307" i="2"/>
  <c r="Z294" i="2"/>
  <c r="AU303" i="2"/>
  <c r="AU316" i="2"/>
  <c r="AU300" i="2"/>
  <c r="AU313" i="2"/>
  <c r="AU309" i="2"/>
  <c r="AU296" i="2"/>
  <c r="AU308" i="2"/>
  <c r="AU295" i="2"/>
  <c r="AU294" i="2"/>
  <c r="AU307" i="2"/>
  <c r="Y113" i="2"/>
  <c r="Y203" i="2"/>
  <c r="Q96" i="2"/>
  <c r="O6" i="2"/>
  <c r="O7" i="2" s="1"/>
  <c r="AB63" i="8"/>
  <c r="Z71" i="2"/>
  <c r="AK57" i="2" s="1"/>
  <c r="Z252" i="2"/>
  <c r="AX48" i="8"/>
  <c r="AX84" i="8"/>
  <c r="AW257" i="2"/>
  <c r="AW76" i="2"/>
  <c r="AX70" i="8"/>
  <c r="AW261" i="2"/>
  <c r="AV255" i="2"/>
  <c r="AU258" i="2"/>
  <c r="AU72" i="2"/>
  <c r="AV74" i="2"/>
  <c r="AX66" i="8"/>
  <c r="AU253" i="2"/>
  <c r="AX85" i="8"/>
  <c r="AW77" i="2"/>
  <c r="AW258" i="2"/>
  <c r="F9" i="2"/>
  <c r="AV78" i="2"/>
  <c r="AV259" i="2"/>
  <c r="N117" i="2"/>
  <c r="AU77" i="2"/>
  <c r="F8" i="2"/>
  <c r="E157" i="2"/>
  <c r="E170" i="2" s="1"/>
  <c r="E151" i="2"/>
  <c r="E177" i="2" s="1"/>
  <c r="E191" i="2" s="1"/>
  <c r="AX71" i="8"/>
  <c r="AV260" i="2"/>
  <c r="AX83" i="8"/>
  <c r="AW256" i="2"/>
  <c r="AX56" i="8"/>
  <c r="AU261" i="2"/>
  <c r="AX47" i="8"/>
  <c r="AU252" i="2"/>
  <c r="AU80" i="2"/>
  <c r="AL259" i="2"/>
  <c r="AU254" i="2"/>
  <c r="E181" i="2"/>
  <c r="E195" i="2" s="1"/>
  <c r="E228" i="2" s="1"/>
  <c r="E153" i="2"/>
  <c r="E166" i="2" s="1"/>
  <c r="AX69" i="8"/>
  <c r="AV258" i="2"/>
  <c r="Z53" i="2"/>
  <c r="Z203" i="2" s="1"/>
  <c r="AA53" i="2"/>
  <c r="AA203" i="2" s="1"/>
  <c r="Y6" i="2"/>
  <c r="Y7" i="2" s="1"/>
  <c r="AV77" i="2"/>
  <c r="D6" i="7"/>
  <c r="AU73" i="2"/>
  <c r="AX49" i="8"/>
  <c r="E150" i="2"/>
  <c r="E176" i="2" s="1"/>
  <c r="E190" i="2" s="1"/>
  <c r="E223" i="2" s="1"/>
  <c r="AW75" i="2"/>
  <c r="E156" i="2"/>
  <c r="E182" i="2" s="1"/>
  <c r="E196" i="2" s="1"/>
  <c r="E229" i="2" s="1"/>
  <c r="E11" i="2"/>
  <c r="E152" i="2"/>
  <c r="E165" i="2" s="1"/>
  <c r="AX53" i="8"/>
  <c r="E154" i="2"/>
  <c r="E180" i="2" s="1"/>
  <c r="E194" i="2" s="1"/>
  <c r="E227" i="2" s="1"/>
  <c r="E158" i="2"/>
  <c r="E184" i="2" s="1"/>
  <c r="E198" i="2" s="1"/>
  <c r="E231" i="2" s="1"/>
  <c r="E159" i="2"/>
  <c r="E185" i="2" s="1"/>
  <c r="E199" i="2" s="1"/>
  <c r="E232" i="2" s="1"/>
  <c r="AX88" i="8"/>
  <c r="AW80" i="2"/>
  <c r="AU350" i="2"/>
  <c r="AU353" i="2" s="1"/>
  <c r="N39" i="7" s="1"/>
  <c r="P9" i="2"/>
  <c r="P10" i="2" s="1"/>
  <c r="P155" i="2" s="1"/>
  <c r="AL78" i="2"/>
  <c r="AL85" i="2" s="1"/>
  <c r="AA85" i="2"/>
  <c r="AA83" i="2"/>
  <c r="AA84" i="2"/>
  <c r="AL67" i="2"/>
  <c r="F5" i="7" s="1"/>
  <c r="AM86" i="8"/>
  <c r="D152" i="2"/>
  <c r="D165" i="2" s="1"/>
  <c r="D11" i="2"/>
  <c r="D150" i="2"/>
  <c r="D163" i="2" s="1"/>
  <c r="D153" i="2"/>
  <c r="D179" i="2" s="1"/>
  <c r="D193" i="2" s="1"/>
  <c r="D226" i="2" s="1"/>
  <c r="D155" i="2"/>
  <c r="D181" i="2" s="1"/>
  <c r="D195" i="2" s="1"/>
  <c r="D228" i="2" s="1"/>
  <c r="D159" i="2"/>
  <c r="D172" i="2" s="1"/>
  <c r="D151" i="2"/>
  <c r="D177" i="2" s="1"/>
  <c r="D191" i="2" s="1"/>
  <c r="D224" i="2" s="1"/>
  <c r="D158" i="2"/>
  <c r="D184" i="2" s="1"/>
  <c r="D198" i="2" s="1"/>
  <c r="D231" i="2" s="1"/>
  <c r="D154" i="2"/>
  <c r="D180" i="2" s="1"/>
  <c r="D194" i="2" s="1"/>
  <c r="D227" i="2" s="1"/>
  <c r="D156" i="2"/>
  <c r="D182" i="2" s="1"/>
  <c r="D196" i="2" s="1"/>
  <c r="D229" i="2" s="1"/>
  <c r="AU71" i="2"/>
  <c r="AU67" i="2"/>
  <c r="AV79" i="2"/>
  <c r="N9" i="2"/>
  <c r="C11" i="2"/>
  <c r="C157" i="2"/>
  <c r="C158" i="2"/>
  <c r="C156" i="2"/>
  <c r="F10" i="2"/>
  <c r="C155" i="2"/>
  <c r="C152" i="2"/>
  <c r="C150" i="2"/>
  <c r="C153" i="2"/>
  <c r="C159" i="2"/>
  <c r="C151" i="2"/>
  <c r="C154" i="2"/>
  <c r="F3" i="7"/>
  <c r="AJ84" i="2"/>
  <c r="AJ85" i="2"/>
  <c r="AJ83" i="2"/>
  <c r="D183" i="2"/>
  <c r="D197" i="2" s="1"/>
  <c r="D230" i="2" s="1"/>
  <c r="D170" i="2"/>
  <c r="D12" i="7"/>
  <c r="AB42" i="2"/>
  <c r="AB67" i="2" l="1"/>
  <c r="AK252" i="2"/>
  <c r="AM63" i="17"/>
  <c r="AM63" i="12"/>
  <c r="AK294" i="2"/>
  <c r="AK307" i="2"/>
  <c r="E224" i="2"/>
  <c r="E236" i="2" s="1"/>
  <c r="Y115" i="2"/>
  <c r="Y114" i="2"/>
  <c r="Y9" i="2"/>
  <c r="Y8" i="2"/>
  <c r="O9" i="2"/>
  <c r="Q9" i="2" s="1"/>
  <c r="O8" i="2"/>
  <c r="Q8" i="2" s="1"/>
  <c r="AK71" i="2"/>
  <c r="AK85" i="2" s="1"/>
  <c r="Q7" i="2"/>
  <c r="Z84" i="2"/>
  <c r="AK67" i="2"/>
  <c r="F4" i="7" s="1"/>
  <c r="Z85" i="2"/>
  <c r="AM63" i="8"/>
  <c r="Z83" i="2"/>
  <c r="Q6" i="2"/>
  <c r="E164" i="2"/>
  <c r="E240" i="2"/>
  <c r="E283" i="2" s="1"/>
  <c r="I9" i="10" s="1"/>
  <c r="V9" i="10" s="1"/>
  <c r="E5" i="10"/>
  <c r="E9" i="10"/>
  <c r="R9" i="10" s="1"/>
  <c r="E183" i="2"/>
  <c r="E197" i="2" s="1"/>
  <c r="E230" i="2" s="1"/>
  <c r="E179" i="2"/>
  <c r="E193" i="2" s="1"/>
  <c r="AL42" i="2"/>
  <c r="E11" i="7"/>
  <c r="AK42" i="2"/>
  <c r="E10" i="7"/>
  <c r="E239" i="2"/>
  <c r="E163" i="2"/>
  <c r="E167" i="2"/>
  <c r="E178" i="2"/>
  <c r="E192" i="2" s="1"/>
  <c r="E225" i="2" s="1"/>
  <c r="E235" i="2"/>
  <c r="E13" i="10"/>
  <c r="R13" i="10" s="1"/>
  <c r="E4" i="10"/>
  <c r="E243" i="2"/>
  <c r="AW64" i="2"/>
  <c r="E12" i="10"/>
  <c r="E171" i="2"/>
  <c r="E160" i="2"/>
  <c r="E172" i="2"/>
  <c r="E8" i="10"/>
  <c r="E169" i="2"/>
  <c r="E241" i="2"/>
  <c r="E244" i="2"/>
  <c r="E287" i="2" s="1"/>
  <c r="E10" i="10"/>
  <c r="AL83" i="2"/>
  <c r="AL84" i="2"/>
  <c r="D168" i="2"/>
  <c r="D166" i="2"/>
  <c r="AA6" i="2"/>
  <c r="AA7" i="2" s="1"/>
  <c r="D171" i="2"/>
  <c r="D164" i="2"/>
  <c r="D185" i="2"/>
  <c r="D199" i="2" s="1"/>
  <c r="D232" i="2" s="1"/>
  <c r="D167" i="2"/>
  <c r="D178" i="2"/>
  <c r="D192" i="2" s="1"/>
  <c r="D225" i="2" s="1"/>
  <c r="F11" i="2"/>
  <c r="F12" i="2" s="1"/>
  <c r="D160" i="2"/>
  <c r="D176" i="2"/>
  <c r="D190" i="2" s="1"/>
  <c r="D223" i="2" s="1"/>
  <c r="D169" i="2"/>
  <c r="P153" i="2"/>
  <c r="P166" i="2" s="1"/>
  <c r="P152" i="2"/>
  <c r="P165" i="2" s="1"/>
  <c r="P159" i="2"/>
  <c r="P185" i="2" s="1"/>
  <c r="P199" i="2" s="1"/>
  <c r="P232" i="2" s="1"/>
  <c r="P151" i="2"/>
  <c r="P177" i="2" s="1"/>
  <c r="P191" i="2" s="1"/>
  <c r="P224" i="2" s="1"/>
  <c r="P150" i="2"/>
  <c r="P163" i="2" s="1"/>
  <c r="P11" i="2"/>
  <c r="P157" i="2"/>
  <c r="P156" i="2"/>
  <c r="P182" i="2" s="1"/>
  <c r="P196" i="2" s="1"/>
  <c r="P229" i="2" s="1"/>
  <c r="P158" i="2"/>
  <c r="P184" i="2" s="1"/>
  <c r="P198" i="2" s="1"/>
  <c r="P231" i="2" s="1"/>
  <c r="P154" i="2"/>
  <c r="P167" i="2" s="1"/>
  <c r="C164" i="2"/>
  <c r="C177" i="2"/>
  <c r="C191" i="2" s="1"/>
  <c r="C224" i="2" s="1"/>
  <c r="C163" i="2"/>
  <c r="C176" i="2"/>
  <c r="C160" i="2"/>
  <c r="C182" i="2"/>
  <c r="C196" i="2" s="1"/>
  <c r="C229" i="2" s="1"/>
  <c r="C169" i="2"/>
  <c r="D11" i="10"/>
  <c r="D242" i="2"/>
  <c r="C185" i="2"/>
  <c r="C199" i="2" s="1"/>
  <c r="C232" i="2" s="1"/>
  <c r="C172" i="2"/>
  <c r="C165" i="2"/>
  <c r="C178" i="2"/>
  <c r="C192" i="2" s="1"/>
  <c r="C225" i="2" s="1"/>
  <c r="C184" i="2"/>
  <c r="C198" i="2" s="1"/>
  <c r="C231" i="2" s="1"/>
  <c r="C171" i="2"/>
  <c r="AJ6" i="2"/>
  <c r="C168" i="2"/>
  <c r="C181" i="2"/>
  <c r="C195" i="2" s="1"/>
  <c r="C228" i="2" s="1"/>
  <c r="C183" i="2"/>
  <c r="C197" i="2" s="1"/>
  <c r="C230" i="2" s="1"/>
  <c r="C170" i="2"/>
  <c r="P181" i="2"/>
  <c r="P195" i="2" s="1"/>
  <c r="P228" i="2" s="1"/>
  <c r="P168" i="2"/>
  <c r="G3" i="7"/>
  <c r="D12" i="10"/>
  <c r="D243" i="2"/>
  <c r="D5" i="10"/>
  <c r="D236" i="2"/>
  <c r="D9" i="10"/>
  <c r="D240" i="2"/>
  <c r="D10" i="10"/>
  <c r="D241" i="2"/>
  <c r="D8" i="10"/>
  <c r="D239" i="2"/>
  <c r="C167" i="2"/>
  <c r="C180" i="2"/>
  <c r="C194" i="2" s="1"/>
  <c r="C227" i="2" s="1"/>
  <c r="C166" i="2"/>
  <c r="C179" i="2"/>
  <c r="C193" i="2" s="1"/>
  <c r="C226" i="2" s="1"/>
  <c r="D7" i="10"/>
  <c r="D238" i="2"/>
  <c r="N10" i="2"/>
  <c r="AU83" i="2"/>
  <c r="AU84" i="2"/>
  <c r="AU85" i="2"/>
  <c r="AJ42" i="2"/>
  <c r="AB53" i="2"/>
  <c r="Y94" i="2" s="1"/>
  <c r="E9" i="7"/>
  <c r="E6" i="7" l="1"/>
  <c r="Y95" i="2"/>
  <c r="AW314" i="2"/>
  <c r="AW301" i="2"/>
  <c r="AB96" i="2"/>
  <c r="Y10" i="2"/>
  <c r="Y159" i="2" s="1"/>
  <c r="E226" i="2"/>
  <c r="E238" i="2" s="1"/>
  <c r="AA9" i="2"/>
  <c r="AA8" i="2"/>
  <c r="AK84" i="2"/>
  <c r="AV57" i="2"/>
  <c r="AK83" i="2"/>
  <c r="Z6" i="2"/>
  <c r="AB6" i="2" s="1"/>
  <c r="AM67" i="2"/>
  <c r="AJ95" i="2" s="1"/>
  <c r="AX86" i="8"/>
  <c r="AW67" i="2"/>
  <c r="G5" i="7" s="1"/>
  <c r="O10" i="2"/>
  <c r="O159" i="2" s="1"/>
  <c r="O185" i="2" s="1"/>
  <c r="O199" i="2" s="1"/>
  <c r="O232" i="2" s="1"/>
  <c r="AW78" i="2"/>
  <c r="AW85" i="2" s="1"/>
  <c r="C190" i="2"/>
  <c r="AW259" i="2"/>
  <c r="E173" i="2"/>
  <c r="Y117" i="2"/>
  <c r="E18" i="10"/>
  <c r="E20" i="10"/>
  <c r="E242" i="2"/>
  <c r="E7" i="10"/>
  <c r="E11" i="10"/>
  <c r="E21" i="10" s="1"/>
  <c r="E12" i="7"/>
  <c r="E6" i="10"/>
  <c r="AL6" i="2"/>
  <c r="AL7" i="2" s="1"/>
  <c r="E237" i="2"/>
  <c r="I13" i="10"/>
  <c r="V13" i="10" s="1"/>
  <c r="P240" i="2"/>
  <c r="P243" i="2"/>
  <c r="P241" i="2"/>
  <c r="P236" i="2"/>
  <c r="D244" i="2"/>
  <c r="D287" i="2" s="1"/>
  <c r="D6" i="10"/>
  <c r="D237" i="2"/>
  <c r="D235" i="2"/>
  <c r="D13" i="10"/>
  <c r="D173" i="2"/>
  <c r="C92" i="2" s="1"/>
  <c r="D4" i="10"/>
  <c r="P178" i="2"/>
  <c r="P192" i="2" s="1"/>
  <c r="P225" i="2" s="1"/>
  <c r="P179" i="2"/>
  <c r="P193" i="2" s="1"/>
  <c r="P226" i="2" s="1"/>
  <c r="P180" i="2"/>
  <c r="P194" i="2" s="1"/>
  <c r="P227" i="2" s="1"/>
  <c r="Y155" i="2"/>
  <c r="Y168" i="2" s="1"/>
  <c r="Y156" i="2"/>
  <c r="Y182" i="2" s="1"/>
  <c r="Y196" i="2" s="1"/>
  <c r="Y229" i="2" s="1"/>
  <c r="Y158" i="2"/>
  <c r="Y171" i="2" s="1"/>
  <c r="Y157" i="2"/>
  <c r="Y170" i="2" s="1"/>
  <c r="P172" i="2"/>
  <c r="Y151" i="2"/>
  <c r="Y164" i="2" s="1"/>
  <c r="P171" i="2"/>
  <c r="P176" i="2"/>
  <c r="P190" i="2" s="1"/>
  <c r="P223" i="2" s="1"/>
  <c r="P164" i="2"/>
  <c r="P169" i="2"/>
  <c r="P160" i="2"/>
  <c r="P170" i="2"/>
  <c r="P183" i="2"/>
  <c r="P197" i="2" s="1"/>
  <c r="P230" i="2" s="1"/>
  <c r="AU6" i="2"/>
  <c r="AU7" i="2" s="1"/>
  <c r="AU8" i="2" s="1"/>
  <c r="C173" i="2"/>
  <c r="C91" i="2" s="1"/>
  <c r="D20" i="10"/>
  <c r="C10" i="10"/>
  <c r="C241" i="2"/>
  <c r="F196" i="2"/>
  <c r="C236" i="2"/>
  <c r="C5" i="10"/>
  <c r="F191" i="2"/>
  <c r="N11" i="2"/>
  <c r="N157" i="2"/>
  <c r="N159" i="2"/>
  <c r="N155" i="2"/>
  <c r="N156" i="2"/>
  <c r="N158" i="2"/>
  <c r="N151" i="2"/>
  <c r="N153" i="2"/>
  <c r="N150" i="2"/>
  <c r="N152" i="2"/>
  <c r="N154" i="2"/>
  <c r="C7" i="10"/>
  <c r="F193" i="2"/>
  <c r="C238" i="2"/>
  <c r="F195" i="2"/>
  <c r="C9" i="10"/>
  <c r="P9" i="10" s="1"/>
  <c r="C240" i="2"/>
  <c r="C237" i="2"/>
  <c r="F192" i="2"/>
  <c r="C6" i="10"/>
  <c r="P6" i="10" s="1"/>
  <c r="P244" i="2"/>
  <c r="F173" i="2"/>
  <c r="F95" i="2" s="1"/>
  <c r="C8" i="10"/>
  <c r="F194" i="2"/>
  <c r="C239" i="2"/>
  <c r="C11" i="10"/>
  <c r="F197" i="2"/>
  <c r="C242" i="2"/>
  <c r="AJ7" i="2"/>
  <c r="AJ8" i="2" s="1"/>
  <c r="C12" i="10"/>
  <c r="F198" i="2"/>
  <c r="C243" i="2"/>
  <c r="F243" i="2" s="1"/>
  <c r="F199" i="2"/>
  <c r="C13" i="10"/>
  <c r="P13" i="10" s="1"/>
  <c r="C244" i="2"/>
  <c r="Y185" i="2"/>
  <c r="Y199" i="2" s="1"/>
  <c r="Y232" i="2" s="1"/>
  <c r="Y172" i="2"/>
  <c r="AM42" i="2"/>
  <c r="Y152" i="2" l="1"/>
  <c r="Y178" i="2" s="1"/>
  <c r="Y192" i="2" s="1"/>
  <c r="Y225" i="2" s="1"/>
  <c r="Y11" i="2"/>
  <c r="Y153" i="2"/>
  <c r="Y166" i="2" s="1"/>
  <c r="Y150" i="2"/>
  <c r="Y163" i="2" s="1"/>
  <c r="Y154" i="2"/>
  <c r="Y180" i="2" s="1"/>
  <c r="Y194" i="2" s="1"/>
  <c r="Y227" i="2" s="1"/>
  <c r="AA10" i="2"/>
  <c r="AA158" i="2" s="1"/>
  <c r="AA171" i="2" s="1"/>
  <c r="AV294" i="2"/>
  <c r="AV307" i="2"/>
  <c r="C4" i="10"/>
  <c r="C14" i="10" s="1"/>
  <c r="C28" i="10" s="1"/>
  <c r="C223" i="2"/>
  <c r="C235" i="2" s="1"/>
  <c r="AM96" i="2"/>
  <c r="AL9" i="2"/>
  <c r="AL8" i="2"/>
  <c r="C93" i="2"/>
  <c r="J31" i="10" s="1"/>
  <c r="AK6" i="2"/>
  <c r="AK7" i="2" s="1"/>
  <c r="AV67" i="2"/>
  <c r="G4" i="7" s="1"/>
  <c r="AV71" i="2"/>
  <c r="AV84" i="2" s="1"/>
  <c r="Z7" i="2"/>
  <c r="F6" i="7"/>
  <c r="AX63" i="8"/>
  <c r="AV252" i="2"/>
  <c r="O154" i="2"/>
  <c r="O180" i="2" s="1"/>
  <c r="O194" i="2" s="1"/>
  <c r="O227" i="2" s="1"/>
  <c r="O150" i="2"/>
  <c r="O163" i="2" s="1"/>
  <c r="AW84" i="2"/>
  <c r="AW83" i="2"/>
  <c r="O158" i="2"/>
  <c r="O184" i="2" s="1"/>
  <c r="O198" i="2" s="1"/>
  <c r="O231" i="2" s="1"/>
  <c r="O151" i="2"/>
  <c r="O164" i="2" s="1"/>
  <c r="O172" i="2"/>
  <c r="O155" i="2"/>
  <c r="O181" i="2" s="1"/>
  <c r="O195" i="2" s="1"/>
  <c r="O228" i="2" s="1"/>
  <c r="O152" i="2"/>
  <c r="O165" i="2" s="1"/>
  <c r="O11" i="2"/>
  <c r="Q11" i="2" s="1"/>
  <c r="O157" i="2"/>
  <c r="O183" i="2" s="1"/>
  <c r="O197" i="2" s="1"/>
  <c r="O230" i="2" s="1"/>
  <c r="Q10" i="2"/>
  <c r="O153" i="2"/>
  <c r="O179" i="2" s="1"/>
  <c r="O193" i="2" s="1"/>
  <c r="O226" i="2" s="1"/>
  <c r="O156" i="2"/>
  <c r="O169" i="2" s="1"/>
  <c r="F190" i="2"/>
  <c r="C51" i="7" s="1"/>
  <c r="J51" i="7" s="1"/>
  <c r="E272" i="2"/>
  <c r="E285" i="2" s="1"/>
  <c r="I11" i="10" s="1"/>
  <c r="F242" i="2"/>
  <c r="E19" i="10"/>
  <c r="Y179" i="2"/>
  <c r="Y193" i="2" s="1"/>
  <c r="Y226" i="2" s="1"/>
  <c r="D270" i="2"/>
  <c r="E14" i="10"/>
  <c r="E28" i="10" s="1"/>
  <c r="E273" i="2"/>
  <c r="E286" i="2" s="1"/>
  <c r="I12" i="10" s="1"/>
  <c r="E265" i="2"/>
  <c r="E278" i="2" s="1"/>
  <c r="I4" i="10" s="1"/>
  <c r="E269" i="2"/>
  <c r="E282" i="2" s="1"/>
  <c r="I8" i="10" s="1"/>
  <c r="E266" i="2"/>
  <c r="E279" i="2" s="1"/>
  <c r="I5" i="10" s="1"/>
  <c r="E268" i="2"/>
  <c r="E281" i="2" s="1"/>
  <c r="I7" i="10" s="1"/>
  <c r="E267" i="2"/>
  <c r="E280" i="2" s="1"/>
  <c r="I6" i="10" s="1"/>
  <c r="E271" i="2"/>
  <c r="E284" i="2" s="1"/>
  <c r="I10" i="10" s="1"/>
  <c r="I20" i="10" s="1"/>
  <c r="H13" i="10"/>
  <c r="U13" i="10" s="1"/>
  <c r="F97" i="2"/>
  <c r="C18" i="7" s="1"/>
  <c r="C64" i="7" s="1"/>
  <c r="J64" i="7" s="1"/>
  <c r="F10" i="10"/>
  <c r="P10" i="10"/>
  <c r="F8" i="10"/>
  <c r="F12" i="10"/>
  <c r="F5" i="10"/>
  <c r="P5" i="10"/>
  <c r="D19" i="10"/>
  <c r="F7" i="10"/>
  <c r="D21" i="10"/>
  <c r="Q13" i="10"/>
  <c r="P238" i="2"/>
  <c r="P242" i="2"/>
  <c r="P237" i="2"/>
  <c r="P239" i="2"/>
  <c r="P235" i="2"/>
  <c r="AA11" i="2"/>
  <c r="AA150" i="2"/>
  <c r="AA176" i="2" s="1"/>
  <c r="AA190" i="2" s="1"/>
  <c r="AA223" i="2" s="1"/>
  <c r="AA155" i="2"/>
  <c r="AA181" i="2" s="1"/>
  <c r="AA195" i="2" s="1"/>
  <c r="AA228" i="2" s="1"/>
  <c r="AA157" i="2"/>
  <c r="AA183" i="2" s="1"/>
  <c r="AA197" i="2" s="1"/>
  <c r="AA230" i="2" s="1"/>
  <c r="J30" i="10"/>
  <c r="D265" i="2"/>
  <c r="D278" i="2" s="1"/>
  <c r="F13" i="10"/>
  <c r="D14" i="10"/>
  <c r="D28" i="10" s="1"/>
  <c r="D18" i="10"/>
  <c r="D268" i="2"/>
  <c r="D281" i="2" s="1"/>
  <c r="D273" i="2"/>
  <c r="D286" i="2" s="1"/>
  <c r="D266" i="2"/>
  <c r="D279" i="2" s="1"/>
  <c r="D267" i="2"/>
  <c r="D280" i="2" s="1"/>
  <c r="D269" i="2"/>
  <c r="D282" i="2" s="1"/>
  <c r="D272" i="2"/>
  <c r="D285" i="2" s="1"/>
  <c r="D271" i="2"/>
  <c r="Y169" i="2"/>
  <c r="Y165" i="2"/>
  <c r="Y176" i="2"/>
  <c r="Y190" i="2" s="1"/>
  <c r="Y223" i="2" s="1"/>
  <c r="Y184" i="2"/>
  <c r="Y198" i="2" s="1"/>
  <c r="Y231" i="2" s="1"/>
  <c r="Y181" i="2"/>
  <c r="Y195" i="2" s="1"/>
  <c r="Y228" i="2" s="1"/>
  <c r="Y167" i="2"/>
  <c r="Y183" i="2"/>
  <c r="Y197" i="2" s="1"/>
  <c r="Y230" i="2" s="1"/>
  <c r="Y177" i="2"/>
  <c r="Y191" i="2" s="1"/>
  <c r="Y224" i="2" s="1"/>
  <c r="O176" i="2"/>
  <c r="O190" i="2" s="1"/>
  <c r="O223" i="2" s="1"/>
  <c r="P173" i="2"/>
  <c r="N93" i="2" s="1"/>
  <c r="C60" i="7"/>
  <c r="J60" i="7" s="1"/>
  <c r="C279" i="2"/>
  <c r="F236" i="2"/>
  <c r="C287" i="2"/>
  <c r="F244" i="2"/>
  <c r="AU9" i="2"/>
  <c r="Y244" i="2"/>
  <c r="C54" i="7"/>
  <c r="J54" i="7" s="1"/>
  <c r="C57" i="7"/>
  <c r="J57" i="7" s="1"/>
  <c r="N167" i="2"/>
  <c r="N180" i="2"/>
  <c r="N194" i="2" s="1"/>
  <c r="N227" i="2" s="1"/>
  <c r="N179" i="2"/>
  <c r="N193" i="2" s="1"/>
  <c r="N226" i="2" s="1"/>
  <c r="N166" i="2"/>
  <c r="N168" i="2"/>
  <c r="N181" i="2"/>
  <c r="N195" i="2" s="1"/>
  <c r="N228" i="2" s="1"/>
  <c r="C284" i="2"/>
  <c r="F241" i="2"/>
  <c r="F6" i="10"/>
  <c r="C19" i="10"/>
  <c r="N182" i="2"/>
  <c r="N196" i="2" s="1"/>
  <c r="N229" i="2" s="1"/>
  <c r="N169" i="2"/>
  <c r="AJ9" i="2"/>
  <c r="F11" i="10"/>
  <c r="C21" i="10"/>
  <c r="C280" i="2"/>
  <c r="F237" i="2"/>
  <c r="N165" i="2"/>
  <c r="N178" i="2"/>
  <c r="N192" i="2" s="1"/>
  <c r="N225" i="2" s="1"/>
  <c r="N164" i="2"/>
  <c r="N177" i="2"/>
  <c r="N191" i="2" s="1"/>
  <c r="N224" i="2" s="1"/>
  <c r="N185" i="2"/>
  <c r="N199" i="2" s="1"/>
  <c r="N232" i="2" s="1"/>
  <c r="N172" i="2"/>
  <c r="J29" i="10"/>
  <c r="C20" i="10"/>
  <c r="F9" i="10"/>
  <c r="O244" i="2"/>
  <c r="Y241" i="2"/>
  <c r="C283" i="2"/>
  <c r="F240" i="2"/>
  <c r="N163" i="2"/>
  <c r="N176" i="2"/>
  <c r="N190" i="2" s="1"/>
  <c r="N223" i="2" s="1"/>
  <c r="N160" i="2"/>
  <c r="N184" i="2"/>
  <c r="N198" i="2" s="1"/>
  <c r="N231" i="2" s="1"/>
  <c r="N171" i="2"/>
  <c r="N183" i="2"/>
  <c r="N197" i="2" s="1"/>
  <c r="N230" i="2" s="1"/>
  <c r="N170" i="2"/>
  <c r="F239" i="2"/>
  <c r="F238" i="2"/>
  <c r="AA156" i="2" l="1"/>
  <c r="AA182" i="2" s="1"/>
  <c r="AA196" i="2" s="1"/>
  <c r="AA229" i="2" s="1"/>
  <c r="AA184" i="2"/>
  <c r="AA198" i="2" s="1"/>
  <c r="AA231" i="2" s="1"/>
  <c r="Y160" i="2"/>
  <c r="AA154" i="2"/>
  <c r="AA180" i="2" s="1"/>
  <c r="AA194" i="2" s="1"/>
  <c r="AA227" i="2" s="1"/>
  <c r="AA152" i="2"/>
  <c r="AA165" i="2" s="1"/>
  <c r="AA151" i="2"/>
  <c r="AA177" i="2" s="1"/>
  <c r="AA191" i="2" s="1"/>
  <c r="AA224" i="2" s="1"/>
  <c r="AA236" i="2" s="1"/>
  <c r="Y237" i="2"/>
  <c r="Y239" i="2"/>
  <c r="AM6" i="2"/>
  <c r="AA159" i="2"/>
  <c r="AA185" i="2" s="1"/>
  <c r="AA199" i="2" s="1"/>
  <c r="AA232" i="2" s="1"/>
  <c r="AA153" i="2"/>
  <c r="AA179" i="2" s="1"/>
  <c r="AA193" i="2" s="1"/>
  <c r="AA226" i="2" s="1"/>
  <c r="F4" i="10"/>
  <c r="F14" i="10" s="1"/>
  <c r="AX67" i="2"/>
  <c r="C18" i="10"/>
  <c r="F18" i="10" s="1"/>
  <c r="AL10" i="2"/>
  <c r="AL154" i="2" s="1"/>
  <c r="AL180" i="2" s="1"/>
  <c r="AL194" i="2" s="1"/>
  <c r="AV83" i="2"/>
  <c r="AK9" i="2"/>
  <c r="AM9" i="2" s="1"/>
  <c r="AK8" i="2"/>
  <c r="AM8" i="2" s="1"/>
  <c r="Z8" i="2"/>
  <c r="AB8" i="2" s="1"/>
  <c r="Q12" i="2"/>
  <c r="AM7" i="2"/>
  <c r="AV85" i="2"/>
  <c r="O177" i="2"/>
  <c r="O191" i="2" s="1"/>
  <c r="O224" i="2" s="1"/>
  <c r="AB7" i="2"/>
  <c r="Z9" i="2"/>
  <c r="AB9" i="2" s="1"/>
  <c r="O167" i="2"/>
  <c r="O239" i="2"/>
  <c r="AW6" i="2"/>
  <c r="AW7" i="2" s="1"/>
  <c r="O178" i="2"/>
  <c r="O192" i="2" s="1"/>
  <c r="O225" i="2" s="1"/>
  <c r="O168" i="2"/>
  <c r="O171" i="2"/>
  <c r="O166" i="2"/>
  <c r="O243" i="2"/>
  <c r="O160" i="2"/>
  <c r="O240" i="2"/>
  <c r="O182" i="2"/>
  <c r="O196" i="2" s="1"/>
  <c r="O229" i="2" s="1"/>
  <c r="O242" i="2"/>
  <c r="O170" i="2"/>
  <c r="O238" i="2"/>
  <c r="P274" i="2"/>
  <c r="P287" i="2" s="1"/>
  <c r="P270" i="2"/>
  <c r="P283" i="2" s="1"/>
  <c r="C273" i="2"/>
  <c r="C286" i="2" s="1"/>
  <c r="C272" i="2"/>
  <c r="F272" i="2" s="1"/>
  <c r="F235" i="2"/>
  <c r="C268" i="2"/>
  <c r="F268" i="2" s="1"/>
  <c r="C269" i="2"/>
  <c r="C282" i="2" s="1"/>
  <c r="C265" i="2"/>
  <c r="C278" i="2" s="1"/>
  <c r="Y238" i="2"/>
  <c r="AA163" i="2"/>
  <c r="AA166" i="2"/>
  <c r="C100" i="2"/>
  <c r="F271" i="2"/>
  <c r="I21" i="10"/>
  <c r="I18" i="10"/>
  <c r="I14" i="10"/>
  <c r="E32" i="10" s="1"/>
  <c r="I19" i="10"/>
  <c r="H5" i="10"/>
  <c r="H11" i="10"/>
  <c r="H12" i="10"/>
  <c r="H8" i="10"/>
  <c r="H7" i="10"/>
  <c r="H4" i="10"/>
  <c r="AA170" i="2"/>
  <c r="AA168" i="2"/>
  <c r="O13" i="10"/>
  <c r="S13" i="10"/>
  <c r="Y236" i="2"/>
  <c r="AA242" i="2"/>
  <c r="Y242" i="2"/>
  <c r="Y240" i="2"/>
  <c r="Y243" i="2"/>
  <c r="AA240" i="2"/>
  <c r="AA235" i="2"/>
  <c r="Y235" i="2"/>
  <c r="Q194" i="2"/>
  <c r="N239" i="2"/>
  <c r="P271" i="2"/>
  <c r="P284" i="2" s="1"/>
  <c r="P265" i="2"/>
  <c r="P278" i="2" s="1"/>
  <c r="P273" i="2"/>
  <c r="P286" i="2" s="1"/>
  <c r="P267" i="2"/>
  <c r="P280" i="2" s="1"/>
  <c r="P272" i="2"/>
  <c r="P285" i="2" s="1"/>
  <c r="P268" i="2"/>
  <c r="P281" i="2" s="1"/>
  <c r="P269" i="2"/>
  <c r="P282" i="2" s="1"/>
  <c r="P266" i="2"/>
  <c r="P279" i="2" s="1"/>
  <c r="O235" i="2"/>
  <c r="AA167" i="2"/>
  <c r="J35" i="10"/>
  <c r="F28" i="10"/>
  <c r="F270" i="2"/>
  <c r="D283" i="2"/>
  <c r="F266" i="2"/>
  <c r="F267" i="2"/>
  <c r="Y173" i="2"/>
  <c r="Y91" i="2" s="1"/>
  <c r="D284" i="2"/>
  <c r="AJ10" i="2"/>
  <c r="AJ157" i="2" s="1"/>
  <c r="AU10" i="2"/>
  <c r="AU159" i="2" s="1"/>
  <c r="Q198" i="2"/>
  <c r="N243" i="2"/>
  <c r="N236" i="2"/>
  <c r="F20" i="10"/>
  <c r="G20" i="10"/>
  <c r="H6" i="10"/>
  <c r="G9" i="10"/>
  <c r="T9" i="10" s="1"/>
  <c r="N173" i="2"/>
  <c r="N91" i="2" s="1"/>
  <c r="N244" i="2"/>
  <c r="Q199" i="2"/>
  <c r="F21" i="10"/>
  <c r="F19" i="10"/>
  <c r="Q195" i="2"/>
  <c r="N240" i="2"/>
  <c r="Q197" i="2"/>
  <c r="N242" i="2"/>
  <c r="Q190" i="2"/>
  <c r="N235" i="2"/>
  <c r="Y284" i="2"/>
  <c r="N237" i="2"/>
  <c r="G6" i="10"/>
  <c r="T6" i="10" s="1"/>
  <c r="F280" i="2"/>
  <c r="N241" i="2"/>
  <c r="G10" i="10"/>
  <c r="T10" i="10" s="1"/>
  <c r="Q193" i="2"/>
  <c r="N238" i="2"/>
  <c r="F287" i="2"/>
  <c r="G13" i="10"/>
  <c r="T13" i="10" s="1"/>
  <c r="G5" i="10"/>
  <c r="T5" i="10" s="1"/>
  <c r="F279" i="2"/>
  <c r="AA239" i="2" l="1"/>
  <c r="AA169" i="2"/>
  <c r="AA178" i="2"/>
  <c r="AA192" i="2" s="1"/>
  <c r="AA225" i="2" s="1"/>
  <c r="AA243" i="2"/>
  <c r="AA164" i="2"/>
  <c r="AA241" i="2"/>
  <c r="AA172" i="2"/>
  <c r="AA160" i="2"/>
  <c r="AX96" i="2"/>
  <c r="AU95" i="2"/>
  <c r="AA244" i="2"/>
  <c r="AA238" i="2"/>
  <c r="G6" i="7"/>
  <c r="AL157" i="2"/>
  <c r="AL170" i="2" s="1"/>
  <c r="AL11" i="2"/>
  <c r="AL152" i="2"/>
  <c r="AL165" i="2" s="1"/>
  <c r="AL151" i="2"/>
  <c r="AL164" i="2" s="1"/>
  <c r="AL155" i="2"/>
  <c r="AL181" i="2" s="1"/>
  <c r="AL195" i="2" s="1"/>
  <c r="AL156" i="2"/>
  <c r="AL182" i="2" s="1"/>
  <c r="AL196" i="2" s="1"/>
  <c r="AL150" i="2"/>
  <c r="AL176" i="2" s="1"/>
  <c r="AL190" i="2" s="1"/>
  <c r="AL153" i="2"/>
  <c r="AL166" i="2" s="1"/>
  <c r="AL158" i="2"/>
  <c r="AL184" i="2" s="1"/>
  <c r="AL198" i="2" s="1"/>
  <c r="AV6" i="2"/>
  <c r="AX6" i="2" s="1"/>
  <c r="AL159" i="2"/>
  <c r="AL172" i="2" s="1"/>
  <c r="C106" i="2"/>
  <c r="C109" i="2" s="1"/>
  <c r="AK10" i="2"/>
  <c r="AK157" i="2" s="1"/>
  <c r="AK183" i="2" s="1"/>
  <c r="AK197" i="2" s="1"/>
  <c r="AW9" i="2"/>
  <c r="AW8" i="2"/>
  <c r="D106" i="2"/>
  <c r="D109" i="2" s="1"/>
  <c r="E106" i="2"/>
  <c r="E109" i="2" s="1"/>
  <c r="P103" i="2" s="1"/>
  <c r="P107" i="2" s="1"/>
  <c r="Z10" i="2"/>
  <c r="Z157" i="2" s="1"/>
  <c r="Q191" i="2"/>
  <c r="D51" i="7" s="1"/>
  <c r="K51" i="7" s="1"/>
  <c r="O236" i="2"/>
  <c r="Q236" i="2" s="1"/>
  <c r="Q192" i="2"/>
  <c r="D54" i="7" s="1"/>
  <c r="K54" i="7" s="1"/>
  <c r="O237" i="2"/>
  <c r="Q237" i="2" s="1"/>
  <c r="O173" i="2"/>
  <c r="N92" i="2" s="1"/>
  <c r="Q196" i="2"/>
  <c r="D57" i="7" s="1"/>
  <c r="K57" i="7" s="1"/>
  <c r="O241" i="2"/>
  <c r="Q173" i="2"/>
  <c r="Y267" i="2"/>
  <c r="Y280" i="2" s="1"/>
  <c r="N267" i="2"/>
  <c r="N280" i="2" s="1"/>
  <c r="N266" i="2"/>
  <c r="N279" i="2" s="1"/>
  <c r="F269" i="2"/>
  <c r="F265" i="2"/>
  <c r="AL163" i="2"/>
  <c r="F273" i="2"/>
  <c r="C285" i="2"/>
  <c r="C281" i="2"/>
  <c r="F281" i="2" s="1"/>
  <c r="Y274" i="2"/>
  <c r="Y287" i="2" s="1"/>
  <c r="Y270" i="2"/>
  <c r="Y283" i="2" s="1"/>
  <c r="AA237" i="2"/>
  <c r="AL167" i="2"/>
  <c r="AL171" i="2"/>
  <c r="E26" i="10"/>
  <c r="C15" i="7"/>
  <c r="C63" i="7" s="1"/>
  <c r="J63" i="7" s="1"/>
  <c r="H21" i="10"/>
  <c r="H18" i="10"/>
  <c r="G8" i="10"/>
  <c r="J8" i="10" s="1"/>
  <c r="F284" i="2"/>
  <c r="H9" i="10"/>
  <c r="J9" i="10" s="1"/>
  <c r="N88" i="2"/>
  <c r="H19" i="10"/>
  <c r="J5" i="10"/>
  <c r="J13" i="10"/>
  <c r="W13" i="10" s="1"/>
  <c r="Y272" i="2"/>
  <c r="Y285" i="2" s="1"/>
  <c r="Y268" i="2"/>
  <c r="Y281" i="2" s="1"/>
  <c r="Y265" i="2"/>
  <c r="Y278" i="2" s="1"/>
  <c r="Y273" i="2"/>
  <c r="Y286" i="2" s="1"/>
  <c r="Y269" i="2"/>
  <c r="Y282" i="2" s="1"/>
  <c r="Y266" i="2"/>
  <c r="Y279" i="2" s="1"/>
  <c r="F283" i="2"/>
  <c r="H10" i="10"/>
  <c r="AJ152" i="2"/>
  <c r="AJ178" i="2" s="1"/>
  <c r="AJ192" i="2" s="1"/>
  <c r="AJ11" i="2"/>
  <c r="AJ154" i="2"/>
  <c r="AJ167" i="2" s="1"/>
  <c r="AJ158" i="2"/>
  <c r="AJ184" i="2" s="1"/>
  <c r="AJ198" i="2" s="1"/>
  <c r="AJ155" i="2"/>
  <c r="AJ181" i="2" s="1"/>
  <c r="AJ195" i="2" s="1"/>
  <c r="AJ151" i="2"/>
  <c r="AJ164" i="2" s="1"/>
  <c r="AJ153" i="2"/>
  <c r="AJ166" i="2" s="1"/>
  <c r="AJ159" i="2"/>
  <c r="AJ172" i="2" s="1"/>
  <c r="AJ150" i="2"/>
  <c r="AJ163" i="2" s="1"/>
  <c r="AJ156" i="2"/>
  <c r="AJ182" i="2" s="1"/>
  <c r="AJ196" i="2" s="1"/>
  <c r="AJ229" i="2" s="1"/>
  <c r="AU156" i="2"/>
  <c r="AU182" i="2" s="1"/>
  <c r="AU196" i="2" s="1"/>
  <c r="AU155" i="2"/>
  <c r="AU181" i="2" s="1"/>
  <c r="AU195" i="2" s="1"/>
  <c r="AU158" i="2"/>
  <c r="AU184" i="2" s="1"/>
  <c r="AU198" i="2" s="1"/>
  <c r="AU150" i="2"/>
  <c r="AU176" i="2" s="1"/>
  <c r="AU190" i="2" s="1"/>
  <c r="AU157" i="2"/>
  <c r="AU183" i="2" s="1"/>
  <c r="AU197" i="2" s="1"/>
  <c r="AU151" i="2"/>
  <c r="AU164" i="2" s="1"/>
  <c r="AU152" i="2"/>
  <c r="AU165" i="2" s="1"/>
  <c r="AU11" i="2"/>
  <c r="AU154" i="2"/>
  <c r="AU167" i="2" s="1"/>
  <c r="AU153" i="2"/>
  <c r="AU166" i="2" s="1"/>
  <c r="F282" i="2"/>
  <c r="J6" i="10"/>
  <c r="Q239" i="2"/>
  <c r="Q240" i="2"/>
  <c r="N283" i="2"/>
  <c r="N287" i="2"/>
  <c r="Q244" i="2"/>
  <c r="F278" i="2"/>
  <c r="C52" i="7" s="1"/>
  <c r="J52" i="7" s="1"/>
  <c r="G4" i="10"/>
  <c r="N273" i="2"/>
  <c r="N268" i="2"/>
  <c r="N269" i="2"/>
  <c r="N265" i="2"/>
  <c r="N272" i="2"/>
  <c r="Q235" i="2"/>
  <c r="G12" i="10"/>
  <c r="F286" i="2"/>
  <c r="Q238" i="2"/>
  <c r="Q242" i="2"/>
  <c r="AU185" i="2"/>
  <c r="AU199" i="2" s="1"/>
  <c r="AU172" i="2"/>
  <c r="N284" i="2"/>
  <c r="Q243" i="2"/>
  <c r="D60" i="7"/>
  <c r="K60" i="7" s="1"/>
  <c r="AJ183" i="2"/>
  <c r="AJ197" i="2" s="1"/>
  <c r="AJ170" i="2"/>
  <c r="AA173" i="2" l="1"/>
  <c r="Y93" i="2" s="1"/>
  <c r="AL178" i="2"/>
  <c r="AL192" i="2" s="1"/>
  <c r="AL183" i="2"/>
  <c r="AL197" i="2" s="1"/>
  <c r="AM197" i="2" s="1"/>
  <c r="AA274" i="2"/>
  <c r="AA287" i="2" s="1"/>
  <c r="AV7" i="2"/>
  <c r="AV8" i="2" s="1"/>
  <c r="AK158" i="2"/>
  <c r="AK184" i="2" s="1"/>
  <c r="AK198" i="2" s="1"/>
  <c r="AM198" i="2" s="1"/>
  <c r="AK159" i="2"/>
  <c r="AK172" i="2" s="1"/>
  <c r="AK154" i="2"/>
  <c r="AK180" i="2" s="1"/>
  <c r="AK194" i="2" s="1"/>
  <c r="AL179" i="2"/>
  <c r="AL193" i="2" s="1"/>
  <c r="AL185" i="2"/>
  <c r="AL199" i="2" s="1"/>
  <c r="AL177" i="2"/>
  <c r="AL191" i="2" s="1"/>
  <c r="AL168" i="2"/>
  <c r="AL160" i="2"/>
  <c r="AL169" i="2"/>
  <c r="AK11" i="2"/>
  <c r="AM11" i="2" s="1"/>
  <c r="AK152" i="2"/>
  <c r="AK165" i="2" s="1"/>
  <c r="AK170" i="2"/>
  <c r="AK153" i="2"/>
  <c r="AK179" i="2" s="1"/>
  <c r="AK193" i="2" s="1"/>
  <c r="AK150" i="2"/>
  <c r="AK176" i="2" s="1"/>
  <c r="AK190" i="2" s="1"/>
  <c r="AK156" i="2"/>
  <c r="AK182" i="2" s="1"/>
  <c r="AK196" i="2" s="1"/>
  <c r="AM196" i="2" s="1"/>
  <c r="AK155" i="2"/>
  <c r="AK168" i="2" s="1"/>
  <c r="AK151" i="2"/>
  <c r="AK164" i="2" s="1"/>
  <c r="AM10" i="2"/>
  <c r="Q95" i="2"/>
  <c r="Q97" i="2" s="1"/>
  <c r="D18" i="7" s="1"/>
  <c r="AW10" i="2"/>
  <c r="AW157" i="2" s="1"/>
  <c r="AW183" i="2" s="1"/>
  <c r="AW197" i="2" s="1"/>
  <c r="Z11" i="2"/>
  <c r="AB11" i="2" s="1"/>
  <c r="D323" i="2"/>
  <c r="D336" i="2" s="1"/>
  <c r="L8" i="10" s="1"/>
  <c r="D320" i="2"/>
  <c r="D333" i="2" s="1"/>
  <c r="O103" i="2"/>
  <c r="O107" i="2" s="1"/>
  <c r="D327" i="2"/>
  <c r="D340" i="2" s="1"/>
  <c r="L12" i="10" s="1"/>
  <c r="D319" i="2"/>
  <c r="D332" i="2" s="1"/>
  <c r="C23" i="7"/>
  <c r="J23" i="7" s="1"/>
  <c r="D321" i="2"/>
  <c r="D334" i="2" s="1"/>
  <c r="L6" i="10" s="1"/>
  <c r="D325" i="2"/>
  <c r="D338" i="2" s="1"/>
  <c r="D328" i="2"/>
  <c r="D341" i="2" s="1"/>
  <c r="D322" i="2"/>
  <c r="D335" i="2" s="1"/>
  <c r="L7" i="10" s="1"/>
  <c r="D326" i="2"/>
  <c r="D339" i="2" s="1"/>
  <c r="L11" i="10" s="1"/>
  <c r="D324" i="2"/>
  <c r="D337" i="2" s="1"/>
  <c r="L9" i="10" s="1"/>
  <c r="Z156" i="2"/>
  <c r="Z169" i="2" s="1"/>
  <c r="Z154" i="2"/>
  <c r="Z180" i="2" s="1"/>
  <c r="Z194" i="2" s="1"/>
  <c r="Z227" i="2" s="1"/>
  <c r="Z150" i="2"/>
  <c r="Z176" i="2" s="1"/>
  <c r="Z190" i="2" s="1"/>
  <c r="Z223" i="2" s="1"/>
  <c r="Z153" i="2"/>
  <c r="Z166" i="2" s="1"/>
  <c r="Z155" i="2"/>
  <c r="Z168" i="2" s="1"/>
  <c r="AB10" i="2"/>
  <c r="Z158" i="2"/>
  <c r="Z184" i="2" s="1"/>
  <c r="Z198" i="2" s="1"/>
  <c r="Z231" i="2" s="1"/>
  <c r="Z159" i="2"/>
  <c r="Z172" i="2" s="1"/>
  <c r="Z152" i="2"/>
  <c r="Z165" i="2" s="1"/>
  <c r="Z151" i="2"/>
  <c r="Z177" i="2" s="1"/>
  <c r="Z191" i="2" s="1"/>
  <c r="Z224" i="2" s="1"/>
  <c r="G11" i="10"/>
  <c r="J11" i="10" s="1"/>
  <c r="O11" i="10" s="1"/>
  <c r="O267" i="2"/>
  <c r="Q267" i="2" s="1"/>
  <c r="O273" i="2"/>
  <c r="O286" i="2" s="1"/>
  <c r="O271" i="2"/>
  <c r="O284" i="2" s="1"/>
  <c r="Q284" i="2" s="1"/>
  <c r="Q241" i="2"/>
  <c r="O266" i="2"/>
  <c r="Q266" i="2" s="1"/>
  <c r="O270" i="2"/>
  <c r="Q270" i="2" s="1"/>
  <c r="O268" i="2"/>
  <c r="O281" i="2" s="1"/>
  <c r="O272" i="2"/>
  <c r="O285" i="2" s="1"/>
  <c r="O269" i="2"/>
  <c r="O282" i="2" s="1"/>
  <c r="O274" i="2"/>
  <c r="Q274" i="2" s="1"/>
  <c r="O265" i="2"/>
  <c r="O278" i="2" s="1"/>
  <c r="G7" i="10"/>
  <c r="J7" i="10" s="1"/>
  <c r="O7" i="10" s="1"/>
  <c r="F285" i="2"/>
  <c r="C61" i="7" s="1"/>
  <c r="J61" i="7" s="1"/>
  <c r="C322" i="2"/>
  <c r="N100" i="2"/>
  <c r="AA267" i="2"/>
  <c r="AA280" i="2" s="1"/>
  <c r="AA271" i="2"/>
  <c r="AA284" i="2" s="1"/>
  <c r="AA270" i="2"/>
  <c r="AA283" i="2" s="1"/>
  <c r="AA266" i="2"/>
  <c r="AA279" i="2" s="1"/>
  <c r="AA265" i="2"/>
  <c r="AA278" i="2" s="1"/>
  <c r="AA268" i="2"/>
  <c r="AA281" i="2" s="1"/>
  <c r="AA273" i="2"/>
  <c r="AA286" i="2" s="1"/>
  <c r="AA272" i="2"/>
  <c r="AA285" i="2" s="1"/>
  <c r="AA269" i="2"/>
  <c r="AA282" i="2" s="1"/>
  <c r="C24" i="7"/>
  <c r="J24" i="7" s="1"/>
  <c r="C323" i="2"/>
  <c r="C319" i="2"/>
  <c r="C332" i="2" s="1"/>
  <c r="C324" i="2"/>
  <c r="C320" i="2"/>
  <c r="C333" i="2" s="1"/>
  <c r="K5" i="10" s="1"/>
  <c r="C325" i="2"/>
  <c r="C328" i="2"/>
  <c r="C341" i="2" s="1"/>
  <c r="K13" i="10" s="1"/>
  <c r="C321" i="2"/>
  <c r="C326" i="2"/>
  <c r="C339" i="2" s="1"/>
  <c r="C22" i="7"/>
  <c r="J22" i="7" s="1"/>
  <c r="C327" i="2"/>
  <c r="C340" i="2" s="1"/>
  <c r="N103" i="2"/>
  <c r="C58" i="7"/>
  <c r="J58" i="7" s="1"/>
  <c r="E319" i="2"/>
  <c r="E324" i="2"/>
  <c r="E337" i="2" s="1"/>
  <c r="M9" i="10" s="1"/>
  <c r="E328" i="2"/>
  <c r="E341" i="2" s="1"/>
  <c r="M13" i="10" s="1"/>
  <c r="E327" i="2"/>
  <c r="E340" i="2" s="1"/>
  <c r="M12" i="10" s="1"/>
  <c r="E321" i="2"/>
  <c r="E334" i="2" s="1"/>
  <c r="M6" i="10" s="1"/>
  <c r="E326" i="2"/>
  <c r="E339" i="2" s="1"/>
  <c r="M11" i="10" s="1"/>
  <c r="E323" i="2"/>
  <c r="E336" i="2" s="1"/>
  <c r="M8" i="10" s="1"/>
  <c r="E322" i="2"/>
  <c r="E335" i="2" s="1"/>
  <c r="M7" i="10" s="1"/>
  <c r="E325" i="2"/>
  <c r="E338" i="2" s="1"/>
  <c r="M10" i="10" s="1"/>
  <c r="E320" i="2"/>
  <c r="E333" i="2" s="1"/>
  <c r="M5" i="10" s="1"/>
  <c r="AJ165" i="2"/>
  <c r="O5" i="10"/>
  <c r="H14" i="10"/>
  <c r="D32" i="10" s="1"/>
  <c r="O9" i="10"/>
  <c r="O6" i="10"/>
  <c r="J12" i="10"/>
  <c r="O8" i="10"/>
  <c r="P105" i="2"/>
  <c r="AU170" i="2"/>
  <c r="J10" i="10"/>
  <c r="H20" i="10"/>
  <c r="AJ179" i="2"/>
  <c r="AJ193" i="2" s="1"/>
  <c r="AU163" i="2"/>
  <c r="AW159" i="2"/>
  <c r="AW185" i="2" s="1"/>
  <c r="AW199" i="2" s="1"/>
  <c r="AU171" i="2"/>
  <c r="AU178" i="2"/>
  <c r="AU192" i="2" s="1"/>
  <c r="AK171" i="2"/>
  <c r="AJ185" i="2"/>
  <c r="AJ199" i="2" s="1"/>
  <c r="AW150" i="2"/>
  <c r="AW176" i="2" s="1"/>
  <c r="AW190" i="2" s="1"/>
  <c r="AW11" i="2"/>
  <c r="AW158" i="2"/>
  <c r="AW184" i="2" s="1"/>
  <c r="AW198" i="2" s="1"/>
  <c r="AW170" i="2"/>
  <c r="AW152" i="2"/>
  <c r="AJ168" i="2"/>
  <c r="AJ171" i="2"/>
  <c r="AJ180" i="2"/>
  <c r="AJ194" i="2" s="1"/>
  <c r="AU180" i="2"/>
  <c r="AU194" i="2" s="1"/>
  <c r="AU169" i="2"/>
  <c r="AJ176" i="2"/>
  <c r="AJ190" i="2" s="1"/>
  <c r="AU168" i="2"/>
  <c r="AJ177" i="2"/>
  <c r="AJ191" i="2" s="1"/>
  <c r="AJ169" i="2"/>
  <c r="AJ160" i="2"/>
  <c r="C55" i="7"/>
  <c r="J55" i="7" s="1"/>
  <c r="AU177" i="2"/>
  <c r="AU191" i="2" s="1"/>
  <c r="AU179" i="2"/>
  <c r="AU193" i="2" s="1"/>
  <c r="AU160" i="2"/>
  <c r="N285" i="2"/>
  <c r="N286" i="2"/>
  <c r="AV9" i="2"/>
  <c r="AX9" i="2" s="1"/>
  <c r="AX8" i="2"/>
  <c r="AX7" i="2"/>
  <c r="N281" i="2"/>
  <c r="N282" i="2"/>
  <c r="AJ241" i="2"/>
  <c r="N278" i="2"/>
  <c r="J4" i="10"/>
  <c r="G18" i="10"/>
  <c r="P104" i="2"/>
  <c r="Z170" i="2"/>
  <c r="Z183" i="2"/>
  <c r="Z197" i="2" s="1"/>
  <c r="Z230" i="2" s="1"/>
  <c r="AL173" i="2" l="1"/>
  <c r="AJ93" i="2" s="1"/>
  <c r="AK163" i="2"/>
  <c r="AK185" i="2"/>
  <c r="AK199" i="2" s="1"/>
  <c r="AM199" i="2" s="1"/>
  <c r="F60" i="7" s="1"/>
  <c r="M60" i="7" s="1"/>
  <c r="AM12" i="2"/>
  <c r="AK181" i="2"/>
  <c r="AK195" i="2" s="1"/>
  <c r="AM195" i="2" s="1"/>
  <c r="F57" i="7" s="1"/>
  <c r="M57" i="7" s="1"/>
  <c r="AK167" i="2"/>
  <c r="AK178" i="2"/>
  <c r="AK192" i="2" s="1"/>
  <c r="AM192" i="2" s="1"/>
  <c r="AK169" i="2"/>
  <c r="AW155" i="2"/>
  <c r="AW153" i="2"/>
  <c r="AW179" i="2" s="1"/>
  <c r="AW193" i="2" s="1"/>
  <c r="AW151" i="2"/>
  <c r="AW164" i="2" s="1"/>
  <c r="AW154" i="2"/>
  <c r="AW180" i="2" s="1"/>
  <c r="AW194" i="2" s="1"/>
  <c r="AW156" i="2"/>
  <c r="AW182" i="2" s="1"/>
  <c r="AW196" i="2" s="1"/>
  <c r="AK160" i="2"/>
  <c r="AK166" i="2"/>
  <c r="AK177" i="2"/>
  <c r="AK191" i="2" s="1"/>
  <c r="AM191" i="2" s="1"/>
  <c r="J31" i="7"/>
  <c r="C338" i="2"/>
  <c r="K10" i="10" s="1"/>
  <c r="J30" i="7"/>
  <c r="C337" i="2"/>
  <c r="K9" i="10" s="1"/>
  <c r="C335" i="2"/>
  <c r="K7" i="10" s="1"/>
  <c r="P7" i="10" s="1"/>
  <c r="D64" i="7"/>
  <c r="K64" i="7" s="1"/>
  <c r="D19" i="7"/>
  <c r="N107" i="2"/>
  <c r="N108" i="2"/>
  <c r="P108" i="2" s="1"/>
  <c r="O104" i="2"/>
  <c r="O106" i="2"/>
  <c r="P106" i="2"/>
  <c r="N106" i="2"/>
  <c r="Y88" i="2"/>
  <c r="Z182" i="2"/>
  <c r="Z196" i="2" s="1"/>
  <c r="Z167" i="2"/>
  <c r="AB12" i="2"/>
  <c r="Z163" i="2"/>
  <c r="O105" i="2"/>
  <c r="Z179" i="2"/>
  <c r="Z193" i="2" s="1"/>
  <c r="Z226" i="2" s="1"/>
  <c r="Z185" i="2"/>
  <c r="Z199" i="2" s="1"/>
  <c r="Z232" i="2" s="1"/>
  <c r="Z181" i="2"/>
  <c r="Z195" i="2" s="1"/>
  <c r="Z164" i="2"/>
  <c r="Z160" i="2"/>
  <c r="Z178" i="2"/>
  <c r="Z192" i="2" s="1"/>
  <c r="Z225" i="2" s="1"/>
  <c r="Z171" i="2"/>
  <c r="G21" i="10"/>
  <c r="O280" i="2"/>
  <c r="Q280" i="2" s="1"/>
  <c r="C336" i="2"/>
  <c r="F336" i="2" s="1"/>
  <c r="C334" i="2"/>
  <c r="K6" i="10" s="1"/>
  <c r="N6" i="10" s="1"/>
  <c r="Q268" i="2"/>
  <c r="Q273" i="2"/>
  <c r="O279" i="2"/>
  <c r="Q279" i="2" s="1"/>
  <c r="Q282" i="2"/>
  <c r="Q286" i="2"/>
  <c r="Q272" i="2"/>
  <c r="Q271" i="2"/>
  <c r="O283" i="2"/>
  <c r="Q283" i="2" s="1"/>
  <c r="D58" i="7" s="1"/>
  <c r="K58" i="7" s="1"/>
  <c r="Q285" i="2"/>
  <c r="Q265" i="2"/>
  <c r="Q278" i="2"/>
  <c r="Q269" i="2"/>
  <c r="O287" i="2"/>
  <c r="Q287" i="2" s="1"/>
  <c r="G14" i="10"/>
  <c r="C32" i="10" s="1"/>
  <c r="F32" i="10" s="1"/>
  <c r="G19" i="10"/>
  <c r="D15" i="7"/>
  <c r="D16" i="7" s="1"/>
  <c r="N104" i="2"/>
  <c r="AW172" i="2"/>
  <c r="J28" i="7"/>
  <c r="E332" i="2"/>
  <c r="M4" i="10" s="1"/>
  <c r="C25" i="7"/>
  <c r="J25" i="7" s="1"/>
  <c r="J29" i="7"/>
  <c r="N105" i="2"/>
  <c r="AW169" i="2"/>
  <c r="Q7" i="10"/>
  <c r="U7" i="10"/>
  <c r="R12" i="10"/>
  <c r="V12" i="10"/>
  <c r="R7" i="10"/>
  <c r="V7" i="10"/>
  <c r="R10" i="10"/>
  <c r="V10" i="10"/>
  <c r="R6" i="10"/>
  <c r="V6" i="10"/>
  <c r="R8" i="10"/>
  <c r="V8" i="10"/>
  <c r="Q11" i="10"/>
  <c r="U11" i="10"/>
  <c r="Q9" i="10"/>
  <c r="U9" i="10"/>
  <c r="R11" i="10"/>
  <c r="V11" i="10"/>
  <c r="Q8" i="10"/>
  <c r="U8" i="10"/>
  <c r="R5" i="10"/>
  <c r="V5" i="10"/>
  <c r="Q12" i="10"/>
  <c r="U12" i="10"/>
  <c r="Q6" i="10"/>
  <c r="U6" i="10"/>
  <c r="O10" i="10"/>
  <c r="D26" i="10"/>
  <c r="O12" i="10"/>
  <c r="AM194" i="2"/>
  <c r="AM193" i="2"/>
  <c r="AM190" i="2"/>
  <c r="AW171" i="2"/>
  <c r="AW166" i="2"/>
  <c r="AU173" i="2"/>
  <c r="AU91" i="2" s="1"/>
  <c r="AW163" i="2"/>
  <c r="AK173" i="2"/>
  <c r="AJ92" i="2" s="1"/>
  <c r="AW168" i="2"/>
  <c r="AW181" i="2"/>
  <c r="AW195" i="2" s="1"/>
  <c r="AW160" i="2"/>
  <c r="AW178" i="2"/>
  <c r="AW192" i="2" s="1"/>
  <c r="AW165" i="2"/>
  <c r="AJ173" i="2"/>
  <c r="AJ91" i="2" s="1"/>
  <c r="AV10" i="2"/>
  <c r="AV11" i="2" s="1"/>
  <c r="AX11" i="2" s="1"/>
  <c r="D342" i="2"/>
  <c r="L4" i="10"/>
  <c r="J14" i="10"/>
  <c r="O14" i="10" s="1"/>
  <c r="O4" i="10"/>
  <c r="Z236" i="2"/>
  <c r="AB236" i="2" s="1"/>
  <c r="AB191" i="2"/>
  <c r="K11" i="10"/>
  <c r="F339" i="2"/>
  <c r="Z243" i="2"/>
  <c r="AB243" i="2" s="1"/>
  <c r="AB198" i="2"/>
  <c r="Q281" i="2"/>
  <c r="L13" i="10"/>
  <c r="F341" i="2"/>
  <c r="K4" i="10"/>
  <c r="L5" i="10"/>
  <c r="F333" i="2"/>
  <c r="Z239" i="2"/>
  <c r="AB239" i="2" s="1"/>
  <c r="AB194" i="2"/>
  <c r="M20" i="10"/>
  <c r="L19" i="10"/>
  <c r="K12" i="10"/>
  <c r="F340" i="2"/>
  <c r="L10" i="10"/>
  <c r="Z242" i="2"/>
  <c r="AB242" i="2" s="1"/>
  <c r="AB197" i="2"/>
  <c r="Z235" i="2"/>
  <c r="AB190" i="2"/>
  <c r="M21" i="10"/>
  <c r="M19" i="10"/>
  <c r="AW177" i="2" l="1"/>
  <c r="AW191" i="2" s="1"/>
  <c r="AW167" i="2"/>
  <c r="AM173" i="2"/>
  <c r="AM95" i="2" s="1"/>
  <c r="AM97" i="2" s="1"/>
  <c r="F18" i="7" s="1"/>
  <c r="F64" i="7" s="1"/>
  <c r="M64" i="7" s="1"/>
  <c r="T7" i="10"/>
  <c r="N7" i="10"/>
  <c r="W7" i="10" s="1"/>
  <c r="F335" i="2"/>
  <c r="F338" i="2"/>
  <c r="K20" i="10"/>
  <c r="N9" i="10"/>
  <c r="W9" i="10" s="1"/>
  <c r="F337" i="2"/>
  <c r="Z229" i="2"/>
  <c r="Z241" i="2" s="1"/>
  <c r="AB241" i="2" s="1"/>
  <c r="Z228" i="2"/>
  <c r="Z240" i="2" s="1"/>
  <c r="AB196" i="2"/>
  <c r="AB199" i="2"/>
  <c r="E60" i="7" s="1"/>
  <c r="L60" i="7" s="1"/>
  <c r="Z244" i="2"/>
  <c r="AB244" i="2" s="1"/>
  <c r="AB193" i="2"/>
  <c r="Z238" i="2"/>
  <c r="AB238" i="2" s="1"/>
  <c r="AB195" i="2"/>
  <c r="Z237" i="2"/>
  <c r="AB237" i="2" s="1"/>
  <c r="Z173" i="2"/>
  <c r="AB173" i="2"/>
  <c r="AB192" i="2"/>
  <c r="F334" i="2"/>
  <c r="C342" i="2"/>
  <c r="K8" i="10"/>
  <c r="P8" i="10" s="1"/>
  <c r="D52" i="7"/>
  <c r="K52" i="7" s="1"/>
  <c r="D61" i="7"/>
  <c r="K61" i="7" s="1"/>
  <c r="D55" i="7"/>
  <c r="K55" i="7" s="1"/>
  <c r="C26" i="10"/>
  <c r="F26" i="10"/>
  <c r="P109" i="2"/>
  <c r="P325" i="2" s="1"/>
  <c r="D63" i="7"/>
  <c r="K63" i="7" s="1"/>
  <c r="E342" i="2"/>
  <c r="F332" i="2"/>
  <c r="C50" i="7" s="1"/>
  <c r="J50" i="7" s="1"/>
  <c r="O108" i="2"/>
  <c r="O109" i="2" s="1"/>
  <c r="N109" i="2"/>
  <c r="S6" i="10"/>
  <c r="W6" i="10"/>
  <c r="P12" i="10"/>
  <c r="T12" i="10"/>
  <c r="Q5" i="10"/>
  <c r="U5" i="10"/>
  <c r="P11" i="10"/>
  <c r="T11" i="10"/>
  <c r="Q10" i="10"/>
  <c r="U10" i="10"/>
  <c r="Q4" i="10"/>
  <c r="U4" i="10"/>
  <c r="R4" i="10"/>
  <c r="V4" i="10"/>
  <c r="P4" i="10"/>
  <c r="T4" i="10"/>
  <c r="N12" i="10"/>
  <c r="N5" i="10"/>
  <c r="N13" i="10"/>
  <c r="F54" i="7"/>
  <c r="M54" i="7" s="1"/>
  <c r="F51" i="7"/>
  <c r="M51" i="7" s="1"/>
  <c r="AV153" i="2"/>
  <c r="AV179" i="2" s="1"/>
  <c r="AV193" i="2" s="1"/>
  <c r="AV158" i="2"/>
  <c r="AV184" i="2" s="1"/>
  <c r="AV198" i="2" s="1"/>
  <c r="AW173" i="2"/>
  <c r="AU93" i="2" s="1"/>
  <c r="AX10" i="2"/>
  <c r="AX12" i="2" s="1"/>
  <c r="AV154" i="2"/>
  <c r="AV180" i="2" s="1"/>
  <c r="AV194" i="2" s="1"/>
  <c r="AV159" i="2"/>
  <c r="AV185" i="2" s="1"/>
  <c r="AV199" i="2" s="1"/>
  <c r="AV150" i="2"/>
  <c r="AV176" i="2" s="1"/>
  <c r="AV190" i="2" s="1"/>
  <c r="AV152" i="2"/>
  <c r="AV165" i="2" s="1"/>
  <c r="AV156" i="2"/>
  <c r="AV182" i="2" s="1"/>
  <c r="AV196" i="2" s="1"/>
  <c r="AV151" i="2"/>
  <c r="AV164" i="2" s="1"/>
  <c r="AV155" i="2"/>
  <c r="AV181" i="2" s="1"/>
  <c r="AV195" i="2" s="1"/>
  <c r="AV157" i="2"/>
  <c r="AV183" i="2" s="1"/>
  <c r="AV197" i="2" s="1"/>
  <c r="L21" i="10"/>
  <c r="E51" i="7"/>
  <c r="L51" i="7" s="1"/>
  <c r="M14" i="10"/>
  <c r="E30" i="10" s="1"/>
  <c r="M18" i="10"/>
  <c r="K21" i="10"/>
  <c r="N11" i="10"/>
  <c r="L14" i="10"/>
  <c r="D30" i="10" s="1"/>
  <c r="L18" i="10"/>
  <c r="Z274" i="2"/>
  <c r="AB274" i="2" s="1"/>
  <c r="AB235" i="2"/>
  <c r="L20" i="10"/>
  <c r="N10" i="10"/>
  <c r="K18" i="10"/>
  <c r="N4" i="10"/>
  <c r="C31" i="7"/>
  <c r="C59" i="7"/>
  <c r="J59" i="7" s="1"/>
  <c r="S7" i="10" l="1"/>
  <c r="S9" i="10"/>
  <c r="C53" i="7"/>
  <c r="J53" i="7" s="1"/>
  <c r="C56" i="7"/>
  <c r="J56" i="7" s="1"/>
  <c r="C30" i="7"/>
  <c r="O325" i="2"/>
  <c r="O338" i="2" s="1"/>
  <c r="N326" i="2"/>
  <c r="N339" i="2" s="1"/>
  <c r="AB240" i="2"/>
  <c r="Z273" i="2"/>
  <c r="Z286" i="2" s="1"/>
  <c r="Z271" i="2"/>
  <c r="AB271" i="2" s="1"/>
  <c r="Z265" i="2"/>
  <c r="Z278" i="2" s="1"/>
  <c r="Z269" i="2"/>
  <c r="Z282" i="2" s="1"/>
  <c r="Z266" i="2"/>
  <c r="Z279" i="2" s="1"/>
  <c r="Z270" i="2"/>
  <c r="AB270" i="2" s="1"/>
  <c r="Z267" i="2"/>
  <c r="AB267" i="2" s="1"/>
  <c r="Z272" i="2"/>
  <c r="Z285" i="2" s="1"/>
  <c r="Z268" i="2"/>
  <c r="AB268" i="2" s="1"/>
  <c r="Y92" i="2"/>
  <c r="Y100" i="2" s="1"/>
  <c r="AB95" i="2"/>
  <c r="AB97" i="2" s="1"/>
  <c r="E18" i="7" s="1"/>
  <c r="E57" i="7"/>
  <c r="L57" i="7" s="1"/>
  <c r="E54" i="7"/>
  <c r="L54" i="7" s="1"/>
  <c r="C29" i="7"/>
  <c r="K14" i="10"/>
  <c r="C30" i="10" s="1"/>
  <c r="N8" i="10"/>
  <c r="S8" i="10" s="1"/>
  <c r="K19" i="10"/>
  <c r="T8" i="10"/>
  <c r="O320" i="2"/>
  <c r="O333" i="2" s="1"/>
  <c r="P328" i="2"/>
  <c r="P341" i="2" s="1"/>
  <c r="P323" i="2"/>
  <c r="P336" i="2" s="1"/>
  <c r="P321" i="2"/>
  <c r="P334" i="2" s="1"/>
  <c r="P324" i="2"/>
  <c r="P337" i="2" s="1"/>
  <c r="D24" i="7"/>
  <c r="K24" i="7" s="1"/>
  <c r="P320" i="2"/>
  <c r="P333" i="2" s="1"/>
  <c r="P319" i="2"/>
  <c r="P332" i="2" s="1"/>
  <c r="P327" i="2"/>
  <c r="P340" i="2" s="1"/>
  <c r="AA103" i="2"/>
  <c r="P326" i="2"/>
  <c r="P339" i="2" s="1"/>
  <c r="P322" i="2"/>
  <c r="P335" i="2" s="1"/>
  <c r="F342" i="2"/>
  <c r="C28" i="7"/>
  <c r="O328" i="2"/>
  <c r="O341" i="2" s="1"/>
  <c r="N320" i="2"/>
  <c r="N333" i="2" s="1"/>
  <c r="D23" i="7"/>
  <c r="K23" i="7" s="1"/>
  <c r="N327" i="2"/>
  <c r="N340" i="2" s="1"/>
  <c r="O319" i="2"/>
  <c r="O332" i="2" s="1"/>
  <c r="O321" i="2"/>
  <c r="O334" i="2" s="1"/>
  <c r="O327" i="2"/>
  <c r="O340" i="2" s="1"/>
  <c r="N319" i="2"/>
  <c r="N332" i="2" s="1"/>
  <c r="N324" i="2"/>
  <c r="O326" i="2"/>
  <c r="O339" i="2" s="1"/>
  <c r="O323" i="2"/>
  <c r="O336" i="2" s="1"/>
  <c r="Z103" i="2"/>
  <c r="Y103" i="2"/>
  <c r="Y108" i="2" s="1"/>
  <c r="N323" i="2"/>
  <c r="D22" i="7"/>
  <c r="K22" i="7" s="1"/>
  <c r="N328" i="2"/>
  <c r="N341" i="2" s="1"/>
  <c r="O322" i="2"/>
  <c r="O335" i="2" s="1"/>
  <c r="O324" i="2"/>
  <c r="O337" i="2" s="1"/>
  <c r="N321" i="2"/>
  <c r="N325" i="2"/>
  <c r="N338" i="2" s="1"/>
  <c r="N322" i="2"/>
  <c r="N335" i="2" s="1"/>
  <c r="AV171" i="2"/>
  <c r="S11" i="10"/>
  <c r="W11" i="10"/>
  <c r="S5" i="10"/>
  <c r="W5" i="10"/>
  <c r="S10" i="10"/>
  <c r="W10" i="10"/>
  <c r="S12" i="10"/>
  <c r="W12" i="10"/>
  <c r="S4" i="10"/>
  <c r="W4" i="10"/>
  <c r="AV166" i="2"/>
  <c r="AV168" i="2"/>
  <c r="AV178" i="2"/>
  <c r="AV192" i="2" s="1"/>
  <c r="AV170" i="2"/>
  <c r="AV169" i="2"/>
  <c r="AV167" i="2"/>
  <c r="AV177" i="2"/>
  <c r="AV191" i="2" s="1"/>
  <c r="AV172" i="2"/>
  <c r="AV163" i="2"/>
  <c r="AV160" i="2"/>
  <c r="Z287" i="2"/>
  <c r="AX194" i="2"/>
  <c r="AX193" i="2"/>
  <c r="AX195" i="2"/>
  <c r="P338" i="2"/>
  <c r="AX190" i="2"/>
  <c r="AX197" i="2"/>
  <c r="AX196" i="2"/>
  <c r="AX198" i="2"/>
  <c r="AX199" i="2"/>
  <c r="J66" i="7" l="1"/>
  <c r="K31" i="7"/>
  <c r="K30" i="7"/>
  <c r="N337" i="2"/>
  <c r="Q337" i="2" s="1"/>
  <c r="AB272" i="2"/>
  <c r="AB273" i="2"/>
  <c r="AB269" i="2"/>
  <c r="Z281" i="2"/>
  <c r="AB281" i="2" s="1"/>
  <c r="Z284" i="2"/>
  <c r="AB284" i="2" s="1"/>
  <c r="AB266" i="2"/>
  <c r="AB265" i="2"/>
  <c r="Z283" i="2"/>
  <c r="AB283" i="2" s="1"/>
  <c r="Z280" i="2"/>
  <c r="AB280" i="2" s="1"/>
  <c r="E64" i="7"/>
  <c r="L64" i="7" s="1"/>
  <c r="E19" i="7"/>
  <c r="F19" i="7"/>
  <c r="AJ88" i="2"/>
  <c r="E15" i="7"/>
  <c r="E63" i="7" s="1"/>
  <c r="L63" i="7" s="1"/>
  <c r="Z104" i="2"/>
  <c r="Z107" i="2"/>
  <c r="AA105" i="2"/>
  <c r="AA107" i="2"/>
  <c r="Y106" i="2"/>
  <c r="Y107" i="2"/>
  <c r="AA106" i="2"/>
  <c r="Z106" i="2"/>
  <c r="N14" i="10"/>
  <c r="W8" i="10"/>
  <c r="C32" i="7"/>
  <c r="F30" i="10"/>
  <c r="N336" i="2"/>
  <c r="Q336" i="2" s="1"/>
  <c r="N334" i="2"/>
  <c r="Q334" i="2" s="1"/>
  <c r="Z108" i="2"/>
  <c r="AA104" i="2"/>
  <c r="K28" i="7"/>
  <c r="Z105" i="2"/>
  <c r="Y105" i="2"/>
  <c r="D25" i="7"/>
  <c r="K25" i="7" s="1"/>
  <c r="K29" i="7"/>
  <c r="Y104" i="2"/>
  <c r="AX192" i="2"/>
  <c r="G54" i="7" s="1"/>
  <c r="N54" i="7" s="1"/>
  <c r="Q339" i="2"/>
  <c r="AV173" i="2"/>
  <c r="AU92" i="2" s="1"/>
  <c r="AX191" i="2"/>
  <c r="G51" i="7" s="1"/>
  <c r="N51" i="7" s="1"/>
  <c r="AX173" i="2"/>
  <c r="AX95" i="2" s="1"/>
  <c r="Q340" i="2"/>
  <c r="Q333" i="2"/>
  <c r="Q338" i="2"/>
  <c r="G57" i="7"/>
  <c r="N57" i="7" s="1"/>
  <c r="Q335" i="2"/>
  <c r="AB279" i="2"/>
  <c r="P342" i="2"/>
  <c r="AB287" i="2"/>
  <c r="AB278" i="2"/>
  <c r="AB282" i="2"/>
  <c r="Q341" i="2"/>
  <c r="AB285" i="2"/>
  <c r="G60" i="7"/>
  <c r="N60" i="7" s="1"/>
  <c r="AB286" i="2"/>
  <c r="O342" i="2"/>
  <c r="Q332" i="2"/>
  <c r="E58" i="7" l="1"/>
  <c r="L58" i="7" s="1"/>
  <c r="E16" i="7"/>
  <c r="N342" i="2"/>
  <c r="Z109" i="2"/>
  <c r="AA108" i="2"/>
  <c r="AA109" i="2" s="1"/>
  <c r="E24" i="7" s="1"/>
  <c r="L24" i="7" s="1"/>
  <c r="Y109" i="2"/>
  <c r="AX97" i="2"/>
  <c r="G18" i="7" s="1"/>
  <c r="D59" i="7"/>
  <c r="K59" i="7" s="1"/>
  <c r="D30" i="7"/>
  <c r="D53" i="7"/>
  <c r="K53" i="7" s="1"/>
  <c r="E52" i="7"/>
  <c r="L52" i="7" s="1"/>
  <c r="D56" i="7"/>
  <c r="K56" i="7" s="1"/>
  <c r="D29" i="7"/>
  <c r="D31" i="7"/>
  <c r="D50" i="7"/>
  <c r="K50" i="7" s="1"/>
  <c r="D28" i="7"/>
  <c r="Q342" i="2"/>
  <c r="E61" i="7"/>
  <c r="L61" i="7" s="1"/>
  <c r="E55" i="7"/>
  <c r="L55" i="7" s="1"/>
  <c r="Z321" i="2" l="1"/>
  <c r="Z334" i="2" s="1"/>
  <c r="Y319" i="2"/>
  <c r="Y332" i="2" s="1"/>
  <c r="Z324" i="2"/>
  <c r="Z337" i="2" s="1"/>
  <c r="Z326" i="2"/>
  <c r="Z339" i="2" s="1"/>
  <c r="Z327" i="2"/>
  <c r="Z340" i="2" s="1"/>
  <c r="Z328" i="2"/>
  <c r="Z341" i="2" s="1"/>
  <c r="AK103" i="2"/>
  <c r="Z325" i="2"/>
  <c r="Z338" i="2" s="1"/>
  <c r="Z319" i="2"/>
  <c r="Z332" i="2" s="1"/>
  <c r="Z323" i="2"/>
  <c r="Z336" i="2" s="1"/>
  <c r="E23" i="7"/>
  <c r="L23" i="7" s="1"/>
  <c r="Z322" i="2"/>
  <c r="Z335" i="2" s="1"/>
  <c r="Z320" i="2"/>
  <c r="Z333" i="2" s="1"/>
  <c r="AA327" i="2"/>
  <c r="AA340" i="2" s="1"/>
  <c r="Y325" i="2"/>
  <c r="Y338" i="2" s="1"/>
  <c r="AA324" i="2"/>
  <c r="AA337" i="2" s="1"/>
  <c r="AA321" i="2"/>
  <c r="AA334" i="2" s="1"/>
  <c r="E22" i="7"/>
  <c r="L22" i="7" s="1"/>
  <c r="AA320" i="2"/>
  <c r="AA333" i="2" s="1"/>
  <c r="AA323" i="2"/>
  <c r="AA336" i="2" s="1"/>
  <c r="Y327" i="2"/>
  <c r="Y340" i="2" s="1"/>
  <c r="Y322" i="2"/>
  <c r="Y335" i="2" s="1"/>
  <c r="Y323" i="2"/>
  <c r="Y324" i="2"/>
  <c r="Y328" i="2"/>
  <c r="Y341" i="2" s="1"/>
  <c r="AJ103" i="2"/>
  <c r="Y321" i="2"/>
  <c r="Y320" i="2"/>
  <c r="Y333" i="2" s="1"/>
  <c r="Y326" i="2"/>
  <c r="Y339" i="2" s="1"/>
  <c r="AA319" i="2"/>
  <c r="AA332" i="2" s="1"/>
  <c r="AA328" i="2"/>
  <c r="AA341" i="2" s="1"/>
  <c r="AA326" i="2"/>
  <c r="AA339" i="2" s="1"/>
  <c r="AL103" i="2"/>
  <c r="AA322" i="2"/>
  <c r="AA335" i="2" s="1"/>
  <c r="AA325" i="2"/>
  <c r="AA338" i="2" s="1"/>
  <c r="G19" i="7"/>
  <c r="G64" i="7"/>
  <c r="N64" i="7" s="1"/>
  <c r="K66" i="7"/>
  <c r="D32" i="7"/>
  <c r="L31" i="7" l="1"/>
  <c r="L30" i="7"/>
  <c r="Y337" i="2"/>
  <c r="AB337" i="2" s="1"/>
  <c r="AJ107" i="2"/>
  <c r="AJ108" i="2"/>
  <c r="AK108" i="2" s="1"/>
  <c r="AL105" i="2"/>
  <c r="AL107" i="2"/>
  <c r="AK105" i="2"/>
  <c r="AK107" i="2"/>
  <c r="Y334" i="2"/>
  <c r="AB334" i="2" s="1"/>
  <c r="Y336" i="2"/>
  <c r="AB336" i="2" s="1"/>
  <c r="AJ104" i="2"/>
  <c r="AB335" i="2"/>
  <c r="AK104" i="2"/>
  <c r="AB332" i="2"/>
  <c r="AB338" i="2"/>
  <c r="AB340" i="2"/>
  <c r="E25" i="7"/>
  <c r="L25" i="7" s="1"/>
  <c r="AB333" i="2"/>
  <c r="AB341" i="2"/>
  <c r="L28" i="7"/>
  <c r="AJ105" i="2"/>
  <c r="AL104" i="2"/>
  <c r="AB339" i="2"/>
  <c r="AA342" i="2"/>
  <c r="L29" i="7"/>
  <c r="D35" i="7"/>
  <c r="Z342" i="2"/>
  <c r="Y342" i="2" l="1"/>
  <c r="E56" i="7"/>
  <c r="L56" i="7" s="1"/>
  <c r="E50" i="7"/>
  <c r="L50" i="7" s="1"/>
  <c r="E30" i="7"/>
  <c r="AL108" i="2"/>
  <c r="E29" i="7"/>
  <c r="E53" i="7"/>
  <c r="L53" i="7" s="1"/>
  <c r="E28" i="7"/>
  <c r="E31" i="7"/>
  <c r="E59" i="7"/>
  <c r="L59" i="7" s="1"/>
  <c r="AB342" i="2"/>
  <c r="L66" i="7" l="1"/>
  <c r="E32" i="7"/>
  <c r="E35" i="7" s="1"/>
  <c r="AJ47" i="2" l="1"/>
  <c r="AJ53" i="2" s="1"/>
  <c r="AJ113" i="2" l="1"/>
  <c r="AJ203" i="2"/>
  <c r="AK47" i="2"/>
  <c r="AK53" i="2" s="1"/>
  <c r="AL47" i="2"/>
  <c r="AL53" i="2" s="1"/>
  <c r="AJ223" i="2" l="1"/>
  <c r="AJ230" i="2"/>
  <c r="AJ228" i="2"/>
  <c r="AJ240" i="2" s="1"/>
  <c r="AJ231" i="2"/>
  <c r="AJ225" i="2"/>
  <c r="AJ224" i="2"/>
  <c r="AJ226" i="2"/>
  <c r="AJ232" i="2"/>
  <c r="AJ227" i="2"/>
  <c r="AJ115" i="2"/>
  <c r="AL203" i="2"/>
  <c r="AJ114" i="2"/>
  <c r="AK203" i="2"/>
  <c r="AW42" i="2"/>
  <c r="AW53" i="2" s="1"/>
  <c r="F11" i="7"/>
  <c r="AV42" i="2"/>
  <c r="AV53" i="2" s="1"/>
  <c r="F10" i="7"/>
  <c r="AU42" i="2"/>
  <c r="AU53" i="2" s="1"/>
  <c r="AM53" i="2"/>
  <c r="F9" i="7"/>
  <c r="AL229" i="2" l="1"/>
  <c r="AL241" i="2" s="1"/>
  <c r="AL227" i="2"/>
  <c r="AL239" i="2" s="1"/>
  <c r="AL228" i="2"/>
  <c r="AL240" i="2" s="1"/>
  <c r="AL226" i="2"/>
  <c r="AL238" i="2" s="1"/>
  <c r="AL232" i="2"/>
  <c r="AL244" i="2" s="1"/>
  <c r="AL230" i="2"/>
  <c r="AL242" i="2" s="1"/>
  <c r="AL231" i="2"/>
  <c r="AL243" i="2" s="1"/>
  <c r="AL224" i="2"/>
  <c r="AL236" i="2" s="1"/>
  <c r="AL225" i="2"/>
  <c r="AL237" i="2" s="1"/>
  <c r="AK223" i="2"/>
  <c r="AK235" i="2" s="1"/>
  <c r="AK227" i="2"/>
  <c r="AK239" i="2" s="1"/>
  <c r="AK229" i="2"/>
  <c r="AK241" i="2" s="1"/>
  <c r="AK226" i="2"/>
  <c r="AK238" i="2" s="1"/>
  <c r="AK230" i="2"/>
  <c r="AK242" i="2" s="1"/>
  <c r="AK231" i="2"/>
  <c r="AK243" i="2" s="1"/>
  <c r="AK224" i="2"/>
  <c r="AK236" i="2" s="1"/>
  <c r="AK228" i="2"/>
  <c r="AK240" i="2" s="1"/>
  <c r="AK232" i="2"/>
  <c r="AK244" i="2" s="1"/>
  <c r="AK225" i="2"/>
  <c r="AK237" i="2" s="1"/>
  <c r="AL223" i="2"/>
  <c r="AL235" i="2" s="1"/>
  <c r="AU114" i="2"/>
  <c r="AV203" i="2"/>
  <c r="AU115" i="2"/>
  <c r="AW203" i="2"/>
  <c r="AU113" i="2"/>
  <c r="AU203" i="2"/>
  <c r="AJ94" i="2"/>
  <c r="AJ100" i="2" s="1"/>
  <c r="AJ117" i="2"/>
  <c r="AJ242" i="2"/>
  <c r="AJ243" i="2"/>
  <c r="AJ244" i="2"/>
  <c r="AJ238" i="2"/>
  <c r="AJ239" i="2"/>
  <c r="AJ235" i="2"/>
  <c r="AJ237" i="2"/>
  <c r="AJ236" i="2"/>
  <c r="F12" i="7"/>
  <c r="AX42" i="2"/>
  <c r="G10" i="7"/>
  <c r="G11" i="7"/>
  <c r="AM240" i="2" l="1"/>
  <c r="AW223" i="2"/>
  <c r="AW235" i="2" s="1"/>
  <c r="AW232" i="2"/>
  <c r="AW244" i="2" s="1"/>
  <c r="AW227" i="2"/>
  <c r="AW239" i="2" s="1"/>
  <c r="AW226" i="2"/>
  <c r="AW238" i="2" s="1"/>
  <c r="AW229" i="2"/>
  <c r="AW231" i="2"/>
  <c r="AW243" i="2" s="1"/>
  <c r="AW230" i="2"/>
  <c r="AW242" i="2" s="1"/>
  <c r="AW225" i="2"/>
  <c r="AW237" i="2" s="1"/>
  <c r="AW228" i="2"/>
  <c r="AW240" i="2" s="1"/>
  <c r="AW224" i="2"/>
  <c r="AW236" i="2" s="1"/>
  <c r="AU223" i="2"/>
  <c r="AU232" i="2"/>
  <c r="AU228" i="2"/>
  <c r="AU230" i="2"/>
  <c r="AU231" i="2"/>
  <c r="AU229" i="2"/>
  <c r="AU226" i="2"/>
  <c r="AU227" i="2"/>
  <c r="AU225" i="2"/>
  <c r="AU224" i="2"/>
  <c r="AV223" i="2"/>
  <c r="AV235" i="2" s="1"/>
  <c r="AV229" i="2"/>
  <c r="AV241" i="2" s="1"/>
  <c r="AV230" i="2"/>
  <c r="AV242" i="2" s="1"/>
  <c r="AV226" i="2"/>
  <c r="AV238" i="2" s="1"/>
  <c r="AV227" i="2"/>
  <c r="AV239" i="2" s="1"/>
  <c r="AV232" i="2"/>
  <c r="AV244" i="2" s="1"/>
  <c r="AV228" i="2"/>
  <c r="AV240" i="2" s="1"/>
  <c r="AV231" i="2"/>
  <c r="AV243" i="2" s="1"/>
  <c r="AV224" i="2"/>
  <c r="AV236" i="2" s="1"/>
  <c r="AV225" i="2"/>
  <c r="AV237" i="2" s="1"/>
  <c r="AJ106" i="2"/>
  <c r="AJ109" i="2" s="1"/>
  <c r="AK106" i="2"/>
  <c r="AK109" i="2" s="1"/>
  <c r="AL106" i="2"/>
  <c r="AL109" i="2" s="1"/>
  <c r="F24" i="7" s="1"/>
  <c r="M24" i="7" s="1"/>
  <c r="AJ267" i="2"/>
  <c r="AJ280" i="2" s="1"/>
  <c r="AJ271" i="2"/>
  <c r="AJ284" i="2" s="1"/>
  <c r="AJ270" i="2"/>
  <c r="AJ283" i="2" s="1"/>
  <c r="AW241" i="2"/>
  <c r="AM244" i="2"/>
  <c r="AU117" i="2"/>
  <c r="F15" i="7"/>
  <c r="F63" i="7" s="1"/>
  <c r="M63" i="7" s="1"/>
  <c r="AU88" i="2"/>
  <c r="AL270" i="2"/>
  <c r="AL283" i="2" s="1"/>
  <c r="AL265" i="2"/>
  <c r="AL278" i="2" s="1"/>
  <c r="AL269" i="2"/>
  <c r="AL282" i="2" s="1"/>
  <c r="AL268" i="2"/>
  <c r="AL281" i="2" s="1"/>
  <c r="AL273" i="2"/>
  <c r="AL286" i="2" s="1"/>
  <c r="AL271" i="2"/>
  <c r="AL284" i="2" s="1"/>
  <c r="AL274" i="2"/>
  <c r="AL287" i="2" s="1"/>
  <c r="AL266" i="2"/>
  <c r="AL279" i="2" s="1"/>
  <c r="AL272" i="2"/>
  <c r="AL285" i="2" s="1"/>
  <c r="AL267" i="2"/>
  <c r="AL280" i="2" s="1"/>
  <c r="AX53" i="2"/>
  <c r="AU94" i="2" s="1"/>
  <c r="G9" i="7"/>
  <c r="G12" i="7" s="1"/>
  <c r="AM243" i="2"/>
  <c r="AK266" i="2"/>
  <c r="AK279" i="2" s="1"/>
  <c r="AK269" i="2"/>
  <c r="AK282" i="2" s="1"/>
  <c r="AK274" i="2"/>
  <c r="AK287" i="2" s="1"/>
  <c r="AK272" i="2"/>
  <c r="AK285" i="2" s="1"/>
  <c r="AK268" i="2"/>
  <c r="AK281" i="2" s="1"/>
  <c r="AK273" i="2"/>
  <c r="AK286" i="2" s="1"/>
  <c r="AK265" i="2"/>
  <c r="AK278" i="2" s="1"/>
  <c r="AK271" i="2"/>
  <c r="AK284" i="2" s="1"/>
  <c r="AK267" i="2"/>
  <c r="AK270" i="2"/>
  <c r="AM241" i="2"/>
  <c r="AM236" i="2"/>
  <c r="AM238" i="2"/>
  <c r="AJ266" i="2"/>
  <c r="AM235" i="2"/>
  <c r="AJ272" i="2"/>
  <c r="AJ265" i="2"/>
  <c r="AJ273" i="2"/>
  <c r="AJ269" i="2"/>
  <c r="AJ274" i="2"/>
  <c r="AJ268" i="2"/>
  <c r="AM242" i="2"/>
  <c r="AM239" i="2"/>
  <c r="AM237" i="2"/>
  <c r="F23" i="7" l="1"/>
  <c r="M23" i="7" s="1"/>
  <c r="F22" i="7"/>
  <c r="M22" i="7" s="1"/>
  <c r="AJ324" i="2"/>
  <c r="AJ337" i="2" s="1"/>
  <c r="AU103" i="2"/>
  <c r="AJ321" i="2"/>
  <c r="AJ334" i="2" s="1"/>
  <c r="AJ325" i="2"/>
  <c r="AJ338" i="2" s="1"/>
  <c r="AU240" i="2"/>
  <c r="AX240" i="2" s="1"/>
  <c r="AU241" i="2"/>
  <c r="AX241" i="2" s="1"/>
  <c r="AL324" i="2"/>
  <c r="AL337" i="2" s="1"/>
  <c r="AU242" i="2"/>
  <c r="AU244" i="2"/>
  <c r="AX244" i="2" s="1"/>
  <c r="AU243" i="2"/>
  <c r="AU237" i="2"/>
  <c r="AU239" i="2"/>
  <c r="AU238" i="2"/>
  <c r="AV103" i="2"/>
  <c r="AL328" i="2"/>
  <c r="AL341" i="2" s="1"/>
  <c r="AU235" i="2"/>
  <c r="AU236" i="2"/>
  <c r="AX236" i="2" s="1"/>
  <c r="AU105" i="2"/>
  <c r="AK319" i="2"/>
  <c r="AK332" i="2" s="1"/>
  <c r="AK328" i="2"/>
  <c r="AK341" i="2" s="1"/>
  <c r="AK327" i="2"/>
  <c r="AK340" i="2" s="1"/>
  <c r="AK323" i="2"/>
  <c r="AK336" i="2" s="1"/>
  <c r="AK322" i="2"/>
  <c r="AK335" i="2" s="1"/>
  <c r="AK320" i="2"/>
  <c r="AK333" i="2" s="1"/>
  <c r="AK326" i="2"/>
  <c r="AK339" i="2" s="1"/>
  <c r="AL321" i="2"/>
  <c r="AL334" i="2" s="1"/>
  <c r="AL319" i="2"/>
  <c r="AL332" i="2" s="1"/>
  <c r="AW103" i="2"/>
  <c r="AL320" i="2"/>
  <c r="AL333" i="2" s="1"/>
  <c r="AU100" i="2"/>
  <c r="F16" i="7"/>
  <c r="AW270" i="2"/>
  <c r="AW283" i="2" s="1"/>
  <c r="AM269" i="2"/>
  <c r="AM267" i="2"/>
  <c r="AM265" i="2"/>
  <c r="AM272" i="2"/>
  <c r="AJ285" i="2"/>
  <c r="AJ326" i="2" s="1"/>
  <c r="AK280" i="2"/>
  <c r="AJ278" i="2"/>
  <c r="AJ286" i="2"/>
  <c r="AM273" i="2"/>
  <c r="AM266" i="2"/>
  <c r="AV274" i="2"/>
  <c r="AV287" i="2" s="1"/>
  <c r="AV266" i="2"/>
  <c r="AV279" i="2" s="1"/>
  <c r="AV269" i="2"/>
  <c r="AV282" i="2" s="1"/>
  <c r="AV271" i="2"/>
  <c r="AV284" i="2" s="1"/>
  <c r="AV268" i="2"/>
  <c r="AV281" i="2" s="1"/>
  <c r="AV272" i="2"/>
  <c r="AV285" i="2" s="1"/>
  <c r="AV265" i="2"/>
  <c r="AV278" i="2" s="1"/>
  <c r="AV273" i="2"/>
  <c r="AV286" i="2" s="1"/>
  <c r="AV267" i="2"/>
  <c r="AV280" i="2" s="1"/>
  <c r="AV270" i="2"/>
  <c r="AL325" i="2"/>
  <c r="AL338" i="2" s="1"/>
  <c r="AM284" i="2"/>
  <c r="AK325" i="2"/>
  <c r="AM271" i="2"/>
  <c r="AL326" i="2"/>
  <c r="AL339" i="2" s="1"/>
  <c r="AL327" i="2"/>
  <c r="AL340" i="2" s="1"/>
  <c r="AJ281" i="2"/>
  <c r="AM268" i="2"/>
  <c r="AL322" i="2"/>
  <c r="AJ282" i="2"/>
  <c r="AJ287" i="2"/>
  <c r="AM274" i="2"/>
  <c r="AJ279" i="2"/>
  <c r="AK283" i="2"/>
  <c r="AM270" i="2"/>
  <c r="AL323" i="2"/>
  <c r="AL336" i="2" s="1"/>
  <c r="AW273" i="2"/>
  <c r="AW286" i="2" s="1"/>
  <c r="AW268" i="2"/>
  <c r="AW281" i="2" s="1"/>
  <c r="AW271" i="2"/>
  <c r="AW284" i="2" s="1"/>
  <c r="AW266" i="2"/>
  <c r="AW279" i="2" s="1"/>
  <c r="AW265" i="2"/>
  <c r="AW278" i="2" s="1"/>
  <c r="AW269" i="2"/>
  <c r="AW282" i="2" s="1"/>
  <c r="AW274" i="2"/>
  <c r="AW287" i="2" s="1"/>
  <c r="AW267" i="2"/>
  <c r="AW280" i="2" s="1"/>
  <c r="AW272" i="2"/>
  <c r="AW285" i="2" s="1"/>
  <c r="F25" i="7" l="1"/>
  <c r="M25" i="7" s="1"/>
  <c r="AU106" i="2"/>
  <c r="AV106" i="2"/>
  <c r="AW106" i="2"/>
  <c r="AU108" i="2"/>
  <c r="AV108" i="2" s="1"/>
  <c r="AW104" i="2"/>
  <c r="AW107" i="2"/>
  <c r="AV105" i="2"/>
  <c r="AV107" i="2"/>
  <c r="AU104" i="2"/>
  <c r="AU107" i="2"/>
  <c r="AU267" i="2"/>
  <c r="AU280" i="2" s="1"/>
  <c r="AU271" i="2"/>
  <c r="AU284" i="2" s="1"/>
  <c r="AX284" i="2" s="1"/>
  <c r="AU270" i="2"/>
  <c r="AU283" i="2" s="1"/>
  <c r="AV104" i="2"/>
  <c r="AW105" i="2"/>
  <c r="AM285" i="2"/>
  <c r="G15" i="7"/>
  <c r="G63" i="7" s="1"/>
  <c r="N63" i="7" s="1"/>
  <c r="AM287" i="2"/>
  <c r="AJ328" i="2"/>
  <c r="AM281" i="2"/>
  <c r="AJ322" i="2"/>
  <c r="AK338" i="2"/>
  <c r="AM338" i="2" s="1"/>
  <c r="AX237" i="2"/>
  <c r="AX239" i="2"/>
  <c r="AJ339" i="2"/>
  <c r="AM339" i="2" s="1"/>
  <c r="AL335" i="2"/>
  <c r="AL342" i="2" s="1"/>
  <c r="AV283" i="2"/>
  <c r="AM286" i="2"/>
  <c r="AJ327" i="2"/>
  <c r="AU273" i="2"/>
  <c r="AX273" i="2" s="1"/>
  <c r="AU268" i="2"/>
  <c r="AU281" i="2" s="1"/>
  <c r="AX281" i="2" s="1"/>
  <c r="AU269" i="2"/>
  <c r="AX269" i="2" s="1"/>
  <c r="AU266" i="2"/>
  <c r="AX266" i="2" s="1"/>
  <c r="AU265" i="2"/>
  <c r="AX265" i="2" s="1"/>
  <c r="AU274" i="2"/>
  <c r="AU272" i="2"/>
  <c r="AX272" i="2" s="1"/>
  <c r="AX235" i="2"/>
  <c r="AM283" i="2"/>
  <c r="F58" i="7" s="1"/>
  <c r="M58" i="7" s="1"/>
  <c r="AK324" i="2"/>
  <c r="AM278" i="2"/>
  <c r="AJ319" i="2"/>
  <c r="AX243" i="2"/>
  <c r="AM279" i="2"/>
  <c r="AJ320" i="2"/>
  <c r="AM282" i="2"/>
  <c r="AJ323" i="2"/>
  <c r="AM280" i="2"/>
  <c r="AK321" i="2"/>
  <c r="AX238" i="2"/>
  <c r="AX242" i="2"/>
  <c r="M31" i="7" l="1"/>
  <c r="M30" i="7"/>
  <c r="AU109" i="2"/>
  <c r="AW108" i="2"/>
  <c r="AW109" i="2" s="1"/>
  <c r="AW324" i="2" s="1"/>
  <c r="AW337" i="2" s="1"/>
  <c r="AX267" i="2"/>
  <c r="AX271" i="2"/>
  <c r="AX270" i="2"/>
  <c r="AX283" i="2"/>
  <c r="G58" i="7" s="1"/>
  <c r="N58" i="7" s="1"/>
  <c r="AV109" i="2"/>
  <c r="AV326" i="2" s="1"/>
  <c r="AV339" i="2" s="1"/>
  <c r="G16" i="7"/>
  <c r="F61" i="7"/>
  <c r="M61" i="7" s="1"/>
  <c r="AU286" i="2"/>
  <c r="AX286" i="2" s="1"/>
  <c r="AX280" i="2"/>
  <c r="AU285" i="2"/>
  <c r="F55" i="7"/>
  <c r="M55" i="7" s="1"/>
  <c r="AX268" i="2"/>
  <c r="AU278" i="2"/>
  <c r="AX278" i="2" s="1"/>
  <c r="AU282" i="2"/>
  <c r="AX282" i="2" s="1"/>
  <c r="AU279" i="2"/>
  <c r="AX279" i="2" s="1"/>
  <c r="AJ336" i="2"/>
  <c r="AM336" i="2" s="1"/>
  <c r="AJ340" i="2"/>
  <c r="AM340" i="2" s="1"/>
  <c r="AU287" i="2"/>
  <c r="AX287" i="2" s="1"/>
  <c r="AX274" i="2"/>
  <c r="AJ335" i="2"/>
  <c r="AM335" i="2" s="1"/>
  <c r="M29" i="7"/>
  <c r="AK334" i="2"/>
  <c r="AJ333" i="2"/>
  <c r="AM333" i="2" s="1"/>
  <c r="AJ332" i="2"/>
  <c r="M28" i="7"/>
  <c r="AK337" i="2"/>
  <c r="AM337" i="2" s="1"/>
  <c r="F52" i="7"/>
  <c r="M52" i="7" s="1"/>
  <c r="AJ341" i="2"/>
  <c r="AM341" i="2" s="1"/>
  <c r="AU321" i="2" l="1"/>
  <c r="AU334" i="2" s="1"/>
  <c r="AU322" i="2"/>
  <c r="AU335" i="2" s="1"/>
  <c r="AU325" i="2"/>
  <c r="AU338" i="2" s="1"/>
  <c r="G22" i="7"/>
  <c r="N22" i="7" s="1"/>
  <c r="AU324" i="2"/>
  <c r="AU337" i="2" s="1"/>
  <c r="AU326" i="2"/>
  <c r="AU339" i="2" s="1"/>
  <c r="AV321" i="2"/>
  <c r="AV334" i="2" s="1"/>
  <c r="AV323" i="2"/>
  <c r="AV336" i="2" s="1"/>
  <c r="G23" i="7"/>
  <c r="N23" i="7" s="1"/>
  <c r="AV322" i="2"/>
  <c r="AV335" i="2" s="1"/>
  <c r="AV327" i="2"/>
  <c r="AV340" i="2" s="1"/>
  <c r="AV328" i="2"/>
  <c r="AV341" i="2" s="1"/>
  <c r="AV324" i="2"/>
  <c r="AV337" i="2" s="1"/>
  <c r="AV320" i="2"/>
  <c r="AV333" i="2" s="1"/>
  <c r="AV325" i="2"/>
  <c r="AV338" i="2" s="1"/>
  <c r="AV319" i="2"/>
  <c r="AV332" i="2" s="1"/>
  <c r="AW326" i="2"/>
  <c r="AW339" i="2" s="1"/>
  <c r="G24" i="7"/>
  <c r="N24" i="7" s="1"/>
  <c r="AW320" i="2"/>
  <c r="AW333" i="2" s="1"/>
  <c r="AW328" i="2"/>
  <c r="AW341" i="2" s="1"/>
  <c r="AW323" i="2"/>
  <c r="AW336" i="2" s="1"/>
  <c r="AW321" i="2"/>
  <c r="AW334" i="2" s="1"/>
  <c r="AW325" i="2"/>
  <c r="AW338" i="2" s="1"/>
  <c r="AW319" i="2"/>
  <c r="AW332" i="2" s="1"/>
  <c r="AW327" i="2"/>
  <c r="AW340" i="2" s="1"/>
  <c r="AW322" i="2"/>
  <c r="AW335" i="2" s="1"/>
  <c r="AU319" i="2"/>
  <c r="AU332" i="2" s="1"/>
  <c r="G55" i="7"/>
  <c r="N55" i="7" s="1"/>
  <c r="AU327" i="2"/>
  <c r="AU340" i="2" s="1"/>
  <c r="AU320" i="2"/>
  <c r="AU333" i="2" s="1"/>
  <c r="AX285" i="2"/>
  <c r="G61" i="7" s="1"/>
  <c r="N61" i="7" s="1"/>
  <c r="G52" i="7"/>
  <c r="N52" i="7" s="1"/>
  <c r="F59" i="7"/>
  <c r="M59" i="7" s="1"/>
  <c r="F31" i="7"/>
  <c r="AU323" i="2"/>
  <c r="F56" i="7"/>
  <c r="M56" i="7" s="1"/>
  <c r="F30" i="7"/>
  <c r="AK342" i="2"/>
  <c r="AM334" i="2"/>
  <c r="AU328" i="2"/>
  <c r="AU341" i="2" s="1"/>
  <c r="AM332" i="2"/>
  <c r="AJ342" i="2"/>
  <c r="N31" i="7" l="1"/>
  <c r="AX339" i="2"/>
  <c r="N30" i="7"/>
  <c r="AX337" i="2"/>
  <c r="AU336" i="2"/>
  <c r="AX336" i="2" s="1"/>
  <c r="AX335" i="2"/>
  <c r="AX338" i="2"/>
  <c r="AX334" i="2"/>
  <c r="AV342" i="2"/>
  <c r="AX333" i="2"/>
  <c r="G25" i="7"/>
  <c r="N25" i="7" s="1"/>
  <c r="AX341" i="2"/>
  <c r="AX340" i="2"/>
  <c r="AW342" i="2"/>
  <c r="N29" i="7"/>
  <c r="N28" i="7"/>
  <c r="F53" i="7"/>
  <c r="M53" i="7" s="1"/>
  <c r="F29" i="7"/>
  <c r="AM342" i="2"/>
  <c r="F50" i="7"/>
  <c r="M50" i="7" s="1"/>
  <c r="F28" i="7"/>
  <c r="AX332" i="2"/>
  <c r="AU342" i="2" l="1"/>
  <c r="G30" i="7"/>
  <c r="G31" i="7"/>
  <c r="G56" i="7"/>
  <c r="N56" i="7" s="1"/>
  <c r="G53" i="7"/>
  <c r="N53" i="7" s="1"/>
  <c r="G59" i="7"/>
  <c r="N59" i="7" s="1"/>
  <c r="G29" i="7"/>
  <c r="F32" i="7"/>
  <c r="M66" i="7"/>
  <c r="G50" i="7"/>
  <c r="N50" i="7" s="1"/>
  <c r="G28" i="7"/>
  <c r="AX342" i="2"/>
  <c r="G32" i="7" l="1"/>
  <c r="G33" i="7" s="1"/>
  <c r="N66" i="7"/>
  <c r="F35" i="7"/>
  <c r="G35" i="7" l="1"/>
</calcChain>
</file>

<file path=xl/comments1.xml><?xml version="1.0" encoding="utf-8"?>
<comments xmlns="http://schemas.openxmlformats.org/spreadsheetml/2006/main">
  <authors>
    <author>Laurent LAVOGIEZ</author>
  </authors>
  <commentList>
    <comment ref="H8" authorId="0" shapeId="0">
      <text>
        <r>
          <rPr>
            <b/>
            <sz val="9"/>
            <color indexed="81"/>
            <rFont val="Tahoma"/>
            <family val="2"/>
          </rPr>
          <t>Laurent LAVOGIEZ:</t>
        </r>
        <r>
          <rPr>
            <sz val="9"/>
            <color indexed="81"/>
            <rFont val="Tahoma"/>
            <family val="2"/>
          </rPr>
          <t xml:space="preserve">
impact de la décision des équipes en temps de préparation sur le taux de concrétisation des RV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>Laurent LAVOGIEZ:</t>
        </r>
        <r>
          <rPr>
            <sz val="9"/>
            <color indexed="81"/>
            <rFont val="Tahoma"/>
            <family val="2"/>
          </rPr>
          <t xml:space="preserve">
la base de calcul : % de RV qui se traduisent par une souscription</t>
        </r>
      </text>
    </comment>
    <comment ref="C9" authorId="0" shapeId="0">
      <text>
        <r>
          <rPr>
            <b/>
            <sz val="9"/>
            <color indexed="81"/>
            <rFont val="Tahoma"/>
            <family val="2"/>
          </rPr>
          <t>Laurent LAVOGIEZ:</t>
        </r>
        <r>
          <rPr>
            <sz val="9"/>
            <color indexed="81"/>
            <rFont val="Tahoma"/>
            <family val="2"/>
          </rPr>
          <t xml:space="preserve">
temps moyen pour un RV</t>
        </r>
      </text>
    </comment>
  </commentList>
</comments>
</file>

<file path=xl/sharedStrings.xml><?xml version="1.0" encoding="utf-8"?>
<sst xmlns="http://schemas.openxmlformats.org/spreadsheetml/2006/main" count="3870" uniqueCount="482">
  <si>
    <t>N1</t>
  </si>
  <si>
    <t>N2</t>
  </si>
  <si>
    <t>N3</t>
  </si>
  <si>
    <t>Nb de clients</t>
  </si>
  <si>
    <t>Collecte</t>
  </si>
  <si>
    <t>Court terme</t>
  </si>
  <si>
    <t>Crédit</t>
  </si>
  <si>
    <t>Immo</t>
  </si>
  <si>
    <t>Conso</t>
  </si>
  <si>
    <t>Assurance</t>
  </si>
  <si>
    <t>Prévoyance</t>
  </si>
  <si>
    <t>Services</t>
  </si>
  <si>
    <t>Téléphonie</t>
  </si>
  <si>
    <t>X</t>
  </si>
  <si>
    <t>Prospection</t>
  </si>
  <si>
    <t>T1</t>
  </si>
  <si>
    <t>T2</t>
  </si>
  <si>
    <t>T3</t>
  </si>
  <si>
    <t>T4</t>
  </si>
  <si>
    <t>T5</t>
  </si>
  <si>
    <t>T6</t>
  </si>
  <si>
    <t>T7</t>
  </si>
  <si>
    <t>T8</t>
  </si>
  <si>
    <t>Nb formations</t>
  </si>
  <si>
    <t>N0 =&gt; N1</t>
  </si>
  <si>
    <t>N1 =&gt; N2</t>
  </si>
  <si>
    <t>N2 =&gt; N3</t>
  </si>
  <si>
    <t>20/80</t>
  </si>
  <si>
    <t>80/20</t>
  </si>
  <si>
    <t>60/40</t>
  </si>
  <si>
    <t>40/60</t>
  </si>
  <si>
    <t>Moyen et Long terme</t>
  </si>
  <si>
    <t>IARD</t>
  </si>
  <si>
    <t>Moyens de paiement</t>
  </si>
  <si>
    <t>Ouverture compte</t>
  </si>
  <si>
    <t>théorique</t>
  </si>
  <si>
    <t>temps (h)</t>
  </si>
  <si>
    <t>temps (min)</t>
  </si>
  <si>
    <t>Décompte des heures</t>
  </si>
  <si>
    <t>préparation</t>
  </si>
  <si>
    <t>Taux de concrétisation moyen (%)</t>
  </si>
  <si>
    <t>Plafond accueil</t>
  </si>
  <si>
    <t>FORMATIONS</t>
  </si>
  <si>
    <t>Impact PNB</t>
  </si>
  <si>
    <t>BUDGETS</t>
  </si>
  <si>
    <t>Faible</t>
  </si>
  <si>
    <t>Moyen</t>
  </si>
  <si>
    <t>Fort</t>
  </si>
  <si>
    <t>Effet</t>
  </si>
  <si>
    <t>Effet motivation</t>
  </si>
  <si>
    <t>Effet sur la motivation pour…</t>
  </si>
  <si>
    <t>Taux de concrétisation</t>
  </si>
  <si>
    <t>0 formation le T</t>
  </si>
  <si>
    <t>LITIGES</t>
  </si>
  <si>
    <t>1 ou 2 challenges par T</t>
  </si>
  <si>
    <t>3 ou 4 challenges par T</t>
  </si>
  <si>
    <t>effet motivation</t>
  </si>
  <si>
    <t>effet litige</t>
  </si>
  <si>
    <t>PNB ponctuel (€)</t>
  </si>
  <si>
    <t>- accueil</t>
  </si>
  <si>
    <t>- formation</t>
  </si>
  <si>
    <t>= reste</t>
  </si>
  <si>
    <t>Temps</t>
  </si>
  <si>
    <t>Crédit renouvelable</t>
  </si>
  <si>
    <t>junior</t>
  </si>
  <si>
    <t>senior</t>
  </si>
  <si>
    <t>premium</t>
  </si>
  <si>
    <t>- prospection</t>
  </si>
  <si>
    <t>= disponible RV</t>
  </si>
  <si>
    <t>Nb souscriptions</t>
  </si>
  <si>
    <t>Budget annuel (€)</t>
  </si>
  <si>
    <t>Effet prospection sur le nb de clients</t>
  </si>
  <si>
    <t>Nombre moyen de litiges</t>
  </si>
  <si>
    <t>par T</t>
  </si>
  <si>
    <t>Optimisation de l'agenda</t>
  </si>
  <si>
    <t>Ratio multivente</t>
  </si>
  <si>
    <t>Taux de report</t>
  </si>
  <si>
    <t>Mise minimale par T (€)</t>
  </si>
  <si>
    <t>Ratio multiventes</t>
  </si>
  <si>
    <t>MONITEUR COMMERCIAL</t>
  </si>
  <si>
    <t>Montant prime (€)</t>
  </si>
  <si>
    <t>en jours</t>
  </si>
  <si>
    <t>en h</t>
  </si>
  <si>
    <t>MOTIVATION</t>
  </si>
  <si>
    <t>Taux de report standard par T</t>
  </si>
  <si>
    <t>Limite en % du temps de RV</t>
  </si>
  <si>
    <t>maxi</t>
  </si>
  <si>
    <t>perdu</t>
  </si>
  <si>
    <t>PROSPECTION</t>
  </si>
  <si>
    <t>Effet sur les litiges</t>
  </si>
  <si>
    <t>prép et analyse globale</t>
  </si>
  <si>
    <t>Nom</t>
  </si>
  <si>
    <t>Coût (€)</t>
  </si>
  <si>
    <t>Description</t>
  </si>
  <si>
    <t>Déploiement d'un nouvel outil de CRM</t>
  </si>
  <si>
    <t>Outil CRM</t>
  </si>
  <si>
    <t>Mur d'argent</t>
  </si>
  <si>
    <t>Equipement des équipes par des tablettes numériques</t>
  </si>
  <si>
    <t>Installation d'un mur d'argent à l'accueil</t>
  </si>
  <si>
    <t>Modernisation de l'espace d'accueil</t>
  </si>
  <si>
    <t>Accueil</t>
  </si>
  <si>
    <t>PLV collecte</t>
  </si>
  <si>
    <t>PLV assurance</t>
  </si>
  <si>
    <t>PLV crédit</t>
  </si>
  <si>
    <t>PLV services</t>
  </si>
  <si>
    <t>Animation collecte</t>
  </si>
  <si>
    <t>Animation trimestrielle sur les produits "collecte"</t>
  </si>
  <si>
    <t>Animation crédit</t>
  </si>
  <si>
    <t>Animation trimestrielle sur les produits "crédit"</t>
  </si>
  <si>
    <t>Animation assurance</t>
  </si>
  <si>
    <t>Animation trimestrielle sur les produits "assurance"</t>
  </si>
  <si>
    <t>Animation services</t>
  </si>
  <si>
    <t>Animation trimestrielle sur les produits "services"</t>
  </si>
  <si>
    <t>Escape game</t>
  </si>
  <si>
    <t>T</t>
  </si>
  <si>
    <t>T+1</t>
  </si>
  <si>
    <t>T+2</t>
  </si>
  <si>
    <t>Effets taux de concrétisation</t>
  </si>
  <si>
    <t>Lien en multivente - la vente à un impact sur les produits…</t>
  </si>
  <si>
    <t>SATISFACTION</t>
  </si>
  <si>
    <t>motivation générale</t>
  </si>
  <si>
    <t>Effet sur la satisfaction</t>
  </si>
  <si>
    <t>compétence moyenne</t>
  </si>
  <si>
    <t>Indice initial (T = 0)</t>
  </si>
  <si>
    <t>mini</t>
  </si>
  <si>
    <t>Effet satisfaction client</t>
  </si>
  <si>
    <t>Impact motivation sur le taux de report</t>
  </si>
  <si>
    <t>Effet sur le taux de report</t>
  </si>
  <si>
    <t>Impact motivation sur le taux de concrétisation</t>
  </si>
  <si>
    <t>HISTORIQUE T=0</t>
  </si>
  <si>
    <t>Variation du nb de clients par T</t>
  </si>
  <si>
    <t>Variation motivation par T</t>
  </si>
  <si>
    <t>Variation par T</t>
  </si>
  <si>
    <t>Indice initial</t>
  </si>
  <si>
    <t>T0</t>
  </si>
  <si>
    <t>T-1</t>
  </si>
  <si>
    <t>T-2</t>
  </si>
  <si>
    <t>T-3</t>
  </si>
  <si>
    <t>Nb de RV total</t>
  </si>
  <si>
    <t>Nb de souscriptions totales</t>
  </si>
  <si>
    <t>Nb heures / T</t>
  </si>
  <si>
    <t>Nb heures / jour</t>
  </si>
  <si>
    <t>Immobilier</t>
  </si>
  <si>
    <t>Consommation</t>
  </si>
  <si>
    <t>5 challenges par T</t>
  </si>
  <si>
    <t>CHALLENGES COMMERCIAUX</t>
  </si>
  <si>
    <t>Nb maximum par T</t>
  </si>
  <si>
    <t>Numéro</t>
  </si>
  <si>
    <t>effet préparation sur le taux de concrétisation</t>
  </si>
  <si>
    <t>Motivation</t>
  </si>
  <si>
    <t>Développement commercial</t>
  </si>
  <si>
    <t>Impact sur le temps de RV</t>
  </si>
  <si>
    <t>GENERALITES</t>
  </si>
  <si>
    <t>CONSEILLERS</t>
  </si>
  <si>
    <t>PRODUITS BANCAIRES</t>
  </si>
  <si>
    <t>SATISFACTION CLIENT</t>
  </si>
  <si>
    <t>Conseillers</t>
  </si>
  <si>
    <t>Renouvelable</t>
  </si>
  <si>
    <t>Moyen et long terme</t>
  </si>
  <si>
    <t>CLASSEMENT</t>
  </si>
  <si>
    <t>PNB réalisé</t>
  </si>
  <si>
    <t>Indice de satisfaction</t>
  </si>
  <si>
    <t>Coefficient d'importance des trimestres sur le classement</t>
  </si>
  <si>
    <t>T9</t>
  </si>
  <si>
    <t>T10</t>
  </si>
  <si>
    <t>T11</t>
  </si>
  <si>
    <t>T12</t>
  </si>
  <si>
    <t>Positionnement "volume/conseil"</t>
  </si>
  <si>
    <t>Effet à T+1</t>
  </si>
  <si>
    <t>POSITIONNEMENT "VOLUME/CONSEIL"</t>
  </si>
  <si>
    <t>impact ratio multivente</t>
  </si>
  <si>
    <t>impact PNB</t>
  </si>
  <si>
    <t>Effet dégressif</t>
  </si>
  <si>
    <t>convivialité + challenges</t>
  </si>
  <si>
    <t>aménagement / animation + études + moniteurs</t>
  </si>
  <si>
    <t>Outils d'aide à la vente et animations commerciales</t>
  </si>
  <si>
    <t>Type</t>
  </si>
  <si>
    <t>ACTIONS</t>
  </si>
  <si>
    <t>Afterwork</t>
  </si>
  <si>
    <t>PNB généré</t>
  </si>
  <si>
    <t xml:space="preserve"> % T-1</t>
  </si>
  <si>
    <t>motivation</t>
  </si>
  <si>
    <t>Nb de souscription / RV</t>
  </si>
  <si>
    <t>PNB moyen par RV</t>
  </si>
  <si>
    <t>Nb RV</t>
  </si>
  <si>
    <t>Litiges</t>
  </si>
  <si>
    <t>Nb RV / j</t>
  </si>
  <si>
    <t>Nb souscr / jour</t>
  </si>
  <si>
    <t>Budgets</t>
  </si>
  <si>
    <t>Consommé</t>
  </si>
  <si>
    <t>Restant</t>
  </si>
  <si>
    <t>Impact multivente</t>
  </si>
  <si>
    <t>Effet si reconduite sur le T suivant</t>
  </si>
  <si>
    <t>Suivi risque / conformité</t>
  </si>
  <si>
    <t>prép. et analyse globale</t>
  </si>
  <si>
    <t>num</t>
  </si>
  <si>
    <t>Aménagement</t>
  </si>
  <si>
    <t>Animation commerciale</t>
  </si>
  <si>
    <t>Convivialité</t>
  </si>
  <si>
    <t>Nombre de RV</t>
  </si>
  <si>
    <t>Nombre de litiges</t>
  </si>
  <si>
    <t>par famille</t>
  </si>
  <si>
    <t>Points max</t>
  </si>
  <si>
    <t>multiventes</t>
  </si>
  <si>
    <t>Attentes des clients</t>
  </si>
  <si>
    <t>Suivi du risque et de la conformité</t>
  </si>
  <si>
    <t>Encours T = 0 (début)</t>
  </si>
  <si>
    <t>moyenne / total</t>
  </si>
  <si>
    <t>Nb souscriptions / RV</t>
  </si>
  <si>
    <t>manager de l'agence</t>
  </si>
  <si>
    <t>Trimestre</t>
  </si>
  <si>
    <t>Positionnement "volume / conseil"</t>
  </si>
  <si>
    <t>Cocher une case</t>
  </si>
  <si>
    <t>Temps d'accueil (en %)</t>
  </si>
  <si>
    <t>Challenges commerciaux</t>
  </si>
  <si>
    <t>Actions aménagement et animations</t>
  </si>
  <si>
    <t>Actions convivialité</t>
  </si>
  <si>
    <t>numéro</t>
  </si>
  <si>
    <t>intitulé de l'action</t>
  </si>
  <si>
    <t>Moniteurs commerciaux</t>
  </si>
  <si>
    <t xml:space="preserve">entre 0 et 100 % </t>
  </si>
  <si>
    <t>Temps de rendez-vous client</t>
  </si>
  <si>
    <t>Préparation et d'analyse</t>
  </si>
  <si>
    <t>entre 0 et 100 %</t>
  </si>
  <si>
    <t>- suivi du risque</t>
  </si>
  <si>
    <t>TOTAL</t>
  </si>
  <si>
    <t>début T</t>
  </si>
  <si>
    <t>Impact formation</t>
  </si>
  <si>
    <t>Nb de formations</t>
  </si>
  <si>
    <t>Impact accueil</t>
  </si>
  <si>
    <t>Motivation finale</t>
  </si>
  <si>
    <t>Nb clients</t>
  </si>
  <si>
    <t>Impact prospection</t>
  </si>
  <si>
    <t>Satisfaction</t>
  </si>
  <si>
    <t>baisse T</t>
  </si>
  <si>
    <t>Impact positionnement</t>
  </si>
  <si>
    <t>Impact préparation</t>
  </si>
  <si>
    <t>Impact motivation</t>
  </si>
  <si>
    <t>Impact compétence</t>
  </si>
  <si>
    <t>fin T</t>
  </si>
  <si>
    <t>Nb clients fin T</t>
  </si>
  <si>
    <t>Base</t>
  </si>
  <si>
    <t>Nb de litiges</t>
  </si>
  <si>
    <t>Impact satisfaction</t>
  </si>
  <si>
    <t>Temps Face à Face</t>
  </si>
  <si>
    <t>Impact moniteur</t>
  </si>
  <si>
    <t>Effet multivente</t>
  </si>
  <si>
    <t>on ajoute les %</t>
  </si>
  <si>
    <t>Nb souscriptions en multiventes</t>
  </si>
  <si>
    <t>Nb souscriptions total</t>
  </si>
  <si>
    <t>Taux sur encours (%)</t>
  </si>
  <si>
    <t>PNB avec impact positionnement et formation</t>
  </si>
  <si>
    <t>PNB total pour le T</t>
  </si>
  <si>
    <t>Niveau de compétence</t>
  </si>
  <si>
    <t>Impact temps de prép et d'analyse</t>
  </si>
  <si>
    <t>moyenne</t>
  </si>
  <si>
    <t>Variation d'encours avec impact positionnement et formation</t>
  </si>
  <si>
    <t>Encours moyen (fin de T)</t>
  </si>
  <si>
    <t>Taux de concrétisation final</t>
  </si>
  <si>
    <t>Standard</t>
  </si>
  <si>
    <t>T=&gt;</t>
  </si>
  <si>
    <t>Effectif</t>
  </si>
  <si>
    <t>Impact challenges</t>
  </si>
  <si>
    <t>Impact nb challenges</t>
  </si>
  <si>
    <t>Equilibrage P/R au scénario</t>
  </si>
  <si>
    <t>Produits concernés</t>
  </si>
  <si>
    <t>Suivi des budgets</t>
  </si>
  <si>
    <t>début de période</t>
  </si>
  <si>
    <t>fin de période</t>
  </si>
  <si>
    <t>actions</t>
  </si>
  <si>
    <t>moniteur</t>
  </si>
  <si>
    <t>challenges</t>
  </si>
  <si>
    <t>Coût des challenges</t>
  </si>
  <si>
    <t>Impact actions</t>
  </si>
  <si>
    <t>effet total</t>
  </si>
  <si>
    <t>perte naturelle</t>
  </si>
  <si>
    <t>Préparation junior</t>
  </si>
  <si>
    <t>Préparation senior</t>
  </si>
  <si>
    <t>Préparation premium</t>
  </si>
  <si>
    <t>Positionnement</t>
  </si>
  <si>
    <t>Compétence</t>
  </si>
  <si>
    <t>Suivi du risque</t>
  </si>
  <si>
    <t>Effet total</t>
  </si>
  <si>
    <t>% à reporter</t>
  </si>
  <si>
    <t>% après Report</t>
  </si>
  <si>
    <t>perdu en %</t>
  </si>
  <si>
    <t>total</t>
  </si>
  <si>
    <t>concrétisation</t>
  </si>
  <si>
    <t>% de l'objectif</t>
  </si>
  <si>
    <t>Objectif PNB</t>
  </si>
  <si>
    <t>Objectif d'atteinte</t>
  </si>
  <si>
    <t>pour</t>
  </si>
  <si>
    <t>Satisfaction client</t>
  </si>
  <si>
    <t>litiges</t>
  </si>
  <si>
    <t>PNB</t>
  </si>
  <si>
    <t>Nb souscrip.</t>
  </si>
  <si>
    <t>Nb de souscriptions</t>
  </si>
  <si>
    <t>Coefficient d'activité applicables pour le calcul du classement</t>
  </si>
  <si>
    <t>Budget affecté</t>
  </si>
  <si>
    <t>€</t>
  </si>
  <si>
    <t>Coût</t>
  </si>
  <si>
    <t>Cotation</t>
  </si>
  <si>
    <t>COTATION</t>
  </si>
  <si>
    <t>COTATION / 100</t>
  </si>
  <si>
    <t>/100</t>
  </si>
  <si>
    <t>Formation</t>
  </si>
  <si>
    <t>Nb challenges</t>
  </si>
  <si>
    <t>T 1 à 4</t>
  </si>
  <si>
    <t>T 5 à 8</t>
  </si>
  <si>
    <t>T 9 à 12</t>
  </si>
  <si>
    <t>prép. et analyse</t>
  </si>
  <si>
    <t>Niveau de compétence initial</t>
  </si>
  <si>
    <t>Formations (niveaux)</t>
  </si>
  <si>
    <t>global</t>
  </si>
  <si>
    <t>Temps total RV après report</t>
  </si>
  <si>
    <t>Total</t>
  </si>
  <si>
    <t>Baisse de l'encours par T</t>
  </si>
  <si>
    <t>Matrice de compétence (T=-1)</t>
  </si>
  <si>
    <t>Temps accueil</t>
  </si>
  <si>
    <t>du temps du trimestre</t>
  </si>
  <si>
    <t>Minimum</t>
  </si>
  <si>
    <t>Taux d'attrition</t>
  </si>
  <si>
    <t>Encours</t>
  </si>
  <si>
    <t>formation</t>
  </si>
  <si>
    <t>niveau</t>
  </si>
  <si>
    <t>Nb de clients deb T0</t>
  </si>
  <si>
    <t>manager</t>
  </si>
  <si>
    <t>CFS</t>
  </si>
  <si>
    <t>QP reversée</t>
  </si>
  <si>
    <t>+ budgets</t>
  </si>
  <si>
    <t>deb T = 0</t>
  </si>
  <si>
    <t>brider à 100</t>
  </si>
  <si>
    <t>PNB moyen par souscription</t>
  </si>
  <si>
    <t>SALAIRE / T</t>
  </si>
  <si>
    <t>% de client</t>
  </si>
  <si>
    <t>Effets multivente</t>
  </si>
  <si>
    <t>4 familles</t>
  </si>
  <si>
    <t>T+3</t>
  </si>
  <si>
    <t>Concrétisation</t>
  </si>
  <si>
    <t>avec T-1</t>
  </si>
  <si>
    <t>Impact si challenge id</t>
  </si>
  <si>
    <r>
      <rPr>
        <sz val="48"/>
        <color theme="2" tint="-0.749992370372631"/>
        <rFont val="Hiruko"/>
      </rPr>
      <t>AssurBanque</t>
    </r>
    <r>
      <rPr>
        <sz val="48"/>
        <color theme="1"/>
        <rFont val="Hiruko"/>
      </rPr>
      <t xml:space="preserve"> </t>
    </r>
    <r>
      <rPr>
        <sz val="48"/>
        <color theme="7" tint="-0.249977111117893"/>
        <rFont val="Hiruko"/>
      </rPr>
      <t>Manager</t>
    </r>
  </si>
  <si>
    <t>paramètres figés, indépendants du scénario</t>
  </si>
  <si>
    <t>paramètres définis dans le scénario</t>
  </si>
  <si>
    <t>paramètres modifiables pour une équipe</t>
  </si>
  <si>
    <t>Variation nb litiges</t>
  </si>
  <si>
    <t>Variation du budget</t>
  </si>
  <si>
    <t>Variation nb clients</t>
  </si>
  <si>
    <t>Variation satisfaction</t>
  </si>
  <si>
    <t>effet de la satis. sur le nb de clients</t>
  </si>
  <si>
    <t>Variation taux de report</t>
  </si>
  <si>
    <t>Variation du max</t>
  </si>
  <si>
    <t>MOTIVATION ET REPORT</t>
  </si>
  <si>
    <t>Variation motivation</t>
  </si>
  <si>
    <t>Légende</t>
  </si>
  <si>
    <t>en bleu</t>
  </si>
  <si>
    <t>les commentaires</t>
  </si>
  <si>
    <t>nombre d'heures par trimestre - en T3 modélisation des vacances annuelles</t>
  </si>
  <si>
    <t>potentiellement il sera possible pour l'agence de faire appel à un apprenti ou un stagiaire pour délester les conseillers</t>
  </si>
  <si>
    <t>Cette matrice caractérise les liens entre les types de RV. Un RV peut déclencher des souscriptions dans d'autres catégories</t>
  </si>
  <si>
    <t>L'encours diminue naturellement du fait du remboursement de crédit ou de baisse de collecte.</t>
  </si>
  <si>
    <t>Un % du temps non occupé se reconduit sur les autres sous-familles.</t>
  </si>
  <si>
    <t>Ces matrices donnent les impacts de la motivation des conseillers.</t>
  </si>
  <si>
    <t>Un personnel mieux formé augmente la valeur des ventes, et la capacité à générer des ventes croisées</t>
  </si>
  <si>
    <t>Consommation des budgets</t>
  </si>
  <si>
    <t>Effet négatif si trop de challenges</t>
  </si>
  <si>
    <t>Le moniteur commercial a un effet sur deux trimestres.</t>
  </si>
  <si>
    <t>Effet en T+1</t>
  </si>
  <si>
    <t>Minimum de temps à consacrer à la prospection</t>
  </si>
  <si>
    <t>Déclin naturel</t>
  </si>
  <si>
    <t>Effet du temps passé à l'accueil sur la motivation des conseillers</t>
  </si>
  <si>
    <t>Barèmes pour la cotation</t>
  </si>
  <si>
    <t>Maximum réalisable par T</t>
  </si>
  <si>
    <t>Variation temps T</t>
  </si>
  <si>
    <t>à mettre en constante</t>
  </si>
  <si>
    <t>pour le dosage</t>
  </si>
  <si>
    <t>Nb de formation max par T</t>
  </si>
  <si>
    <t>1 formation par T</t>
  </si>
  <si>
    <t>2 formations par T</t>
  </si>
  <si>
    <t>Variation en-cours moyen (€)</t>
  </si>
  <si>
    <t>Réunion afterwork de l'équipe</t>
  </si>
  <si>
    <t>Conférence immobilier</t>
  </si>
  <si>
    <t>Conférence placements</t>
  </si>
  <si>
    <t>Conférence sécurité</t>
  </si>
  <si>
    <t>Partenariat évènement caritatif</t>
  </si>
  <si>
    <t>Participation évenement sportif</t>
  </si>
  <si>
    <t>à conserver ???</t>
  </si>
  <si>
    <t>possibilité d'ajouter un aléa (fermeture de l'agence ?)</t>
  </si>
  <si>
    <t>Accompagnement personnalisé</t>
  </si>
  <si>
    <t>intensité (faible 1, moyen 2 ou fort 3)</t>
  </si>
  <si>
    <t>Benchmarking intragroupe</t>
  </si>
  <si>
    <t>Recherche d'informations</t>
  </si>
  <si>
    <t>Tendance du marché</t>
  </si>
  <si>
    <t>Activité de l'agence</t>
  </si>
  <si>
    <t>Optimisation agenda</t>
  </si>
  <si>
    <t>Priorité</t>
  </si>
  <si>
    <t>Représentation / relations publiques</t>
  </si>
  <si>
    <t>de 1 à 4</t>
  </si>
  <si>
    <t>Emploi du temps du manager</t>
  </si>
  <si>
    <t>Relation avec le groupe (reporting, réunions, …)</t>
  </si>
  <si>
    <t>Management de l'équipe</t>
  </si>
  <si>
    <t>minimum</t>
  </si>
  <si>
    <t>EMPLOI DU TEMPS DU MANAGER</t>
  </si>
  <si>
    <t>bloqué à 10%</t>
  </si>
  <si>
    <t>Impact satisfaction client</t>
  </si>
  <si>
    <t>Impact litiges</t>
  </si>
  <si>
    <t>Impact nombre de clients</t>
  </si>
  <si>
    <t>Impact motivation des conseillers</t>
  </si>
  <si>
    <t>impact sur le taux de concrétisation</t>
  </si>
  <si>
    <t>impact sur le PNB</t>
  </si>
  <si>
    <t>impact sur la satisfaction client</t>
  </si>
  <si>
    <t>C1</t>
  </si>
  <si>
    <t>C2</t>
  </si>
  <si>
    <t>C3</t>
  </si>
  <si>
    <t>V1</t>
  </si>
  <si>
    <t>V2</t>
  </si>
  <si>
    <t>V3</t>
  </si>
  <si>
    <t>V4</t>
  </si>
  <si>
    <t>C4</t>
  </si>
  <si>
    <t>Impact des challenges sur la motivation</t>
  </si>
  <si>
    <t>Impact accomp.</t>
  </si>
  <si>
    <t>Impact anim. Comm.</t>
  </si>
  <si>
    <t>Impact suivi risque conseillers</t>
  </si>
  <si>
    <t>Impact suivi risque manager</t>
  </si>
  <si>
    <t>Impact formation manager</t>
  </si>
  <si>
    <t>Impact représentation</t>
  </si>
  <si>
    <t>% du temps de chaque conseiller</t>
  </si>
  <si>
    <t>Emploi du temps des conseillers</t>
  </si>
  <si>
    <t>Temps de préparation et d'analyse</t>
  </si>
  <si>
    <t>Amélioration de l'ergonomie</t>
  </si>
  <si>
    <t>Invitation des clients</t>
  </si>
  <si>
    <t>Installation de nouveaux équipements bureautiques pour les conseillers</t>
  </si>
  <si>
    <t>Repas d'équipe</t>
  </si>
  <si>
    <t>Organisation d'un repas entre les membres de l'équipe de l'agence</t>
  </si>
  <si>
    <t>Tablettes numériques</t>
  </si>
  <si>
    <t>Modernisation de l'accueil</t>
  </si>
  <si>
    <t>Installation de PLV pour les produits "collecte"</t>
  </si>
  <si>
    <t>Installation de PLV pour les produits "crédit"</t>
  </si>
  <si>
    <t>Installation de PLV pour les produits "assurance"</t>
  </si>
  <si>
    <t>Installation de PLV pour les produits "services"</t>
  </si>
  <si>
    <t>Organisation d'un escape game entre les membres de l'équipe de l'agence</t>
  </si>
  <si>
    <t>Organisation d'un petit déjeuner "immobilier", rencontre avec les clients</t>
  </si>
  <si>
    <t>Organisation d'un petit déjeuner "placements", rencontre avec les clients</t>
  </si>
  <si>
    <t>Organisation d'un petit déjeuner "sécurité", rencontre avec les clients</t>
  </si>
  <si>
    <t>Invitation des clients à un évènementiel culturel</t>
  </si>
  <si>
    <t>Signature d'un partenariat local, œuvre de charité</t>
  </si>
  <si>
    <t>Inscirption des membres de l'équipe à un évènement sportif</t>
  </si>
  <si>
    <t>Sponsoring sportif local</t>
  </si>
  <si>
    <t>Soutien à une équipe sportive locale</t>
  </si>
  <si>
    <t>C5</t>
  </si>
  <si>
    <t>C6</t>
  </si>
  <si>
    <t>Déclenche des niveaux de détail de l'étude</t>
  </si>
  <si>
    <t xml:space="preserve">&lt; C1 </t>
  </si>
  <si>
    <t xml:space="preserve">entre C1 et C2 </t>
  </si>
  <si>
    <t xml:space="preserve">entre C2 et C3 </t>
  </si>
  <si>
    <t>entre C3 et C4</t>
  </si>
  <si>
    <t>entre C4 et C5</t>
  </si>
  <si>
    <t>P1</t>
  </si>
  <si>
    <t>détail 1</t>
  </si>
  <si>
    <t>P1 P2</t>
  </si>
  <si>
    <t>détail 2</t>
  </si>
  <si>
    <t>entre C5 et C6</t>
  </si>
  <si>
    <t>&gt;C6</t>
  </si>
  <si>
    <t>P1 P2 P3 P4</t>
  </si>
  <si>
    <t>&gt; C3</t>
  </si>
  <si>
    <t>rien</t>
  </si>
  <si>
    <t>détail 3</t>
  </si>
  <si>
    <t>P1 P2 P3</t>
  </si>
  <si>
    <t>pour créer un nouveau jeu de décisions</t>
  </si>
  <si>
    <t>pour effacer les décisions en cours</t>
  </si>
  <si>
    <t>Pour simuler un jeu de décisions sur 4 T</t>
  </si>
  <si>
    <t>insérer un nouvelle décision</t>
  </si>
  <si>
    <t>la nouvelle fiche est insérée en fin de classeur</t>
  </si>
  <si>
    <t>saisir les décisions sur 4T</t>
  </si>
  <si>
    <t>cliquer sur "importer"</t>
  </si>
  <si>
    <t>accéder à la fiche "décisions"</t>
  </si>
  <si>
    <t>cliquer sur "calculer"</t>
  </si>
  <si>
    <t>Pour sauvegarder les résultats obtenus (graphiques)</t>
  </si>
  <si>
    <t>accéder à la fiche "résultats_évolution"</t>
  </si>
  <si>
    <t>accéder à la fiche du jeu de décisions</t>
  </si>
  <si>
    <t>cliquer sur "sauvegarder"</t>
  </si>
  <si>
    <t>les graphiques sont copiés sur la fiche en cours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</si>
</sst>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4" formatCode="_-* #,##0.00\ &quot;€&quot;_-;\-* #,##0.00\ &quot;€&quot;_-;_-* &quot;-&quot;??\ &quot;€&quot;_-;_-@_-"/>
    <numFmt numFmtId="164" formatCode="#,##0.0"/>
    <numFmt numFmtId="165" formatCode="0.0%"/>
    <numFmt numFmtId="166" formatCode="0.0"/>
    <numFmt numFmtId="167" formatCode="_-* #,##0\ &quot;€&quot;_-;\-* #,##0\ &quot;€&quot;_-;_-* &quot;-&quot;??\ &quot;€&quot;_-;_-@_-"/>
    <numFmt numFmtId="168" formatCode="_-* #,##0.0\ &quot;€&quot;_-;\-* #,##0.0\ &quot;€&quot;_-;_-* &quot;-&quot;??\ &quot;€&quot;_-;_-@_-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1"/>
      <color theme="1"/>
      <name val="Arial"/>
      <family val="2"/>
    </font>
    <font>
      <sz val="11"/>
      <color rgb="FFFF0000"/>
      <name val="Arial"/>
      <family val="2"/>
    </font>
    <font>
      <sz val="9"/>
      <color theme="1"/>
      <name val="Arial"/>
      <family val="2"/>
    </font>
    <font>
      <b/>
      <u/>
      <sz val="14"/>
      <color theme="1"/>
      <name val="Arial"/>
      <family val="2"/>
    </font>
    <font>
      <sz val="11"/>
      <color rgb="FF000000"/>
      <name val="Arial"/>
      <family val="2"/>
    </font>
    <font>
      <b/>
      <u/>
      <sz val="12"/>
      <color theme="1"/>
      <name val="Arial"/>
      <family val="2"/>
    </font>
    <font>
      <b/>
      <u/>
      <sz val="11"/>
      <color theme="1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theme="1"/>
      <name val="Arial"/>
      <family val="2"/>
    </font>
    <font>
      <i/>
      <sz val="11"/>
      <color theme="0" tint="-0.34998626667073579"/>
      <name val="Arial"/>
      <family val="2"/>
    </font>
    <font>
      <i/>
      <sz val="11"/>
      <color theme="1"/>
      <name val="Arial"/>
      <family val="2"/>
    </font>
    <font>
      <i/>
      <sz val="9"/>
      <name val="Arial"/>
      <family val="2"/>
    </font>
    <font>
      <i/>
      <sz val="10"/>
      <color theme="1"/>
      <name val="Arial"/>
      <family val="2"/>
    </font>
    <font>
      <sz val="48"/>
      <color theme="1"/>
      <name val="Hiruko"/>
    </font>
    <font>
      <sz val="48"/>
      <color theme="2" tint="-0.749992370372631"/>
      <name val="Hiruko"/>
    </font>
    <font>
      <sz val="48"/>
      <color theme="7" tint="-0.249977111117893"/>
      <name val="Hiruko"/>
    </font>
    <font>
      <b/>
      <u/>
      <sz val="12"/>
      <color theme="1"/>
      <name val="Calibri"/>
      <family val="2"/>
      <scheme val="minor"/>
    </font>
    <font>
      <sz val="11"/>
      <color theme="4"/>
      <name val="Arial"/>
      <family val="2"/>
    </font>
    <font>
      <sz val="11"/>
      <color theme="4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8"/>
      <name val="Arial"/>
      <family val="2"/>
    </font>
    <font>
      <u/>
      <sz val="11"/>
      <color theme="1"/>
      <name val="Arial"/>
      <family val="2"/>
    </font>
    <font>
      <sz val="11"/>
      <name val="Arial"/>
      <family val="2"/>
    </font>
    <font>
      <sz val="11"/>
      <color rgb="FF000000"/>
      <name val="Calibri"/>
      <family val="2"/>
    </font>
    <font>
      <u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3D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9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832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2" fillId="0" borderId="0" xfId="0" quotePrefix="1" applyFont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2" fillId="0" borderId="32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44" xfId="0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" xfId="0" applyFont="1" applyBorder="1" applyAlignment="1">
      <alignment vertical="center"/>
    </xf>
    <xf numFmtId="0" fontId="2" fillId="0" borderId="29" xfId="0" applyFont="1" applyBorder="1" applyAlignment="1">
      <alignment vertical="center"/>
    </xf>
    <xf numFmtId="0" fontId="2" fillId="0" borderId="1" xfId="0" applyFont="1" applyFill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28" xfId="0" applyFont="1" applyBorder="1" applyAlignment="1">
      <alignment vertical="center"/>
    </xf>
    <xf numFmtId="0" fontId="2" fillId="0" borderId="9" xfId="0" applyFont="1" applyBorder="1" applyAlignment="1">
      <alignment vertical="center"/>
    </xf>
    <xf numFmtId="0" fontId="2" fillId="0" borderId="30" xfId="0" applyFont="1" applyBorder="1" applyAlignment="1">
      <alignment vertical="center"/>
    </xf>
    <xf numFmtId="2" fontId="2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4" xfId="0" applyFont="1" applyFill="1" applyBorder="1" applyAlignment="1">
      <alignment vertical="center"/>
    </xf>
    <xf numFmtId="3" fontId="2" fillId="0" borderId="0" xfId="0" applyNumberFormat="1" applyFont="1" applyAlignment="1">
      <alignment vertical="center"/>
    </xf>
    <xf numFmtId="0" fontId="2" fillId="0" borderId="7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2" fillId="0" borderId="0" xfId="0" applyFont="1" applyFill="1" applyAlignment="1">
      <alignment vertical="center"/>
    </xf>
    <xf numFmtId="9" fontId="2" fillId="0" borderId="0" xfId="1" applyFont="1" applyFill="1" applyAlignment="1">
      <alignment vertical="center"/>
    </xf>
    <xf numFmtId="0" fontId="7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/>
    <xf numFmtId="9" fontId="2" fillId="0" borderId="0" xfId="0" applyNumberFormat="1" applyFont="1" applyAlignment="1">
      <alignment vertical="center"/>
    </xf>
    <xf numFmtId="0" fontId="2" fillId="0" borderId="0" xfId="0" applyFont="1" applyAlignment="1">
      <alignment horizontal="center"/>
    </xf>
    <xf numFmtId="9" fontId="2" fillId="0" borderId="0" xfId="0" applyNumberFormat="1" applyFont="1"/>
    <xf numFmtId="0" fontId="4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9" fontId="2" fillId="0" borderId="0" xfId="0" quotePrefix="1" applyNumberFormat="1" applyFont="1" applyAlignment="1">
      <alignment horizontal="right" vertical="center"/>
    </xf>
    <xf numFmtId="0" fontId="2" fillId="0" borderId="0" xfId="0" quotePrefix="1" applyFont="1" applyAlignment="1">
      <alignment horizontal="right" vertical="center"/>
    </xf>
    <xf numFmtId="0" fontId="4" fillId="0" borderId="0" xfId="0" quotePrefix="1" applyFont="1" applyAlignment="1">
      <alignment horizontal="right" vertical="center"/>
    </xf>
    <xf numFmtId="166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4" fillId="0" borderId="0" xfId="0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/>
    </xf>
    <xf numFmtId="0" fontId="4" fillId="0" borderId="0" xfId="0" quotePrefix="1" applyFont="1" applyAlignment="1">
      <alignment vertical="center"/>
    </xf>
    <xf numFmtId="0" fontId="4" fillId="0" borderId="0" xfId="0" applyFont="1" applyAlignment="1">
      <alignment horizontal="left" vertical="center"/>
    </xf>
    <xf numFmtId="0" fontId="2" fillId="0" borderId="0" xfId="0" applyFont="1" applyFill="1" applyBorder="1" applyAlignment="1">
      <alignment vertical="center"/>
    </xf>
    <xf numFmtId="0" fontId="4" fillId="0" borderId="11" xfId="0" applyFont="1" applyBorder="1" applyAlignment="1">
      <alignment horizontal="center" vertical="center"/>
    </xf>
    <xf numFmtId="0" fontId="2" fillId="0" borderId="16" xfId="0" applyFont="1" applyBorder="1" applyAlignment="1">
      <alignment vertical="center"/>
    </xf>
    <xf numFmtId="3" fontId="2" fillId="0" borderId="0" xfId="1" applyNumberFormat="1" applyFont="1" applyBorder="1" applyAlignment="1">
      <alignment horizontal="center" vertical="center"/>
    </xf>
    <xf numFmtId="0" fontId="2" fillId="0" borderId="17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9" fontId="2" fillId="0" borderId="0" xfId="1" applyFont="1" applyAlignment="1">
      <alignment horizontal="center" vertical="center"/>
    </xf>
    <xf numFmtId="1" fontId="2" fillId="0" borderId="0" xfId="0" applyNumberFormat="1" applyFont="1"/>
    <xf numFmtId="0" fontId="11" fillId="0" borderId="0" xfId="0" applyFont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1" fontId="8" fillId="0" borderId="4" xfId="0" applyNumberFormat="1" applyFont="1" applyFill="1" applyBorder="1" applyAlignment="1">
      <alignment horizontal="center" vertical="center"/>
    </xf>
    <xf numFmtId="1" fontId="8" fillId="0" borderId="7" xfId="0" applyNumberFormat="1" applyFont="1" applyFill="1" applyBorder="1" applyAlignment="1">
      <alignment horizontal="center" vertical="center"/>
    </xf>
    <xf numFmtId="1" fontId="8" fillId="0" borderId="1" xfId="0" applyNumberFormat="1" applyFont="1" applyFill="1" applyBorder="1" applyAlignment="1">
      <alignment horizontal="center" vertical="center"/>
    </xf>
    <xf numFmtId="1" fontId="2" fillId="0" borderId="4" xfId="0" applyNumberFormat="1" applyFont="1" applyFill="1" applyBorder="1" applyAlignment="1">
      <alignment horizontal="center" vertical="center"/>
    </xf>
    <xf numFmtId="1" fontId="2" fillId="0" borderId="7" xfId="0" applyNumberFormat="1" applyFont="1" applyFill="1" applyBorder="1" applyAlignment="1">
      <alignment horizontal="center" vertical="center"/>
    </xf>
    <xf numFmtId="2" fontId="2" fillId="0" borderId="0" xfId="0" applyNumberFormat="1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2" fontId="2" fillId="0" borderId="1" xfId="1" applyNumberFormat="1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4" fillId="0" borderId="37" xfId="0" applyFont="1" applyBorder="1" applyAlignment="1">
      <alignment vertical="center"/>
    </xf>
    <xf numFmtId="0" fontId="2" fillId="0" borderId="3" xfId="0" applyFont="1" applyBorder="1"/>
    <xf numFmtId="0" fontId="2" fillId="0" borderId="11" xfId="0" applyFont="1" applyBorder="1"/>
    <xf numFmtId="0" fontId="4" fillId="0" borderId="11" xfId="0" applyFont="1" applyBorder="1" applyAlignment="1">
      <alignment horizontal="center"/>
    </xf>
    <xf numFmtId="0" fontId="2" fillId="0" borderId="19" xfId="0" applyFont="1" applyBorder="1"/>
    <xf numFmtId="0" fontId="2" fillId="0" borderId="9" xfId="0" applyFont="1" applyBorder="1"/>
    <xf numFmtId="0" fontId="10" fillId="0" borderId="0" xfId="0" applyFont="1" applyBorder="1" applyAlignment="1">
      <alignment vertical="center"/>
    </xf>
    <xf numFmtId="0" fontId="2" fillId="0" borderId="0" xfId="0" applyFont="1" applyBorder="1"/>
    <xf numFmtId="0" fontId="2" fillId="0" borderId="24" xfId="0" applyFont="1" applyBorder="1" applyAlignment="1">
      <alignment horizontal="right" vertical="center"/>
    </xf>
    <xf numFmtId="0" fontId="4" fillId="0" borderId="0" xfId="0" applyFont="1" applyBorder="1" applyAlignment="1">
      <alignment vertical="center" wrapText="1"/>
    </xf>
    <xf numFmtId="0" fontId="2" fillId="0" borderId="24" xfId="0" applyFont="1" applyBorder="1"/>
    <xf numFmtId="0" fontId="4" fillId="0" borderId="0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/>
    </xf>
    <xf numFmtId="0" fontId="13" fillId="0" borderId="25" xfId="0" applyFont="1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0" fontId="4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horizontal="center"/>
    </xf>
    <xf numFmtId="0" fontId="2" fillId="0" borderId="0" xfId="0" applyFont="1" applyBorder="1" applyAlignment="1">
      <alignment horizontal="right" vertical="center"/>
    </xf>
    <xf numFmtId="0" fontId="2" fillId="0" borderId="6" xfId="0" applyFont="1" applyBorder="1"/>
    <xf numFmtId="0" fontId="2" fillId="0" borderId="25" xfId="0" applyFont="1" applyBorder="1"/>
    <xf numFmtId="0" fontId="2" fillId="0" borderId="26" xfId="0" applyFont="1" applyBorder="1"/>
    <xf numFmtId="0" fontId="6" fillId="0" borderId="0" xfId="0" applyFont="1" applyBorder="1" applyAlignment="1">
      <alignment horizontal="center" vertical="center" wrapText="1"/>
    </xf>
    <xf numFmtId="9" fontId="2" fillId="0" borderId="25" xfId="0" applyNumberFormat="1" applyFont="1" applyBorder="1" applyAlignment="1">
      <alignment horizontal="center" vertical="center"/>
    </xf>
    <xf numFmtId="0" fontId="4" fillId="0" borderId="41" xfId="0" applyFont="1" applyBorder="1" applyAlignment="1">
      <alignment horizontal="center" vertical="center"/>
    </xf>
    <xf numFmtId="9" fontId="2" fillId="0" borderId="0" xfId="0" quotePrefix="1" applyNumberFormat="1" applyFont="1" applyAlignment="1">
      <alignment vertical="center"/>
    </xf>
    <xf numFmtId="1" fontId="2" fillId="0" borderId="1" xfId="0" applyNumberFormat="1" applyFont="1" applyBorder="1" applyAlignment="1">
      <alignment vertical="center"/>
    </xf>
    <xf numFmtId="1" fontId="2" fillId="0" borderId="1" xfId="0" applyNumberFormat="1" applyFont="1" applyBorder="1" applyAlignment="1">
      <alignment horizontal="center" vertical="center"/>
    </xf>
    <xf numFmtId="9" fontId="4" fillId="0" borderId="0" xfId="1" applyFont="1" applyFill="1" applyBorder="1" applyAlignment="1">
      <alignment vertical="center"/>
    </xf>
    <xf numFmtId="0" fontId="14" fillId="0" borderId="0" xfId="0" applyFont="1" applyAlignment="1">
      <alignment vertical="center"/>
    </xf>
    <xf numFmtId="9" fontId="2" fillId="0" borderId="0" xfId="1" applyFont="1" applyAlignment="1">
      <alignment vertical="center"/>
    </xf>
    <xf numFmtId="3" fontId="2" fillId="0" borderId="0" xfId="0" applyNumberFormat="1" applyFont="1" applyBorder="1" applyAlignment="1">
      <alignment vertical="center"/>
    </xf>
    <xf numFmtId="3" fontId="5" fillId="0" borderId="0" xfId="1" applyNumberFormat="1" applyFont="1" applyBorder="1" applyAlignment="1">
      <alignment horizontal="center" vertical="center"/>
    </xf>
    <xf numFmtId="3" fontId="2" fillId="0" borderId="1" xfId="0" applyNumberFormat="1" applyFont="1" applyBorder="1" applyAlignment="1">
      <alignment vertical="center"/>
    </xf>
    <xf numFmtId="168" fontId="2" fillId="0" borderId="1" xfId="2" applyNumberFormat="1" applyFont="1" applyBorder="1" applyAlignment="1">
      <alignment vertical="center"/>
    </xf>
    <xf numFmtId="167" fontId="2" fillId="0" borderId="1" xfId="2" applyNumberFormat="1" applyFont="1" applyBorder="1" applyAlignment="1">
      <alignment vertical="center"/>
    </xf>
    <xf numFmtId="2" fontId="2" fillId="0" borderId="1" xfId="0" applyNumberFormat="1" applyFont="1" applyBorder="1" applyAlignment="1">
      <alignment vertical="center"/>
    </xf>
    <xf numFmtId="166" fontId="2" fillId="0" borderId="1" xfId="0" applyNumberFormat="1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3" fontId="4" fillId="0" borderId="1" xfId="0" applyNumberFormat="1" applyFont="1" applyBorder="1" applyAlignment="1">
      <alignment horizontal="center" vertical="center"/>
    </xf>
    <xf numFmtId="3" fontId="2" fillId="0" borderId="1" xfId="0" applyNumberFormat="1" applyFont="1" applyBorder="1" applyAlignment="1">
      <alignment horizontal="center" vertical="center"/>
    </xf>
    <xf numFmtId="1" fontId="2" fillId="0" borderId="1" xfId="1" applyNumberFormat="1" applyFont="1" applyFill="1" applyBorder="1" applyAlignment="1">
      <alignment horizontal="center" vertical="center"/>
    </xf>
    <xf numFmtId="0" fontId="14" fillId="0" borderId="1" xfId="0" applyFont="1" applyBorder="1" applyAlignment="1">
      <alignment vertical="center"/>
    </xf>
    <xf numFmtId="0" fontId="2" fillId="0" borderId="1" xfId="0" applyNumberFormat="1" applyFont="1" applyBorder="1" applyAlignment="1">
      <alignment vertical="center"/>
    </xf>
    <xf numFmtId="3" fontId="4" fillId="0" borderId="1" xfId="0" applyNumberFormat="1" applyFont="1" applyBorder="1" applyAlignment="1">
      <alignment vertical="center"/>
    </xf>
    <xf numFmtId="164" fontId="2" fillId="0" borderId="1" xfId="1" applyNumberFormat="1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3" fontId="2" fillId="0" borderId="1" xfId="1" applyNumberFormat="1" applyFont="1" applyBorder="1" applyAlignment="1">
      <alignment horizontal="center" vertical="center"/>
    </xf>
    <xf numFmtId="9" fontId="2" fillId="0" borderId="1" xfId="1" applyFont="1" applyBorder="1" applyAlignment="1">
      <alignment horizontal="center" vertical="center"/>
    </xf>
    <xf numFmtId="9" fontId="2" fillId="0" borderId="1" xfId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166" fontId="2" fillId="0" borderId="0" xfId="0" applyNumberFormat="1" applyFont="1" applyAlignment="1">
      <alignment vertical="center"/>
    </xf>
    <xf numFmtId="164" fontId="4" fillId="0" borderId="1" xfId="0" applyNumberFormat="1" applyFont="1" applyBorder="1" applyAlignment="1">
      <alignment vertical="center"/>
    </xf>
    <xf numFmtId="166" fontId="2" fillId="0" borderId="0" xfId="0" applyNumberFormat="1" applyFont="1" applyFill="1" applyBorder="1" applyAlignment="1">
      <alignment vertical="center"/>
    </xf>
    <xf numFmtId="2" fontId="2" fillId="0" borderId="0" xfId="1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65" fontId="2" fillId="0" borderId="0" xfId="1" applyNumberFormat="1" applyFont="1" applyAlignment="1">
      <alignment vertical="center"/>
    </xf>
    <xf numFmtId="165" fontId="2" fillId="0" borderId="0" xfId="1" applyNumberFormat="1" applyFont="1" applyAlignment="1">
      <alignment horizontal="center" vertical="center"/>
    </xf>
    <xf numFmtId="3" fontId="4" fillId="0" borderId="0" xfId="0" applyNumberFormat="1" applyFont="1" applyBorder="1" applyAlignment="1">
      <alignment vertical="center"/>
    </xf>
    <xf numFmtId="1" fontId="4" fillId="0" borderId="0" xfId="1" applyNumberFormat="1" applyFont="1" applyFill="1" applyAlignment="1">
      <alignment horizontal="center" vertical="center"/>
    </xf>
    <xf numFmtId="9" fontId="2" fillId="0" borderId="1" xfId="1" applyFont="1" applyFill="1" applyBorder="1" applyAlignment="1">
      <alignment vertical="center"/>
    </xf>
    <xf numFmtId="3" fontId="2" fillId="0" borderId="1" xfId="1" applyNumberFormat="1" applyFont="1" applyFill="1" applyBorder="1" applyAlignment="1">
      <alignment vertical="center"/>
    </xf>
    <xf numFmtId="3" fontId="2" fillId="0" borderId="1" xfId="0" applyNumberFormat="1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" fontId="2" fillId="0" borderId="1" xfId="0" applyNumberFormat="1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168" fontId="2" fillId="0" borderId="1" xfId="2" applyNumberFormat="1" applyFont="1" applyFill="1" applyBorder="1" applyAlignment="1">
      <alignment vertical="center"/>
    </xf>
    <xf numFmtId="165" fontId="2" fillId="0" borderId="1" xfId="1" applyNumberFormat="1" applyFont="1" applyBorder="1" applyAlignment="1">
      <alignment vertical="center"/>
    </xf>
    <xf numFmtId="9" fontId="2" fillId="0" borderId="0" xfId="1" applyFont="1"/>
    <xf numFmtId="0" fontId="2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165" fontId="15" fillId="0" borderId="0" xfId="1" applyNumberFormat="1" applyFont="1" applyAlignment="1">
      <alignment horizontal="center" vertical="center"/>
    </xf>
    <xf numFmtId="166" fontId="2" fillId="0" borderId="1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3" fontId="2" fillId="3" borderId="22" xfId="1" applyNumberFormat="1" applyFont="1" applyFill="1" applyBorder="1" applyAlignment="1">
      <alignment vertical="center"/>
    </xf>
    <xf numFmtId="3" fontId="2" fillId="3" borderId="38" xfId="1" applyNumberFormat="1" applyFont="1" applyFill="1" applyBorder="1" applyAlignment="1">
      <alignment vertical="center"/>
    </xf>
    <xf numFmtId="3" fontId="2" fillId="3" borderId="35" xfId="1" applyNumberFormat="1" applyFont="1" applyFill="1" applyBorder="1" applyAlignment="1">
      <alignment vertical="center"/>
    </xf>
    <xf numFmtId="3" fontId="2" fillId="3" borderId="0" xfId="1" applyNumberFormat="1" applyFont="1" applyFill="1" applyBorder="1" applyAlignment="1">
      <alignment vertical="center"/>
    </xf>
    <xf numFmtId="3" fontId="2" fillId="3" borderId="36" xfId="1" applyNumberFormat="1" applyFont="1" applyFill="1" applyBorder="1" applyAlignment="1">
      <alignment vertical="center"/>
    </xf>
    <xf numFmtId="3" fontId="2" fillId="3" borderId="31" xfId="1" applyNumberFormat="1" applyFont="1" applyFill="1" applyBorder="1" applyAlignment="1">
      <alignment vertical="center"/>
    </xf>
    <xf numFmtId="9" fontId="2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4" fillId="4" borderId="12" xfId="0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14" xfId="0" applyFont="1" applyFill="1" applyBorder="1" applyAlignment="1">
      <alignment horizontal="center" vertical="center"/>
    </xf>
    <xf numFmtId="0" fontId="2" fillId="4" borderId="23" xfId="0" applyFont="1" applyFill="1" applyBorder="1" applyAlignment="1">
      <alignment horizontal="center" vertical="center"/>
    </xf>
    <xf numFmtId="0" fontId="2" fillId="4" borderId="21" xfId="0" applyFont="1" applyFill="1" applyBorder="1" applyAlignment="1">
      <alignment horizontal="center" vertical="center"/>
    </xf>
    <xf numFmtId="0" fontId="2" fillId="4" borderId="20" xfId="0" applyFont="1" applyFill="1" applyBorder="1" applyAlignment="1">
      <alignment horizontal="center" vertical="center"/>
    </xf>
    <xf numFmtId="9" fontId="4" fillId="4" borderId="41" xfId="1" applyFont="1" applyFill="1" applyBorder="1" applyAlignment="1">
      <alignment vertical="center"/>
    </xf>
    <xf numFmtId="9" fontId="2" fillId="4" borderId="50" xfId="1" applyFont="1" applyFill="1" applyBorder="1" applyAlignment="1">
      <alignment horizontal="center" vertical="center"/>
    </xf>
    <xf numFmtId="9" fontId="2" fillId="4" borderId="52" xfId="1" applyFont="1" applyFill="1" applyBorder="1" applyAlignment="1">
      <alignment horizontal="center" vertical="center"/>
    </xf>
    <xf numFmtId="9" fontId="2" fillId="4" borderId="51" xfId="1" applyFont="1" applyFill="1" applyBorder="1" applyAlignment="1">
      <alignment horizontal="center" vertical="center"/>
    </xf>
    <xf numFmtId="0" fontId="16" fillId="0" borderId="0" xfId="0" applyFont="1" applyBorder="1"/>
    <xf numFmtId="0" fontId="17" fillId="0" borderId="0" xfId="0" applyFont="1" applyBorder="1"/>
    <xf numFmtId="9" fontId="4" fillId="4" borderId="12" xfId="1" applyFont="1" applyFill="1" applyBorder="1" applyAlignment="1">
      <alignment horizontal="center" vertical="center"/>
    </xf>
    <xf numFmtId="9" fontId="4" fillId="4" borderId="13" xfId="1" applyFont="1" applyFill="1" applyBorder="1" applyAlignment="1">
      <alignment horizontal="center" vertical="center"/>
    </xf>
    <xf numFmtId="9" fontId="4" fillId="4" borderId="14" xfId="1" applyFont="1" applyFill="1" applyBorder="1" applyAlignment="1">
      <alignment horizontal="center" vertical="center"/>
    </xf>
    <xf numFmtId="3" fontId="2" fillId="0" borderId="5" xfId="0" applyNumberFormat="1" applyFont="1" applyBorder="1" applyAlignment="1">
      <alignment horizontal="center" vertical="center"/>
    </xf>
    <xf numFmtId="3" fontId="2" fillId="0" borderId="10" xfId="0" applyNumberFormat="1" applyFont="1" applyBorder="1" applyAlignment="1">
      <alignment horizontal="center" vertical="center"/>
    </xf>
    <xf numFmtId="3" fontId="2" fillId="0" borderId="8" xfId="0" applyNumberFormat="1" applyFont="1" applyBorder="1" applyAlignment="1">
      <alignment horizontal="center" vertical="center"/>
    </xf>
    <xf numFmtId="3" fontId="2" fillId="0" borderId="0" xfId="0" applyNumberFormat="1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3" fontId="2" fillId="0" borderId="20" xfId="0" applyNumberFormat="1" applyFont="1" applyBorder="1" applyAlignment="1">
      <alignment vertical="center"/>
    </xf>
    <xf numFmtId="3" fontId="2" fillId="0" borderId="10" xfId="0" applyNumberFormat="1" applyFont="1" applyBorder="1" applyAlignment="1">
      <alignment vertical="center"/>
    </xf>
    <xf numFmtId="3" fontId="2" fillId="0" borderId="21" xfId="0" applyNumberFormat="1" applyFont="1" applyBorder="1" applyAlignment="1">
      <alignment vertical="center"/>
    </xf>
    <xf numFmtId="3" fontId="2" fillId="0" borderId="7" xfId="0" applyNumberFormat="1" applyFont="1" applyBorder="1" applyAlignment="1">
      <alignment vertical="center"/>
    </xf>
    <xf numFmtId="3" fontId="2" fillId="0" borderId="8" xfId="0" applyNumberFormat="1" applyFont="1" applyBorder="1" applyAlignment="1">
      <alignment vertical="center"/>
    </xf>
    <xf numFmtId="1" fontId="2" fillId="0" borderId="20" xfId="0" applyNumberFormat="1" applyFont="1" applyBorder="1" applyAlignment="1">
      <alignment vertical="center"/>
    </xf>
    <xf numFmtId="1" fontId="2" fillId="0" borderId="21" xfId="0" applyNumberFormat="1" applyFont="1" applyBorder="1" applyAlignment="1">
      <alignment vertical="center"/>
    </xf>
    <xf numFmtId="1" fontId="2" fillId="0" borderId="7" xfId="0" applyNumberFormat="1" applyFont="1" applyBorder="1" applyAlignment="1">
      <alignment vertical="center"/>
    </xf>
    <xf numFmtId="167" fontId="2" fillId="0" borderId="20" xfId="2" applyNumberFormat="1" applyFont="1" applyBorder="1" applyAlignment="1">
      <alignment vertical="center"/>
    </xf>
    <xf numFmtId="167" fontId="2" fillId="0" borderId="10" xfId="2" applyNumberFormat="1" applyFont="1" applyBorder="1" applyAlignment="1">
      <alignment vertical="center"/>
    </xf>
    <xf numFmtId="167" fontId="2" fillId="0" borderId="21" xfId="2" applyNumberFormat="1" applyFont="1" applyBorder="1" applyAlignment="1">
      <alignment vertical="center"/>
    </xf>
    <xf numFmtId="167" fontId="2" fillId="0" borderId="7" xfId="2" applyNumberFormat="1" applyFont="1" applyBorder="1" applyAlignment="1">
      <alignment vertical="center"/>
    </xf>
    <xf numFmtId="167" fontId="2" fillId="0" borderId="8" xfId="2" applyNumberFormat="1" applyFont="1" applyBorder="1" applyAlignment="1">
      <alignment vertical="center"/>
    </xf>
    <xf numFmtId="167" fontId="2" fillId="0" borderId="0" xfId="2" applyNumberFormat="1" applyFont="1" applyBorder="1" applyAlignment="1">
      <alignment vertical="center"/>
    </xf>
    <xf numFmtId="3" fontId="2" fillId="0" borderId="23" xfId="0" applyNumberFormat="1" applyFont="1" applyBorder="1" applyAlignment="1">
      <alignment vertical="center"/>
    </xf>
    <xf numFmtId="3" fontId="2" fillId="0" borderId="4" xfId="0" applyNumberFormat="1" applyFont="1" applyBorder="1" applyAlignment="1">
      <alignment vertical="center"/>
    </xf>
    <xf numFmtId="3" fontId="2" fillId="0" borderId="5" xfId="0" applyNumberFormat="1" applyFont="1" applyBorder="1" applyAlignment="1">
      <alignment vertical="center"/>
    </xf>
    <xf numFmtId="1" fontId="2" fillId="0" borderId="23" xfId="0" applyNumberFormat="1" applyFont="1" applyBorder="1" applyAlignment="1">
      <alignment vertical="center"/>
    </xf>
    <xf numFmtId="1" fontId="2" fillId="0" borderId="4" xfId="0" applyNumberFormat="1" applyFont="1" applyBorder="1" applyAlignment="1">
      <alignment vertical="center"/>
    </xf>
    <xf numFmtId="167" fontId="2" fillId="0" borderId="23" xfId="2" applyNumberFormat="1" applyFont="1" applyBorder="1" applyAlignment="1">
      <alignment vertical="center"/>
    </xf>
    <xf numFmtId="167" fontId="2" fillId="0" borderId="4" xfId="2" applyNumberFormat="1" applyFont="1" applyBorder="1" applyAlignment="1">
      <alignment vertical="center"/>
    </xf>
    <xf numFmtId="167" fontId="2" fillId="0" borderId="5" xfId="2" applyNumberFormat="1" applyFont="1" applyBorder="1" applyAlignment="1">
      <alignment vertical="center"/>
    </xf>
    <xf numFmtId="9" fontId="2" fillId="0" borderId="27" xfId="1" applyFont="1" applyBorder="1" applyAlignment="1">
      <alignment vertical="center"/>
    </xf>
    <xf numFmtId="9" fontId="2" fillId="0" borderId="42" xfId="1" applyFont="1" applyBorder="1" applyAlignment="1">
      <alignment vertical="center"/>
    </xf>
    <xf numFmtId="9" fontId="2" fillId="0" borderId="43" xfId="1" applyFont="1" applyBorder="1" applyAlignment="1">
      <alignment vertical="center"/>
    </xf>
    <xf numFmtId="167" fontId="2" fillId="0" borderId="11" xfId="2" applyNumberFormat="1" applyFont="1" applyBorder="1" applyAlignment="1">
      <alignment vertical="center"/>
    </xf>
    <xf numFmtId="9" fontId="2" fillId="0" borderId="11" xfId="1" applyFont="1" applyBorder="1" applyAlignment="1">
      <alignment vertical="center"/>
    </xf>
    <xf numFmtId="167" fontId="2" fillId="0" borderId="1" xfId="2" applyNumberFormat="1" applyFont="1" applyBorder="1" applyAlignment="1">
      <alignment horizontal="center" vertical="center"/>
    </xf>
    <xf numFmtId="166" fontId="2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1" fontId="2" fillId="0" borderId="23" xfId="1" applyNumberFormat="1" applyFont="1" applyFill="1" applyBorder="1" applyAlignment="1">
      <alignment horizontal="center" vertical="center"/>
    </xf>
    <xf numFmtId="1" fontId="2" fillId="0" borderId="4" xfId="1" applyNumberFormat="1" applyFont="1" applyFill="1" applyBorder="1" applyAlignment="1">
      <alignment horizontal="center" vertical="center"/>
    </xf>
    <xf numFmtId="1" fontId="2" fillId="0" borderId="5" xfId="1" applyNumberFormat="1" applyFont="1" applyFill="1" applyBorder="1" applyAlignment="1">
      <alignment horizontal="center" vertical="center"/>
    </xf>
    <xf numFmtId="1" fontId="2" fillId="0" borderId="21" xfId="1" applyNumberFormat="1" applyFont="1" applyFill="1" applyBorder="1" applyAlignment="1">
      <alignment horizontal="center" vertical="center"/>
    </xf>
    <xf numFmtId="1" fontId="2" fillId="0" borderId="7" xfId="1" applyNumberFormat="1" applyFont="1" applyFill="1" applyBorder="1" applyAlignment="1">
      <alignment horizontal="center" vertical="center"/>
    </xf>
    <xf numFmtId="1" fontId="2" fillId="0" borderId="8" xfId="1" applyNumberFormat="1" applyFont="1" applyFill="1" applyBorder="1" applyAlignment="1">
      <alignment horizontal="center" vertical="center"/>
    </xf>
    <xf numFmtId="1" fontId="2" fillId="0" borderId="20" xfId="1" applyNumberFormat="1" applyFont="1" applyFill="1" applyBorder="1" applyAlignment="1">
      <alignment horizontal="center" vertical="center"/>
    </xf>
    <xf numFmtId="1" fontId="2" fillId="0" borderId="10" xfId="1" applyNumberFormat="1" applyFont="1" applyFill="1" applyBorder="1" applyAlignment="1">
      <alignment horizontal="center" vertical="center"/>
    </xf>
    <xf numFmtId="3" fontId="2" fillId="0" borderId="50" xfId="1" applyNumberFormat="1" applyFont="1" applyFill="1" applyBorder="1" applyAlignment="1">
      <alignment horizontal="center" vertical="center"/>
    </xf>
    <xf numFmtId="3" fontId="2" fillId="0" borderId="52" xfId="1" applyNumberFormat="1" applyFont="1" applyFill="1" applyBorder="1" applyAlignment="1">
      <alignment horizontal="center" vertical="center"/>
    </xf>
    <xf numFmtId="3" fontId="2" fillId="0" borderId="51" xfId="1" applyNumberFormat="1" applyFont="1" applyFill="1" applyBorder="1" applyAlignment="1">
      <alignment horizontal="center" vertical="center"/>
    </xf>
    <xf numFmtId="9" fontId="2" fillId="0" borderId="23" xfId="1" applyFont="1" applyBorder="1" applyAlignment="1">
      <alignment horizontal="center" vertical="center"/>
    </xf>
    <xf numFmtId="9" fontId="2" fillId="0" borderId="4" xfId="1" applyFont="1" applyBorder="1" applyAlignment="1">
      <alignment horizontal="center" vertical="center"/>
    </xf>
    <xf numFmtId="9" fontId="2" fillId="0" borderId="5" xfId="1" applyFont="1" applyBorder="1" applyAlignment="1">
      <alignment horizontal="center" vertical="center"/>
    </xf>
    <xf numFmtId="9" fontId="2" fillId="0" borderId="21" xfId="1" applyFont="1" applyBorder="1" applyAlignment="1">
      <alignment horizontal="center" vertical="center"/>
    </xf>
    <xf numFmtId="9" fontId="2" fillId="0" borderId="7" xfId="1" applyFont="1" applyBorder="1" applyAlignment="1">
      <alignment horizontal="center" vertical="center"/>
    </xf>
    <xf numFmtId="9" fontId="2" fillId="0" borderId="8" xfId="1" applyFont="1" applyBorder="1" applyAlignment="1">
      <alignment horizontal="center" vertical="center"/>
    </xf>
    <xf numFmtId="9" fontId="2" fillId="0" borderId="20" xfId="1" applyFont="1" applyBorder="1" applyAlignment="1">
      <alignment horizontal="center" vertical="center"/>
    </xf>
    <xf numFmtId="9" fontId="2" fillId="0" borderId="10" xfId="1" applyFont="1" applyBorder="1" applyAlignment="1">
      <alignment horizontal="center" vertical="center"/>
    </xf>
    <xf numFmtId="164" fontId="2" fillId="0" borderId="23" xfId="0" applyNumberFormat="1" applyFont="1" applyBorder="1" applyAlignment="1">
      <alignment horizontal="center" vertical="center"/>
    </xf>
    <xf numFmtId="164" fontId="2" fillId="0" borderId="4" xfId="0" applyNumberFormat="1" applyFont="1" applyBorder="1" applyAlignment="1">
      <alignment horizontal="center" vertical="center"/>
    </xf>
    <xf numFmtId="164" fontId="2" fillId="0" borderId="5" xfId="0" applyNumberFormat="1" applyFont="1" applyBorder="1" applyAlignment="1">
      <alignment horizontal="center" vertical="center"/>
    </xf>
    <xf numFmtId="164" fontId="2" fillId="0" borderId="21" xfId="0" applyNumberFormat="1" applyFont="1" applyBorder="1" applyAlignment="1">
      <alignment horizontal="center" vertical="center"/>
    </xf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20" xfId="0" applyNumberFormat="1" applyFont="1" applyBorder="1" applyAlignment="1">
      <alignment horizontal="center" vertical="center"/>
    </xf>
    <xf numFmtId="164" fontId="2" fillId="0" borderId="10" xfId="0" applyNumberFormat="1" applyFont="1" applyBorder="1" applyAlignment="1">
      <alignment horizontal="center" vertical="center"/>
    </xf>
    <xf numFmtId="3" fontId="2" fillId="0" borderId="23" xfId="1" applyNumberFormat="1" applyFont="1" applyBorder="1" applyAlignment="1">
      <alignment horizontal="center" vertical="center"/>
    </xf>
    <xf numFmtId="3" fontId="2" fillId="0" borderId="4" xfId="1" applyNumberFormat="1" applyFont="1" applyBorder="1" applyAlignment="1">
      <alignment horizontal="center" vertical="center"/>
    </xf>
    <xf numFmtId="3" fontId="2" fillId="0" borderId="21" xfId="1" applyNumberFormat="1" applyFont="1" applyBorder="1" applyAlignment="1">
      <alignment horizontal="center" vertical="center"/>
    </xf>
    <xf numFmtId="3" fontId="2" fillId="0" borderId="7" xfId="1" applyNumberFormat="1" applyFont="1" applyBorder="1" applyAlignment="1">
      <alignment horizontal="center" vertical="center"/>
    </xf>
    <xf numFmtId="3" fontId="2" fillId="0" borderId="20" xfId="1" applyNumberFormat="1" applyFont="1" applyBorder="1" applyAlignment="1">
      <alignment horizontal="center" vertical="center"/>
    </xf>
    <xf numFmtId="3" fontId="2" fillId="0" borderId="5" xfId="1" applyNumberFormat="1" applyFont="1" applyBorder="1" applyAlignment="1">
      <alignment horizontal="center" vertical="center"/>
    </xf>
    <xf numFmtId="3" fontId="2" fillId="0" borderId="8" xfId="1" applyNumberFormat="1" applyFont="1" applyBorder="1" applyAlignment="1">
      <alignment horizontal="center" vertical="center"/>
    </xf>
    <xf numFmtId="3" fontId="2" fillId="0" borderId="10" xfId="1" applyNumberFormat="1" applyFont="1" applyBorder="1" applyAlignment="1">
      <alignment horizontal="center" vertical="center"/>
    </xf>
    <xf numFmtId="3" fontId="2" fillId="0" borderId="30" xfId="0" applyNumberFormat="1" applyFont="1" applyBorder="1" applyAlignment="1">
      <alignment vertical="center"/>
    </xf>
    <xf numFmtId="1" fontId="2" fillId="0" borderId="5" xfId="0" applyNumberFormat="1" applyFont="1" applyBorder="1" applyAlignment="1">
      <alignment vertical="center"/>
    </xf>
    <xf numFmtId="1" fontId="2" fillId="0" borderId="8" xfId="0" applyNumberFormat="1" applyFont="1" applyBorder="1" applyAlignment="1">
      <alignment vertical="center"/>
    </xf>
    <xf numFmtId="1" fontId="2" fillId="0" borderId="10" xfId="0" applyNumberFormat="1" applyFont="1" applyBorder="1" applyAlignment="1">
      <alignment vertical="center"/>
    </xf>
    <xf numFmtId="168" fontId="2" fillId="0" borderId="23" xfId="2" applyNumberFormat="1" applyFont="1" applyFill="1" applyBorder="1" applyAlignment="1">
      <alignment vertical="center"/>
    </xf>
    <xf numFmtId="168" fontId="2" fillId="0" borderId="4" xfId="2" applyNumberFormat="1" applyFont="1" applyFill="1" applyBorder="1" applyAlignment="1">
      <alignment vertical="center"/>
    </xf>
    <xf numFmtId="168" fontId="2" fillId="0" borderId="5" xfId="2" applyNumberFormat="1" applyFont="1" applyFill="1" applyBorder="1" applyAlignment="1">
      <alignment vertical="center"/>
    </xf>
    <xf numFmtId="168" fontId="2" fillId="0" borderId="21" xfId="2" applyNumberFormat="1" applyFont="1" applyFill="1" applyBorder="1" applyAlignment="1">
      <alignment vertical="center"/>
    </xf>
    <xf numFmtId="168" fontId="2" fillId="0" borderId="7" xfId="2" applyNumberFormat="1" applyFont="1" applyFill="1" applyBorder="1" applyAlignment="1">
      <alignment vertical="center"/>
    </xf>
    <xf numFmtId="168" fontId="2" fillId="0" borderId="8" xfId="2" applyNumberFormat="1" applyFont="1" applyFill="1" applyBorder="1" applyAlignment="1">
      <alignment vertical="center"/>
    </xf>
    <xf numFmtId="168" fontId="2" fillId="0" borderId="20" xfId="2" applyNumberFormat="1" applyFont="1" applyFill="1" applyBorder="1" applyAlignment="1">
      <alignment vertical="center"/>
    </xf>
    <xf numFmtId="168" fontId="2" fillId="0" borderId="10" xfId="2" applyNumberFormat="1" applyFont="1" applyFill="1" applyBorder="1" applyAlignment="1">
      <alignment vertical="center"/>
    </xf>
    <xf numFmtId="168" fontId="2" fillId="0" borderId="2" xfId="2" applyNumberFormat="1" applyFont="1" applyBorder="1" applyAlignment="1">
      <alignment vertical="center"/>
    </xf>
    <xf numFmtId="168" fontId="2" fillId="0" borderId="23" xfId="2" applyNumberFormat="1" applyFont="1" applyBorder="1" applyAlignment="1">
      <alignment vertical="center"/>
    </xf>
    <xf numFmtId="168" fontId="2" fillId="0" borderId="4" xfId="2" applyNumberFormat="1" applyFont="1" applyBorder="1" applyAlignment="1">
      <alignment vertical="center"/>
    </xf>
    <xf numFmtId="168" fontId="2" fillId="0" borderId="5" xfId="2" applyNumberFormat="1" applyFont="1" applyBorder="1" applyAlignment="1">
      <alignment vertical="center"/>
    </xf>
    <xf numFmtId="168" fontId="2" fillId="0" borderId="21" xfId="2" applyNumberFormat="1" applyFont="1" applyBorder="1" applyAlignment="1">
      <alignment vertical="center"/>
    </xf>
    <xf numFmtId="168" fontId="2" fillId="0" borderId="7" xfId="2" applyNumberFormat="1" applyFont="1" applyBorder="1" applyAlignment="1">
      <alignment vertical="center"/>
    </xf>
    <xf numFmtId="168" fontId="2" fillId="0" borderId="8" xfId="2" applyNumberFormat="1" applyFont="1" applyBorder="1" applyAlignment="1">
      <alignment vertical="center"/>
    </xf>
    <xf numFmtId="168" fontId="2" fillId="0" borderId="20" xfId="2" applyNumberFormat="1" applyFont="1" applyBorder="1" applyAlignment="1">
      <alignment vertical="center"/>
    </xf>
    <xf numFmtId="168" fontId="2" fillId="0" borderId="10" xfId="2" applyNumberFormat="1" applyFont="1" applyBorder="1" applyAlignment="1">
      <alignment vertical="center"/>
    </xf>
    <xf numFmtId="168" fontId="2" fillId="0" borderId="30" xfId="2" applyNumberFormat="1" applyFont="1" applyBorder="1" applyAlignment="1">
      <alignment vertical="center"/>
    </xf>
    <xf numFmtId="166" fontId="2" fillId="0" borderId="0" xfId="0" applyNumberFormat="1" applyFont="1"/>
    <xf numFmtId="165" fontId="2" fillId="0" borderId="0" xfId="0" applyNumberFormat="1" applyFont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25" xfId="0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/>
    <xf numFmtId="0" fontId="4" fillId="0" borderId="0" xfId="0" applyFont="1" applyFill="1" applyAlignment="1">
      <alignment horizontal="left" vertical="center"/>
    </xf>
    <xf numFmtId="9" fontId="2" fillId="0" borderId="0" xfId="1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0" borderId="3" xfId="0" applyFont="1" applyFill="1" applyBorder="1" applyAlignment="1">
      <alignment vertical="center"/>
    </xf>
    <xf numFmtId="0" fontId="2" fillId="0" borderId="16" xfId="0" applyFont="1" applyFill="1" applyBorder="1" applyAlignment="1">
      <alignment vertical="center"/>
    </xf>
    <xf numFmtId="0" fontId="2" fillId="0" borderId="6" xfId="0" applyFont="1" applyFill="1" applyBorder="1" applyAlignment="1">
      <alignment vertical="center"/>
    </xf>
    <xf numFmtId="0" fontId="2" fillId="0" borderId="17" xfId="0" applyFont="1" applyFill="1" applyBorder="1" applyAlignment="1">
      <alignment vertical="center"/>
    </xf>
    <xf numFmtId="0" fontId="2" fillId="0" borderId="9" xfId="0" applyFont="1" applyFill="1" applyBorder="1" applyAlignment="1">
      <alignment vertical="center"/>
    </xf>
    <xf numFmtId="0" fontId="2" fillId="0" borderId="18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3" fontId="2" fillId="0" borderId="0" xfId="0" applyNumberFormat="1" applyFont="1"/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167" fontId="2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9" fontId="3" fillId="2" borderId="1" xfId="1" applyFont="1" applyFill="1" applyBorder="1" applyAlignment="1">
      <alignment vertical="center"/>
    </xf>
    <xf numFmtId="0" fontId="2" fillId="0" borderId="41" xfId="0" applyFont="1" applyBorder="1" applyAlignment="1">
      <alignment horizontal="center" vertical="center" wrapText="1"/>
    </xf>
    <xf numFmtId="0" fontId="2" fillId="0" borderId="47" xfId="0" applyFont="1" applyFill="1" applyBorder="1" applyAlignment="1">
      <alignment horizontal="center" vertical="center" wrapText="1"/>
    </xf>
    <xf numFmtId="0" fontId="2" fillId="0" borderId="32" xfId="0" applyFont="1" applyFill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167" fontId="2" fillId="0" borderId="1" xfId="2" applyNumberFormat="1" applyFont="1" applyFill="1" applyBorder="1" applyAlignment="1">
      <alignment vertical="center"/>
    </xf>
    <xf numFmtId="1" fontId="2" fillId="0" borderId="0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9" fontId="4" fillId="0" borderId="0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166" fontId="2" fillId="0" borderId="0" xfId="0" applyNumberFormat="1" applyFont="1" applyBorder="1" applyAlignment="1">
      <alignment vertical="center"/>
    </xf>
    <xf numFmtId="9" fontId="2" fillId="0" borderId="0" xfId="0" applyNumberFormat="1" applyFont="1" applyAlignment="1">
      <alignment horizontal="center" vertical="center"/>
    </xf>
    <xf numFmtId="0" fontId="2" fillId="4" borderId="50" xfId="0" applyFont="1" applyFill="1" applyBorder="1" applyAlignment="1">
      <alignment horizontal="center" vertical="center"/>
    </xf>
    <xf numFmtId="0" fontId="2" fillId="4" borderId="52" xfId="0" applyFont="1" applyFill="1" applyBorder="1" applyAlignment="1">
      <alignment horizontal="center" vertical="center"/>
    </xf>
    <xf numFmtId="0" fontId="2" fillId="4" borderId="51" xfId="0" applyFont="1" applyFill="1" applyBorder="1" applyAlignment="1">
      <alignment horizontal="center" vertical="center"/>
    </xf>
    <xf numFmtId="9" fontId="2" fillId="0" borderId="24" xfId="0" applyNumberFormat="1" applyFont="1" applyBorder="1" applyAlignment="1">
      <alignment horizontal="center" vertical="center"/>
    </xf>
    <xf numFmtId="0" fontId="4" fillId="4" borderId="50" xfId="0" applyFont="1" applyFill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2" fontId="2" fillId="0" borderId="1" xfId="0" applyNumberFormat="1" applyFont="1" applyFill="1" applyBorder="1" applyAlignment="1">
      <alignment vertical="center"/>
    </xf>
    <xf numFmtId="3" fontId="2" fillId="0" borderId="61" xfId="0" applyNumberFormat="1" applyFont="1" applyFill="1" applyBorder="1" applyAlignment="1">
      <alignment vertical="center"/>
    </xf>
    <xf numFmtId="166" fontId="2" fillId="0" borderId="1" xfId="0" applyNumberFormat="1" applyFont="1" applyFill="1" applyBorder="1" applyAlignment="1">
      <alignment vertical="center"/>
    </xf>
    <xf numFmtId="164" fontId="2" fillId="0" borderId="1" xfId="0" applyNumberFormat="1" applyFont="1" applyFill="1" applyBorder="1" applyAlignment="1">
      <alignment vertical="center"/>
    </xf>
    <xf numFmtId="165" fontId="2" fillId="0" borderId="1" xfId="1" applyNumberFormat="1" applyFont="1" applyFill="1" applyBorder="1" applyAlignment="1">
      <alignment vertical="center"/>
    </xf>
    <xf numFmtId="165" fontId="4" fillId="0" borderId="1" xfId="1" applyNumberFormat="1" applyFont="1" applyBorder="1" applyAlignment="1">
      <alignment vertical="center"/>
    </xf>
    <xf numFmtId="164" fontId="2" fillId="0" borderId="23" xfId="1" applyNumberFormat="1" applyFont="1" applyBorder="1" applyAlignment="1">
      <alignment horizontal="center" vertical="center"/>
    </xf>
    <xf numFmtId="164" fontId="2" fillId="0" borderId="4" xfId="1" applyNumberFormat="1" applyFont="1" applyBorder="1" applyAlignment="1">
      <alignment horizontal="center" vertical="center"/>
    </xf>
    <xf numFmtId="164" fontId="2" fillId="0" borderId="5" xfId="1" applyNumberFormat="1" applyFont="1" applyBorder="1" applyAlignment="1">
      <alignment horizontal="center" vertical="center"/>
    </xf>
    <xf numFmtId="164" fontId="2" fillId="0" borderId="21" xfId="1" applyNumberFormat="1" applyFont="1" applyBorder="1" applyAlignment="1">
      <alignment horizontal="center" vertical="center"/>
    </xf>
    <xf numFmtId="164" fontId="2" fillId="0" borderId="7" xfId="1" applyNumberFormat="1" applyFont="1" applyBorder="1" applyAlignment="1">
      <alignment horizontal="center" vertical="center"/>
    </xf>
    <xf numFmtId="164" fontId="2" fillId="0" borderId="8" xfId="1" applyNumberFormat="1" applyFont="1" applyBorder="1" applyAlignment="1">
      <alignment horizontal="center" vertical="center"/>
    </xf>
    <xf numFmtId="164" fontId="2" fillId="0" borderId="20" xfId="1" applyNumberFormat="1" applyFont="1" applyBorder="1" applyAlignment="1">
      <alignment horizontal="center" vertical="center"/>
    </xf>
    <xf numFmtId="164" fontId="2" fillId="0" borderId="10" xfId="1" applyNumberFormat="1" applyFont="1" applyBorder="1" applyAlignment="1">
      <alignment horizontal="center" vertical="center"/>
    </xf>
    <xf numFmtId="3" fontId="2" fillId="0" borderId="27" xfId="0" applyNumberFormat="1" applyFont="1" applyBorder="1" applyAlignment="1">
      <alignment horizontal="center" vertical="center"/>
    </xf>
    <xf numFmtId="3" fontId="2" fillId="0" borderId="42" xfId="0" applyNumberFormat="1" applyFont="1" applyBorder="1" applyAlignment="1">
      <alignment horizontal="center" vertical="center"/>
    </xf>
    <xf numFmtId="3" fontId="2" fillId="0" borderId="43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47" xfId="0" applyFont="1" applyBorder="1" applyAlignment="1">
      <alignment vertical="center"/>
    </xf>
    <xf numFmtId="0" fontId="2" fillId="0" borderId="47" xfId="0" applyFont="1" applyBorder="1" applyAlignment="1">
      <alignment horizontal="center" vertical="center"/>
    </xf>
    <xf numFmtId="165" fontId="2" fillId="0" borderId="47" xfId="1" applyNumberFormat="1" applyFont="1" applyFill="1" applyBorder="1" applyAlignment="1">
      <alignment vertical="center"/>
    </xf>
    <xf numFmtId="0" fontId="4" fillId="0" borderId="0" xfId="0" applyFont="1"/>
    <xf numFmtId="9" fontId="4" fillId="0" borderId="1" xfId="1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9" fontId="2" fillId="0" borderId="61" xfId="1" applyFont="1" applyFill="1" applyBorder="1" applyAlignment="1">
      <alignment vertical="center"/>
    </xf>
    <xf numFmtId="3" fontId="2" fillId="0" borderId="0" xfId="1" applyNumberFormat="1" applyFont="1" applyBorder="1" applyAlignment="1">
      <alignment horizontal="left" vertical="center"/>
    </xf>
    <xf numFmtId="0" fontId="2" fillId="0" borderId="61" xfId="0" applyFont="1" applyBorder="1" applyAlignment="1">
      <alignment vertical="center"/>
    </xf>
    <xf numFmtId="0" fontId="0" fillId="5" borderId="0" xfId="0" applyFill="1"/>
    <xf numFmtId="0" fontId="2" fillId="0" borderId="25" xfId="0" applyFont="1" applyBorder="1" applyAlignment="1">
      <alignment horizontal="center" vertical="center"/>
    </xf>
    <xf numFmtId="3" fontId="2" fillId="4" borderId="50" xfId="0" applyNumberFormat="1" applyFont="1" applyFill="1" applyBorder="1" applyAlignment="1">
      <alignment vertical="center"/>
    </xf>
    <xf numFmtId="3" fontId="2" fillId="4" borderId="51" xfId="0" applyNumberFormat="1" applyFont="1" applyFill="1" applyBorder="1" applyAlignment="1">
      <alignment vertical="center"/>
    </xf>
    <xf numFmtId="3" fontId="2" fillId="4" borderId="52" xfId="0" applyNumberFormat="1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4" fillId="7" borderId="12" xfId="0" applyFont="1" applyFill="1" applyBorder="1" applyAlignment="1">
      <alignment horizontal="center" vertical="center"/>
    </xf>
    <xf numFmtId="0" fontId="4" fillId="7" borderId="13" xfId="0" applyFont="1" applyFill="1" applyBorder="1" applyAlignment="1">
      <alignment horizontal="center" vertical="center"/>
    </xf>
    <xf numFmtId="0" fontId="4" fillId="7" borderId="14" xfId="0" applyFont="1" applyFill="1" applyBorder="1" applyAlignment="1">
      <alignment horizontal="center" vertical="center"/>
    </xf>
    <xf numFmtId="0" fontId="4" fillId="8" borderId="12" xfId="0" applyFont="1" applyFill="1" applyBorder="1" applyAlignment="1">
      <alignment horizontal="center" vertical="center"/>
    </xf>
    <xf numFmtId="0" fontId="4" fillId="8" borderId="13" xfId="0" applyFont="1" applyFill="1" applyBorder="1" applyAlignment="1">
      <alignment horizontal="center" vertical="center"/>
    </xf>
    <xf numFmtId="0" fontId="4" fillId="8" borderId="14" xfId="0" applyFont="1" applyFill="1" applyBorder="1" applyAlignment="1">
      <alignment horizontal="center" vertical="center"/>
    </xf>
    <xf numFmtId="9" fontId="4" fillId="8" borderId="12" xfId="1" applyFont="1" applyFill="1" applyBorder="1" applyAlignment="1">
      <alignment horizontal="center" vertical="center"/>
    </xf>
    <xf numFmtId="9" fontId="4" fillId="8" borderId="13" xfId="1" applyFont="1" applyFill="1" applyBorder="1" applyAlignment="1">
      <alignment horizontal="center" vertical="center"/>
    </xf>
    <xf numFmtId="9" fontId="4" fillId="8" borderId="14" xfId="1" applyFont="1" applyFill="1" applyBorder="1" applyAlignment="1">
      <alignment horizontal="center" vertical="center"/>
    </xf>
    <xf numFmtId="0" fontId="2" fillId="8" borderId="23" xfId="0" applyFont="1" applyFill="1" applyBorder="1" applyAlignment="1">
      <alignment horizontal="center" vertical="center"/>
    </xf>
    <xf numFmtId="0" fontId="2" fillId="8" borderId="21" xfId="0" applyFont="1" applyFill="1" applyBorder="1" applyAlignment="1">
      <alignment horizontal="center" vertical="center"/>
    </xf>
    <xf numFmtId="0" fontId="2" fillId="8" borderId="20" xfId="0" applyFont="1" applyFill="1" applyBorder="1" applyAlignment="1">
      <alignment horizontal="center" vertical="center"/>
    </xf>
    <xf numFmtId="9" fontId="4" fillId="8" borderId="41" xfId="1" applyFont="1" applyFill="1" applyBorder="1" applyAlignment="1">
      <alignment vertical="center"/>
    </xf>
    <xf numFmtId="3" fontId="2" fillId="8" borderId="50" xfId="0" applyNumberFormat="1" applyFont="1" applyFill="1" applyBorder="1" applyAlignment="1">
      <alignment vertical="center"/>
    </xf>
    <xf numFmtId="3" fontId="2" fillId="8" borderId="51" xfId="0" applyNumberFormat="1" applyFont="1" applyFill="1" applyBorder="1" applyAlignment="1">
      <alignment vertical="center"/>
    </xf>
    <xf numFmtId="3" fontId="2" fillId="8" borderId="52" xfId="0" applyNumberFormat="1" applyFont="1" applyFill="1" applyBorder="1" applyAlignment="1">
      <alignment vertical="center"/>
    </xf>
    <xf numFmtId="9" fontId="2" fillId="8" borderId="50" xfId="1" applyFont="1" applyFill="1" applyBorder="1" applyAlignment="1">
      <alignment horizontal="center" vertical="center"/>
    </xf>
    <xf numFmtId="9" fontId="2" fillId="8" borderId="52" xfId="1" applyFont="1" applyFill="1" applyBorder="1" applyAlignment="1">
      <alignment horizontal="center" vertical="center"/>
    </xf>
    <xf numFmtId="9" fontId="2" fillId="8" borderId="51" xfId="1" applyFont="1" applyFill="1" applyBorder="1" applyAlignment="1">
      <alignment horizontal="center" vertical="center"/>
    </xf>
    <xf numFmtId="0" fontId="2" fillId="8" borderId="50" xfId="0" applyFont="1" applyFill="1" applyBorder="1" applyAlignment="1">
      <alignment horizontal="center" vertical="center"/>
    </xf>
    <xf numFmtId="0" fontId="2" fillId="8" borderId="52" xfId="0" applyFont="1" applyFill="1" applyBorder="1" applyAlignment="1">
      <alignment horizontal="center" vertical="center"/>
    </xf>
    <xf numFmtId="0" fontId="2" fillId="8" borderId="51" xfId="0" applyFont="1" applyFill="1" applyBorder="1" applyAlignment="1">
      <alignment horizontal="center" vertical="center"/>
    </xf>
    <xf numFmtId="0" fontId="4" fillId="8" borderId="50" xfId="0" applyFont="1" applyFill="1" applyBorder="1" applyAlignment="1">
      <alignment horizontal="center" vertical="center"/>
    </xf>
    <xf numFmtId="9" fontId="4" fillId="7" borderId="12" xfId="1" applyFont="1" applyFill="1" applyBorder="1" applyAlignment="1">
      <alignment horizontal="center" vertical="center"/>
    </xf>
    <xf numFmtId="9" fontId="4" fillId="7" borderId="13" xfId="1" applyFont="1" applyFill="1" applyBorder="1" applyAlignment="1">
      <alignment horizontal="center" vertical="center"/>
    </xf>
    <xf numFmtId="9" fontId="4" fillId="7" borderId="14" xfId="1" applyFont="1" applyFill="1" applyBorder="1" applyAlignment="1">
      <alignment horizontal="center" vertical="center"/>
    </xf>
    <xf numFmtId="0" fontId="2" fillId="7" borderId="23" xfId="0" applyFont="1" applyFill="1" applyBorder="1" applyAlignment="1">
      <alignment horizontal="center" vertical="center"/>
    </xf>
    <xf numFmtId="0" fontId="2" fillId="7" borderId="21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center" vertical="center"/>
    </xf>
    <xf numFmtId="9" fontId="4" fillId="7" borderId="41" xfId="1" applyFont="1" applyFill="1" applyBorder="1" applyAlignment="1">
      <alignment vertical="center"/>
    </xf>
    <xf numFmtId="3" fontId="2" fillId="7" borderId="50" xfId="0" applyNumberFormat="1" applyFont="1" applyFill="1" applyBorder="1" applyAlignment="1">
      <alignment vertical="center"/>
    </xf>
    <xf numFmtId="3" fontId="2" fillId="7" borderId="51" xfId="0" applyNumberFormat="1" applyFont="1" applyFill="1" applyBorder="1" applyAlignment="1">
      <alignment vertical="center"/>
    </xf>
    <xf numFmtId="3" fontId="2" fillId="7" borderId="52" xfId="0" applyNumberFormat="1" applyFont="1" applyFill="1" applyBorder="1" applyAlignment="1">
      <alignment vertical="center"/>
    </xf>
    <xf numFmtId="9" fontId="2" fillId="7" borderId="50" xfId="1" applyFont="1" applyFill="1" applyBorder="1" applyAlignment="1">
      <alignment horizontal="center" vertical="center"/>
    </xf>
    <xf numFmtId="9" fontId="2" fillId="7" borderId="52" xfId="1" applyFont="1" applyFill="1" applyBorder="1" applyAlignment="1">
      <alignment horizontal="center" vertical="center"/>
    </xf>
    <xf numFmtId="9" fontId="2" fillId="7" borderId="51" xfId="1" applyFont="1" applyFill="1" applyBorder="1" applyAlignment="1">
      <alignment horizontal="center" vertical="center"/>
    </xf>
    <xf numFmtId="0" fontId="2" fillId="7" borderId="50" xfId="0" applyFont="1" applyFill="1" applyBorder="1" applyAlignment="1">
      <alignment horizontal="center" vertical="center"/>
    </xf>
    <xf numFmtId="0" fontId="2" fillId="7" borderId="52" xfId="0" applyFont="1" applyFill="1" applyBorder="1" applyAlignment="1">
      <alignment horizontal="center" vertical="center"/>
    </xf>
    <xf numFmtId="0" fontId="2" fillId="7" borderId="51" xfId="0" applyFont="1" applyFill="1" applyBorder="1" applyAlignment="1">
      <alignment horizontal="center" vertical="center"/>
    </xf>
    <xf numFmtId="0" fontId="4" fillId="7" borderId="50" xfId="0" applyFont="1" applyFill="1" applyBorder="1" applyAlignment="1">
      <alignment horizontal="center" vertical="center"/>
    </xf>
    <xf numFmtId="0" fontId="4" fillId="9" borderId="12" xfId="0" applyFont="1" applyFill="1" applyBorder="1" applyAlignment="1">
      <alignment horizontal="center" vertical="center"/>
    </xf>
    <xf numFmtId="0" fontId="4" fillId="9" borderId="13" xfId="0" applyFont="1" applyFill="1" applyBorder="1" applyAlignment="1">
      <alignment horizontal="center" vertical="center"/>
    </xf>
    <xf numFmtId="0" fontId="4" fillId="9" borderId="14" xfId="0" applyFont="1" applyFill="1" applyBorder="1" applyAlignment="1">
      <alignment horizontal="center" vertical="center"/>
    </xf>
    <xf numFmtId="9" fontId="4" fillId="9" borderId="12" xfId="1" applyFont="1" applyFill="1" applyBorder="1" applyAlignment="1">
      <alignment horizontal="center" vertical="center"/>
    </xf>
    <xf numFmtId="9" fontId="4" fillId="9" borderId="13" xfId="1" applyFont="1" applyFill="1" applyBorder="1" applyAlignment="1">
      <alignment horizontal="center" vertical="center"/>
    </xf>
    <xf numFmtId="9" fontId="4" fillId="9" borderId="14" xfId="1" applyFont="1" applyFill="1" applyBorder="1" applyAlignment="1">
      <alignment horizontal="center" vertical="center"/>
    </xf>
    <xf numFmtId="0" fontId="2" fillId="9" borderId="23" xfId="0" applyFont="1" applyFill="1" applyBorder="1" applyAlignment="1">
      <alignment horizontal="center" vertical="center"/>
    </xf>
    <xf numFmtId="0" fontId="2" fillId="9" borderId="21" xfId="0" applyFont="1" applyFill="1" applyBorder="1" applyAlignment="1">
      <alignment horizontal="center" vertical="center"/>
    </xf>
    <xf numFmtId="0" fontId="2" fillId="9" borderId="20" xfId="0" applyFont="1" applyFill="1" applyBorder="1" applyAlignment="1">
      <alignment horizontal="center" vertical="center"/>
    </xf>
    <xf numFmtId="9" fontId="4" fillId="9" borderId="41" xfId="1" applyFont="1" applyFill="1" applyBorder="1" applyAlignment="1">
      <alignment vertical="center"/>
    </xf>
    <xf numFmtId="3" fontId="2" fillId="9" borderId="50" xfId="0" applyNumberFormat="1" applyFont="1" applyFill="1" applyBorder="1" applyAlignment="1">
      <alignment vertical="center"/>
    </xf>
    <xf numFmtId="3" fontId="2" fillId="9" borderId="51" xfId="0" applyNumberFormat="1" applyFont="1" applyFill="1" applyBorder="1" applyAlignment="1">
      <alignment vertical="center"/>
    </xf>
    <xf numFmtId="3" fontId="2" fillId="9" borderId="52" xfId="0" applyNumberFormat="1" applyFont="1" applyFill="1" applyBorder="1" applyAlignment="1">
      <alignment vertical="center"/>
    </xf>
    <xf numFmtId="9" fontId="2" fillId="9" borderId="50" xfId="1" applyFont="1" applyFill="1" applyBorder="1" applyAlignment="1">
      <alignment horizontal="center" vertical="center"/>
    </xf>
    <xf numFmtId="9" fontId="2" fillId="9" borderId="52" xfId="1" applyFont="1" applyFill="1" applyBorder="1" applyAlignment="1">
      <alignment horizontal="center" vertical="center"/>
    </xf>
    <xf numFmtId="9" fontId="2" fillId="9" borderId="51" xfId="1" applyFont="1" applyFill="1" applyBorder="1" applyAlignment="1">
      <alignment horizontal="center" vertical="center"/>
    </xf>
    <xf numFmtId="0" fontId="2" fillId="9" borderId="50" xfId="0" applyFont="1" applyFill="1" applyBorder="1" applyAlignment="1">
      <alignment horizontal="center" vertical="center"/>
    </xf>
    <xf numFmtId="0" fontId="2" fillId="9" borderId="52" xfId="0" applyFont="1" applyFill="1" applyBorder="1" applyAlignment="1">
      <alignment horizontal="center" vertical="center"/>
    </xf>
    <xf numFmtId="0" fontId="2" fillId="9" borderId="51" xfId="0" applyFont="1" applyFill="1" applyBorder="1" applyAlignment="1">
      <alignment horizontal="center" vertical="center"/>
    </xf>
    <xf numFmtId="0" fontId="4" fillId="9" borderId="50" xfId="0" applyFont="1" applyFill="1" applyBorder="1" applyAlignment="1">
      <alignment horizontal="center" vertical="center"/>
    </xf>
    <xf numFmtId="0" fontId="4" fillId="9" borderId="41" xfId="0" applyFont="1" applyFill="1" applyBorder="1" applyAlignment="1">
      <alignment horizontal="center" vertical="center"/>
    </xf>
    <xf numFmtId="0" fontId="4" fillId="8" borderId="41" xfId="0" applyFont="1" applyFill="1" applyBorder="1" applyAlignment="1">
      <alignment horizontal="center" vertical="center"/>
    </xf>
    <xf numFmtId="0" fontId="4" fillId="6" borderId="41" xfId="0" applyFont="1" applyFill="1" applyBorder="1" applyAlignment="1">
      <alignment horizontal="center" vertical="center"/>
    </xf>
    <xf numFmtId="0" fontId="4" fillId="7" borderId="41" xfId="0" applyFont="1" applyFill="1" applyBorder="1" applyAlignment="1">
      <alignment horizontal="center" vertical="center"/>
    </xf>
    <xf numFmtId="0" fontId="0" fillId="3" borderId="0" xfId="0" applyFill="1"/>
    <xf numFmtId="0" fontId="18" fillId="3" borderId="0" xfId="0" applyFont="1" applyFill="1"/>
    <xf numFmtId="0" fontId="3" fillId="13" borderId="18" xfId="0" applyFont="1" applyFill="1" applyBorder="1" applyAlignment="1">
      <alignment vertical="center"/>
    </xf>
    <xf numFmtId="0" fontId="3" fillId="13" borderId="46" xfId="0" applyFont="1" applyFill="1" applyBorder="1" applyAlignment="1">
      <alignment vertical="center"/>
    </xf>
    <xf numFmtId="0" fontId="3" fillId="13" borderId="30" xfId="0" applyFont="1" applyFill="1" applyBorder="1" applyAlignment="1">
      <alignment vertical="center"/>
    </xf>
    <xf numFmtId="0" fontId="3" fillId="13" borderId="2" xfId="0" applyFont="1" applyFill="1" applyBorder="1" applyAlignment="1">
      <alignment vertical="center"/>
    </xf>
    <xf numFmtId="0" fontId="2" fillId="14" borderId="3" xfId="0" applyFont="1" applyFill="1" applyBorder="1" applyAlignment="1">
      <alignment vertical="center"/>
    </xf>
    <xf numFmtId="0" fontId="2" fillId="14" borderId="23" xfId="0" applyFont="1" applyFill="1" applyBorder="1" applyAlignment="1">
      <alignment vertical="center"/>
    </xf>
    <xf numFmtId="0" fontId="2" fillId="14" borderId="21" xfId="0" applyFont="1" applyFill="1" applyBorder="1" applyAlignment="1">
      <alignment vertical="center"/>
    </xf>
    <xf numFmtId="0" fontId="2" fillId="14" borderId="16" xfId="0" applyFont="1" applyFill="1" applyBorder="1" applyAlignment="1">
      <alignment vertical="center"/>
    </xf>
    <xf numFmtId="0" fontId="2" fillId="14" borderId="17" xfId="0" applyFont="1" applyFill="1" applyBorder="1" applyAlignment="1">
      <alignment vertical="center"/>
    </xf>
    <xf numFmtId="0" fontId="2" fillId="14" borderId="22" xfId="0" applyFont="1" applyFill="1" applyBorder="1" applyAlignment="1">
      <alignment vertical="center"/>
    </xf>
    <xf numFmtId="0" fontId="2" fillId="14" borderId="18" xfId="0" applyFont="1" applyFill="1" applyBorder="1" applyAlignment="1">
      <alignment vertical="center"/>
    </xf>
    <xf numFmtId="0" fontId="2" fillId="14" borderId="2" xfId="0" applyFont="1" applyFill="1" applyBorder="1" applyAlignment="1">
      <alignment vertical="center"/>
    </xf>
    <xf numFmtId="0" fontId="2" fillId="14" borderId="1" xfId="0" applyFont="1" applyFill="1" applyBorder="1" applyAlignment="1">
      <alignment vertical="center"/>
    </xf>
    <xf numFmtId="0" fontId="2" fillId="14" borderId="7" xfId="0" applyFont="1" applyFill="1" applyBorder="1" applyAlignment="1">
      <alignment vertical="center"/>
    </xf>
    <xf numFmtId="0" fontId="2" fillId="14" borderId="4" xfId="0" applyFont="1" applyFill="1" applyBorder="1" applyAlignment="1">
      <alignment vertical="center"/>
    </xf>
    <xf numFmtId="9" fontId="2" fillId="14" borderId="4" xfId="1" applyFont="1" applyFill="1" applyBorder="1" applyAlignment="1">
      <alignment vertical="center"/>
    </xf>
    <xf numFmtId="9" fontId="2" fillId="14" borderId="29" xfId="1" applyFont="1" applyFill="1" applyBorder="1" applyAlignment="1">
      <alignment vertical="center"/>
    </xf>
    <xf numFmtId="3" fontId="2" fillId="14" borderId="4" xfId="0" applyNumberFormat="1" applyFont="1" applyFill="1" applyBorder="1" applyAlignment="1">
      <alignment vertical="center"/>
    </xf>
    <xf numFmtId="10" fontId="2" fillId="14" borderId="59" xfId="1" applyNumberFormat="1" applyFont="1" applyFill="1" applyBorder="1" applyAlignment="1">
      <alignment vertical="center"/>
    </xf>
    <xf numFmtId="10" fontId="2" fillId="14" borderId="5" xfId="1" applyNumberFormat="1" applyFont="1" applyFill="1" applyBorder="1" applyAlignment="1">
      <alignment vertical="center"/>
    </xf>
    <xf numFmtId="0" fontId="2" fillId="14" borderId="5" xfId="0" applyFont="1" applyFill="1" applyBorder="1" applyAlignment="1">
      <alignment vertical="center"/>
    </xf>
    <xf numFmtId="10" fontId="2" fillId="14" borderId="58" xfId="1" applyNumberFormat="1" applyFont="1" applyFill="1" applyBorder="1" applyAlignment="1">
      <alignment vertical="center"/>
    </xf>
    <xf numFmtId="9" fontId="2" fillId="14" borderId="7" xfId="1" applyFont="1" applyFill="1" applyBorder="1" applyAlignment="1">
      <alignment vertical="center"/>
    </xf>
    <xf numFmtId="9" fontId="2" fillId="14" borderId="28" xfId="1" applyFont="1" applyFill="1" applyBorder="1" applyAlignment="1">
      <alignment vertical="center"/>
    </xf>
    <xf numFmtId="3" fontId="2" fillId="14" borderId="7" xfId="0" applyNumberFormat="1" applyFont="1" applyFill="1" applyBorder="1" applyAlignment="1">
      <alignment vertical="center"/>
    </xf>
    <xf numFmtId="10" fontId="2" fillId="14" borderId="17" xfId="1" applyNumberFormat="1" applyFont="1" applyFill="1" applyBorder="1" applyAlignment="1">
      <alignment vertical="center"/>
    </xf>
    <xf numFmtId="10" fontId="2" fillId="14" borderId="60" xfId="1" applyNumberFormat="1" applyFont="1" applyFill="1" applyBorder="1" applyAlignment="1">
      <alignment vertical="center"/>
    </xf>
    <xf numFmtId="0" fontId="2" fillId="14" borderId="8" xfId="0" applyFont="1" applyFill="1" applyBorder="1" applyAlignment="1">
      <alignment vertical="center"/>
    </xf>
    <xf numFmtId="10" fontId="2" fillId="14" borderId="52" xfId="1" applyNumberFormat="1" applyFont="1" applyFill="1" applyBorder="1" applyAlignment="1">
      <alignment vertical="center"/>
    </xf>
    <xf numFmtId="9" fontId="2" fillId="14" borderId="2" xfId="1" applyFont="1" applyFill="1" applyBorder="1" applyAlignment="1">
      <alignment vertical="center"/>
    </xf>
    <xf numFmtId="9" fontId="2" fillId="14" borderId="31" xfId="1" applyFont="1" applyFill="1" applyBorder="1" applyAlignment="1">
      <alignment vertical="center"/>
    </xf>
    <xf numFmtId="3" fontId="2" fillId="14" borderId="2" xfId="0" applyNumberFormat="1" applyFont="1" applyFill="1" applyBorder="1" applyAlignment="1">
      <alignment vertical="center"/>
    </xf>
    <xf numFmtId="10" fontId="2" fillId="14" borderId="36" xfId="1" applyNumberFormat="1" applyFont="1" applyFill="1" applyBorder="1" applyAlignment="1">
      <alignment vertical="center"/>
    </xf>
    <xf numFmtId="10" fontId="2" fillId="14" borderId="38" xfId="1" applyNumberFormat="1" applyFont="1" applyFill="1" applyBorder="1" applyAlignment="1">
      <alignment vertical="center"/>
    </xf>
    <xf numFmtId="0" fontId="2" fillId="14" borderId="56" xfId="0" applyFont="1" applyFill="1" applyBorder="1" applyAlignment="1">
      <alignment vertical="center"/>
    </xf>
    <xf numFmtId="0" fontId="2" fillId="14" borderId="57" xfId="0" applyFont="1" applyFill="1" applyBorder="1" applyAlignment="1">
      <alignment vertical="center"/>
    </xf>
    <xf numFmtId="10" fontId="2" fillId="14" borderId="15" xfId="1" applyNumberFormat="1" applyFont="1" applyFill="1" applyBorder="1" applyAlignment="1">
      <alignment vertical="center"/>
    </xf>
    <xf numFmtId="9" fontId="2" fillId="14" borderId="1" xfId="1" applyFont="1" applyFill="1" applyBorder="1" applyAlignment="1">
      <alignment vertical="center"/>
    </xf>
    <xf numFmtId="9" fontId="2" fillId="14" borderId="30" xfId="1" applyFont="1" applyFill="1" applyBorder="1" applyAlignment="1">
      <alignment vertical="center"/>
    </xf>
    <xf numFmtId="3" fontId="2" fillId="14" borderId="1" xfId="0" applyNumberFormat="1" applyFont="1" applyFill="1" applyBorder="1" applyAlignment="1">
      <alignment vertical="center"/>
    </xf>
    <xf numFmtId="10" fontId="2" fillId="14" borderId="34" xfId="1" applyNumberFormat="1" applyFont="1" applyFill="1" applyBorder="1" applyAlignment="1">
      <alignment vertical="center"/>
    </xf>
    <xf numFmtId="0" fontId="2" fillId="14" borderId="20" xfId="0" applyFont="1" applyFill="1" applyBorder="1" applyAlignment="1">
      <alignment vertical="center"/>
    </xf>
    <xf numFmtId="0" fontId="2" fillId="14" borderId="10" xfId="0" applyFont="1" applyFill="1" applyBorder="1" applyAlignment="1">
      <alignment vertical="center"/>
    </xf>
    <xf numFmtId="10" fontId="2" fillId="14" borderId="54" xfId="1" applyNumberFormat="1" applyFont="1" applyFill="1" applyBorder="1" applyAlignment="1">
      <alignment vertical="center"/>
    </xf>
    <xf numFmtId="9" fontId="2" fillId="14" borderId="16" xfId="1" applyFont="1" applyFill="1" applyBorder="1" applyAlignment="1">
      <alignment vertical="center"/>
    </xf>
    <xf numFmtId="9" fontId="2" fillId="14" borderId="50" xfId="1" applyFont="1" applyFill="1" applyBorder="1" applyAlignment="1">
      <alignment vertical="center"/>
    </xf>
    <xf numFmtId="9" fontId="2" fillId="14" borderId="17" xfId="1" applyFont="1" applyFill="1" applyBorder="1" applyAlignment="1">
      <alignment vertical="center"/>
    </xf>
    <xf numFmtId="9" fontId="2" fillId="14" borderId="52" xfId="1" applyFont="1" applyFill="1" applyBorder="1" applyAlignment="1">
      <alignment vertical="center"/>
    </xf>
    <xf numFmtId="9" fontId="2" fillId="14" borderId="22" xfId="1" applyFont="1" applyFill="1" applyBorder="1" applyAlignment="1">
      <alignment vertical="center"/>
    </xf>
    <xf numFmtId="9" fontId="2" fillId="14" borderId="55" xfId="1" applyFont="1" applyFill="1" applyBorder="1" applyAlignment="1">
      <alignment vertical="center"/>
    </xf>
    <xf numFmtId="9" fontId="2" fillId="14" borderId="18" xfId="1" applyFont="1" applyFill="1" applyBorder="1" applyAlignment="1">
      <alignment vertical="center"/>
    </xf>
    <xf numFmtId="9" fontId="2" fillId="14" borderId="51" xfId="1" applyFont="1" applyFill="1" applyBorder="1" applyAlignment="1">
      <alignment vertical="center"/>
    </xf>
    <xf numFmtId="165" fontId="2" fillId="13" borderId="18" xfId="1" applyNumberFormat="1" applyFont="1" applyFill="1" applyBorder="1" applyAlignment="1">
      <alignment vertical="center"/>
    </xf>
    <xf numFmtId="165" fontId="2" fillId="13" borderId="46" xfId="1" applyNumberFormat="1" applyFont="1" applyFill="1" applyBorder="1" applyAlignment="1">
      <alignment vertical="center"/>
    </xf>
    <xf numFmtId="165" fontId="2" fillId="13" borderId="30" xfId="1" applyNumberFormat="1" applyFont="1" applyFill="1" applyBorder="1" applyAlignment="1">
      <alignment vertical="center"/>
    </xf>
    <xf numFmtId="1" fontId="2" fillId="13" borderId="32" xfId="1" applyNumberFormat="1" applyFont="1" applyFill="1" applyBorder="1" applyAlignment="1">
      <alignment vertical="center"/>
    </xf>
    <xf numFmtId="1" fontId="2" fillId="13" borderId="33" xfId="1" applyNumberFormat="1" applyFont="1" applyFill="1" applyBorder="1" applyAlignment="1">
      <alignment vertical="center"/>
    </xf>
    <xf numFmtId="1" fontId="2" fillId="13" borderId="34" xfId="1" applyNumberFormat="1" applyFont="1" applyFill="1" applyBorder="1" applyAlignment="1">
      <alignment vertical="center"/>
    </xf>
    <xf numFmtId="1" fontId="2" fillId="13" borderId="35" xfId="1" applyNumberFormat="1" applyFont="1" applyFill="1" applyBorder="1" applyAlignment="1">
      <alignment vertical="center"/>
    </xf>
    <xf numFmtId="1" fontId="2" fillId="13" borderId="0" xfId="1" applyNumberFormat="1" applyFont="1" applyFill="1" applyBorder="1" applyAlignment="1">
      <alignment vertical="center"/>
    </xf>
    <xf numFmtId="1" fontId="2" fillId="13" borderId="36" xfId="1" applyNumberFormat="1" applyFont="1" applyFill="1" applyBorder="1" applyAlignment="1">
      <alignment vertical="center"/>
    </xf>
    <xf numFmtId="1" fontId="2" fillId="13" borderId="22" xfId="1" applyNumberFormat="1" applyFont="1" applyFill="1" applyBorder="1" applyAlignment="1">
      <alignment vertical="center"/>
    </xf>
    <xf numFmtId="1" fontId="2" fillId="13" borderId="38" xfId="1" applyNumberFormat="1" applyFont="1" applyFill="1" applyBorder="1" applyAlignment="1">
      <alignment vertical="center"/>
    </xf>
    <xf numFmtId="1" fontId="2" fillId="13" borderId="31" xfId="1" applyNumberFormat="1" applyFont="1" applyFill="1" applyBorder="1" applyAlignment="1">
      <alignment vertical="center"/>
    </xf>
    <xf numFmtId="9" fontId="2" fillId="13" borderId="32" xfId="1" applyFont="1" applyFill="1" applyBorder="1" applyAlignment="1">
      <alignment vertical="center"/>
    </xf>
    <xf numFmtId="9" fontId="2" fillId="13" borderId="33" xfId="1" applyFont="1" applyFill="1" applyBorder="1" applyAlignment="1">
      <alignment vertical="center"/>
    </xf>
    <xf numFmtId="9" fontId="2" fillId="13" borderId="34" xfId="1" applyFont="1" applyFill="1" applyBorder="1" applyAlignment="1">
      <alignment vertical="center"/>
    </xf>
    <xf numFmtId="9" fontId="2" fillId="13" borderId="35" xfId="1" applyFont="1" applyFill="1" applyBorder="1" applyAlignment="1">
      <alignment vertical="center"/>
    </xf>
    <xf numFmtId="9" fontId="2" fillId="13" borderId="0" xfId="1" applyFont="1" applyFill="1" applyBorder="1" applyAlignment="1">
      <alignment vertical="center"/>
    </xf>
    <xf numFmtId="9" fontId="2" fillId="13" borderId="36" xfId="1" applyFont="1" applyFill="1" applyBorder="1" applyAlignment="1">
      <alignment vertical="center"/>
    </xf>
    <xf numFmtId="9" fontId="2" fillId="13" borderId="22" xfId="1" applyFont="1" applyFill="1" applyBorder="1" applyAlignment="1">
      <alignment vertical="center"/>
    </xf>
    <xf numFmtId="9" fontId="2" fillId="13" borderId="38" xfId="1" applyFont="1" applyFill="1" applyBorder="1" applyAlignment="1">
      <alignment vertical="center"/>
    </xf>
    <xf numFmtId="9" fontId="2" fillId="13" borderId="31" xfId="1" applyFont="1" applyFill="1" applyBorder="1" applyAlignment="1">
      <alignment vertical="center"/>
    </xf>
    <xf numFmtId="0" fontId="2" fillId="13" borderId="34" xfId="0" applyFont="1" applyFill="1" applyBorder="1" applyAlignment="1">
      <alignment vertical="center"/>
    </xf>
    <xf numFmtId="0" fontId="2" fillId="13" borderId="36" xfId="0" applyFont="1" applyFill="1" applyBorder="1" applyAlignment="1">
      <alignment vertical="center"/>
    </xf>
    <xf numFmtId="0" fontId="2" fillId="13" borderId="31" xfId="0" applyFont="1" applyFill="1" applyBorder="1" applyAlignment="1">
      <alignment vertical="center"/>
    </xf>
    <xf numFmtId="0" fontId="2" fillId="13" borderId="47" xfId="0" applyFont="1" applyFill="1" applyBorder="1" applyAlignment="1">
      <alignment vertical="center"/>
    </xf>
    <xf numFmtId="0" fontId="2" fillId="13" borderId="39" xfId="0" applyFont="1" applyFill="1" applyBorder="1" applyAlignment="1">
      <alignment vertical="center"/>
    </xf>
    <xf numFmtId="0" fontId="2" fillId="13" borderId="2" xfId="0" applyFont="1" applyFill="1" applyBorder="1" applyAlignment="1">
      <alignment vertical="center"/>
    </xf>
    <xf numFmtId="1" fontId="2" fillId="13" borderId="47" xfId="1" applyNumberFormat="1" applyFont="1" applyFill="1" applyBorder="1" applyAlignment="1">
      <alignment vertical="center"/>
    </xf>
    <xf numFmtId="1" fontId="2" fillId="13" borderId="39" xfId="1" applyNumberFormat="1" applyFont="1" applyFill="1" applyBorder="1" applyAlignment="1">
      <alignment vertical="center"/>
    </xf>
    <xf numFmtId="1" fontId="2" fillId="13" borderId="2" xfId="1" applyNumberFormat="1" applyFont="1" applyFill="1" applyBorder="1" applyAlignment="1">
      <alignment vertical="center"/>
    </xf>
    <xf numFmtId="3" fontId="2" fillId="14" borderId="47" xfId="0" applyNumberFormat="1" applyFont="1" applyFill="1" applyBorder="1" applyAlignment="1">
      <alignment vertical="center"/>
    </xf>
    <xf numFmtId="1" fontId="2" fillId="13" borderId="1" xfId="1" applyNumberFormat="1" applyFont="1" applyFill="1" applyBorder="1" applyAlignment="1">
      <alignment vertical="center"/>
    </xf>
    <xf numFmtId="1" fontId="2" fillId="14" borderId="1" xfId="1" applyNumberFormat="1" applyFont="1" applyFill="1" applyBorder="1" applyAlignment="1">
      <alignment vertical="center"/>
    </xf>
    <xf numFmtId="3" fontId="2" fillId="14" borderId="32" xfId="0" applyNumberFormat="1" applyFont="1" applyFill="1" applyBorder="1" applyAlignment="1">
      <alignment vertical="center"/>
    </xf>
    <xf numFmtId="9" fontId="2" fillId="14" borderId="33" xfId="1" applyFont="1" applyFill="1" applyBorder="1" applyAlignment="1">
      <alignment vertical="center"/>
    </xf>
    <xf numFmtId="9" fontId="2" fillId="14" borderId="34" xfId="1" applyFont="1" applyFill="1" applyBorder="1" applyAlignment="1">
      <alignment vertical="center"/>
    </xf>
    <xf numFmtId="3" fontId="2" fillId="14" borderId="35" xfId="0" applyNumberFormat="1" applyFont="1" applyFill="1" applyBorder="1" applyAlignment="1">
      <alignment vertical="center"/>
    </xf>
    <xf numFmtId="9" fontId="2" fillId="14" borderId="0" xfId="1" applyFont="1" applyFill="1" applyBorder="1" applyAlignment="1">
      <alignment vertical="center"/>
    </xf>
    <xf numFmtId="9" fontId="2" fillId="14" borderId="36" xfId="1" applyFont="1" applyFill="1" applyBorder="1" applyAlignment="1">
      <alignment vertical="center"/>
    </xf>
    <xf numFmtId="3" fontId="2" fillId="14" borderId="22" xfId="0" applyNumberFormat="1" applyFont="1" applyFill="1" applyBorder="1" applyAlignment="1">
      <alignment vertical="center"/>
    </xf>
    <xf numFmtId="9" fontId="2" fillId="14" borderId="38" xfId="1" applyFont="1" applyFill="1" applyBorder="1" applyAlignment="1">
      <alignment vertical="center"/>
    </xf>
    <xf numFmtId="9" fontId="2" fillId="13" borderId="1" xfId="1" applyFont="1" applyFill="1" applyBorder="1" applyAlignment="1">
      <alignment vertical="center"/>
    </xf>
    <xf numFmtId="3" fontId="2" fillId="13" borderId="32" xfId="0" applyNumberFormat="1" applyFont="1" applyFill="1" applyBorder="1" applyAlignment="1">
      <alignment vertical="center"/>
    </xf>
    <xf numFmtId="166" fontId="2" fillId="13" borderId="33" xfId="1" applyNumberFormat="1" applyFont="1" applyFill="1" applyBorder="1" applyAlignment="1">
      <alignment vertical="center"/>
    </xf>
    <xf numFmtId="166" fontId="2" fillId="13" borderId="34" xfId="1" applyNumberFormat="1" applyFont="1" applyFill="1" applyBorder="1" applyAlignment="1">
      <alignment vertical="center"/>
    </xf>
    <xf numFmtId="3" fontId="2" fillId="13" borderId="35" xfId="0" applyNumberFormat="1" applyFont="1" applyFill="1" applyBorder="1" applyAlignment="1">
      <alignment vertical="center"/>
    </xf>
    <xf numFmtId="166" fontId="2" fillId="13" borderId="0" xfId="1" applyNumberFormat="1" applyFont="1" applyFill="1" applyBorder="1" applyAlignment="1">
      <alignment vertical="center"/>
    </xf>
    <xf numFmtId="166" fontId="2" fillId="13" borderId="36" xfId="1" applyNumberFormat="1" applyFont="1" applyFill="1" applyBorder="1" applyAlignment="1">
      <alignment vertical="center"/>
    </xf>
    <xf numFmtId="3" fontId="2" fillId="13" borderId="22" xfId="0" applyNumberFormat="1" applyFont="1" applyFill="1" applyBorder="1" applyAlignment="1">
      <alignment vertical="center"/>
    </xf>
    <xf numFmtId="166" fontId="2" fillId="13" borderId="38" xfId="1" applyNumberFormat="1" applyFont="1" applyFill="1" applyBorder="1" applyAlignment="1">
      <alignment vertical="center"/>
    </xf>
    <xf numFmtId="166" fontId="2" fillId="13" borderId="31" xfId="1" applyNumberFormat="1" applyFont="1" applyFill="1" applyBorder="1" applyAlignment="1">
      <alignment vertical="center"/>
    </xf>
    <xf numFmtId="3" fontId="2" fillId="13" borderId="32" xfId="1" applyNumberFormat="1" applyFont="1" applyFill="1" applyBorder="1" applyAlignment="1">
      <alignment vertical="center"/>
    </xf>
    <xf numFmtId="3" fontId="2" fillId="13" borderId="33" xfId="1" applyNumberFormat="1" applyFont="1" applyFill="1" applyBorder="1" applyAlignment="1">
      <alignment vertical="center"/>
    </xf>
    <xf numFmtId="3" fontId="2" fillId="13" borderId="34" xfId="1" applyNumberFormat="1" applyFont="1" applyFill="1" applyBorder="1" applyAlignment="1">
      <alignment vertical="center"/>
    </xf>
    <xf numFmtId="3" fontId="2" fillId="13" borderId="22" xfId="1" applyNumberFormat="1" applyFont="1" applyFill="1" applyBorder="1" applyAlignment="1">
      <alignment vertical="center"/>
    </xf>
    <xf numFmtId="3" fontId="2" fillId="13" borderId="38" xfId="1" applyNumberFormat="1" applyFont="1" applyFill="1" applyBorder="1" applyAlignment="1">
      <alignment vertical="center"/>
    </xf>
    <xf numFmtId="3" fontId="2" fillId="13" borderId="31" xfId="1" applyNumberFormat="1" applyFont="1" applyFill="1" applyBorder="1" applyAlignment="1">
      <alignment vertical="center"/>
    </xf>
    <xf numFmtId="0" fontId="2" fillId="13" borderId="1" xfId="0" applyFont="1" applyFill="1" applyBorder="1" applyAlignment="1">
      <alignment vertical="center"/>
    </xf>
    <xf numFmtId="3" fontId="2" fillId="13" borderId="35" xfId="1" applyNumberFormat="1" applyFont="1" applyFill="1" applyBorder="1" applyAlignment="1">
      <alignment vertical="center"/>
    </xf>
    <xf numFmtId="3" fontId="2" fillId="13" borderId="0" xfId="1" applyNumberFormat="1" applyFont="1" applyFill="1" applyBorder="1" applyAlignment="1">
      <alignment vertical="center"/>
    </xf>
    <xf numFmtId="3" fontId="2" fillId="13" borderId="36" xfId="1" applyNumberFormat="1" applyFont="1" applyFill="1" applyBorder="1" applyAlignment="1">
      <alignment vertical="center"/>
    </xf>
    <xf numFmtId="3" fontId="2" fillId="14" borderId="39" xfId="0" applyNumberFormat="1" applyFont="1" applyFill="1" applyBorder="1" applyAlignment="1">
      <alignment vertical="center"/>
    </xf>
    <xf numFmtId="3" fontId="2" fillId="14" borderId="32" xfId="0" applyNumberFormat="1" applyFont="1" applyFill="1" applyBorder="1" applyAlignment="1">
      <alignment horizontal="center" vertical="center"/>
    </xf>
    <xf numFmtId="3" fontId="2" fillId="14" borderId="35" xfId="0" applyNumberFormat="1" applyFont="1" applyFill="1" applyBorder="1" applyAlignment="1">
      <alignment horizontal="center" vertical="center"/>
    </xf>
    <xf numFmtId="3" fontId="2" fillId="14" borderId="22" xfId="0" applyNumberFormat="1" applyFont="1" applyFill="1" applyBorder="1" applyAlignment="1">
      <alignment horizontal="center" vertical="center"/>
    </xf>
    <xf numFmtId="0" fontId="2" fillId="13" borderId="35" xfId="0" applyFont="1" applyFill="1" applyBorder="1" applyAlignment="1">
      <alignment vertical="center"/>
    </xf>
    <xf numFmtId="0" fontId="2" fillId="13" borderId="0" xfId="0" applyFont="1" applyFill="1" applyBorder="1" applyAlignment="1">
      <alignment vertical="center"/>
    </xf>
    <xf numFmtId="1" fontId="2" fillId="14" borderId="32" xfId="1" applyNumberFormat="1" applyFont="1" applyFill="1" applyBorder="1" applyAlignment="1">
      <alignment vertical="center"/>
    </xf>
    <xf numFmtId="1" fontId="2" fillId="14" borderId="33" xfId="1" applyNumberFormat="1" applyFont="1" applyFill="1" applyBorder="1" applyAlignment="1">
      <alignment vertical="center"/>
    </xf>
    <xf numFmtId="167" fontId="2" fillId="14" borderId="32" xfId="2" applyNumberFormat="1" applyFont="1" applyFill="1" applyBorder="1" applyAlignment="1">
      <alignment vertical="center"/>
    </xf>
    <xf numFmtId="1" fontId="2" fillId="14" borderId="34" xfId="1" applyNumberFormat="1" applyFont="1" applyFill="1" applyBorder="1" applyAlignment="1">
      <alignment vertical="center"/>
    </xf>
    <xf numFmtId="1" fontId="2" fillId="14" borderId="35" xfId="1" applyNumberFormat="1" applyFont="1" applyFill="1" applyBorder="1" applyAlignment="1">
      <alignment vertical="center"/>
    </xf>
    <xf numFmtId="1" fontId="2" fillId="14" borderId="0" xfId="1" applyNumberFormat="1" applyFont="1" applyFill="1" applyBorder="1" applyAlignment="1">
      <alignment vertical="center"/>
    </xf>
    <xf numFmtId="167" fontId="2" fillId="14" borderId="35" xfId="2" applyNumberFormat="1" applyFont="1" applyFill="1" applyBorder="1" applyAlignment="1">
      <alignment vertical="center"/>
    </xf>
    <xf numFmtId="1" fontId="2" fillId="14" borderId="36" xfId="1" applyNumberFormat="1" applyFont="1" applyFill="1" applyBorder="1" applyAlignment="1">
      <alignment vertical="center"/>
    </xf>
    <xf numFmtId="1" fontId="2" fillId="14" borderId="22" xfId="1" applyNumberFormat="1" applyFont="1" applyFill="1" applyBorder="1" applyAlignment="1">
      <alignment vertical="center"/>
    </xf>
    <xf numFmtId="1" fontId="2" fillId="14" borderId="38" xfId="1" applyNumberFormat="1" applyFont="1" applyFill="1" applyBorder="1" applyAlignment="1">
      <alignment vertical="center"/>
    </xf>
    <xf numFmtId="167" fontId="2" fillId="14" borderId="22" xfId="2" applyNumberFormat="1" applyFont="1" applyFill="1" applyBorder="1" applyAlignment="1">
      <alignment vertical="center"/>
    </xf>
    <xf numFmtId="1" fontId="2" fillId="14" borderId="31" xfId="1" applyNumberFormat="1" applyFont="1" applyFill="1" applyBorder="1" applyAlignment="1">
      <alignment vertical="center"/>
    </xf>
    <xf numFmtId="3" fontId="2" fillId="14" borderId="35" xfId="1" applyNumberFormat="1" applyFont="1" applyFill="1" applyBorder="1" applyAlignment="1">
      <alignment vertical="center"/>
    </xf>
    <xf numFmtId="3" fontId="2" fillId="14" borderId="0" xfId="1" applyNumberFormat="1" applyFont="1" applyFill="1" applyBorder="1" applyAlignment="1">
      <alignment vertical="center"/>
    </xf>
    <xf numFmtId="3" fontId="2" fillId="14" borderId="36" xfId="1" applyNumberFormat="1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1" fontId="8" fillId="14" borderId="4" xfId="0" applyNumberFormat="1" applyFont="1" applyFill="1" applyBorder="1" applyAlignment="1">
      <alignment horizontal="center" vertical="center"/>
    </xf>
    <xf numFmtId="1" fontId="8" fillId="14" borderId="7" xfId="0" applyNumberFormat="1" applyFont="1" applyFill="1" applyBorder="1" applyAlignment="1">
      <alignment horizontal="center" vertical="center"/>
    </xf>
    <xf numFmtId="1" fontId="8" fillId="14" borderId="1" xfId="0" applyNumberFormat="1" applyFont="1" applyFill="1" applyBorder="1" applyAlignment="1">
      <alignment horizontal="center" vertical="center"/>
    </xf>
    <xf numFmtId="1" fontId="2" fillId="14" borderId="4" xfId="0" applyNumberFormat="1" applyFont="1" applyFill="1" applyBorder="1" applyAlignment="1">
      <alignment horizontal="center" vertical="center"/>
    </xf>
    <xf numFmtId="9" fontId="2" fillId="14" borderId="4" xfId="1" applyFont="1" applyFill="1" applyBorder="1" applyAlignment="1">
      <alignment horizontal="center" vertical="center"/>
    </xf>
    <xf numFmtId="1" fontId="2" fillId="14" borderId="7" xfId="0" applyNumberFormat="1" applyFont="1" applyFill="1" applyBorder="1" applyAlignment="1">
      <alignment horizontal="center" vertical="center"/>
    </xf>
    <xf numFmtId="9" fontId="2" fillId="14" borderId="7" xfId="1" applyFont="1" applyFill="1" applyBorder="1" applyAlignment="1">
      <alignment horizontal="center" vertical="center"/>
    </xf>
    <xf numFmtId="0" fontId="2" fillId="14" borderId="47" xfId="0" applyFont="1" applyFill="1" applyBorder="1" applyAlignment="1">
      <alignment vertical="center"/>
    </xf>
    <xf numFmtId="0" fontId="2" fillId="14" borderId="39" xfId="0" applyFont="1" applyFill="1" applyBorder="1" applyAlignment="1">
      <alignment vertical="center"/>
    </xf>
    <xf numFmtId="9" fontId="2" fillId="14" borderId="35" xfId="1" applyFont="1" applyFill="1" applyBorder="1" applyAlignment="1">
      <alignment horizontal="center" vertical="center"/>
    </xf>
    <xf numFmtId="9" fontId="2" fillId="14" borderId="0" xfId="1" applyFont="1" applyFill="1" applyBorder="1" applyAlignment="1">
      <alignment horizontal="center" vertical="center"/>
    </xf>
    <xf numFmtId="9" fontId="2" fillId="14" borderId="36" xfId="1" applyFont="1" applyFill="1" applyBorder="1" applyAlignment="1">
      <alignment horizontal="center" vertical="center"/>
    </xf>
    <xf numFmtId="0" fontId="2" fillId="14" borderId="35" xfId="0" applyFont="1" applyFill="1" applyBorder="1" applyAlignment="1">
      <alignment horizontal="center" vertical="center"/>
    </xf>
    <xf numFmtId="0" fontId="2" fillId="14" borderId="0" xfId="0" applyFont="1" applyFill="1" applyBorder="1" applyAlignment="1">
      <alignment horizontal="center" vertical="center"/>
    </xf>
    <xf numFmtId="0" fontId="2" fillId="14" borderId="36" xfId="0" applyFont="1" applyFill="1" applyBorder="1" applyAlignment="1">
      <alignment horizontal="center" vertical="center"/>
    </xf>
    <xf numFmtId="0" fontId="2" fillId="14" borderId="35" xfId="0" applyFont="1" applyFill="1" applyBorder="1" applyAlignment="1">
      <alignment vertical="center"/>
    </xf>
    <xf numFmtId="0" fontId="2" fillId="14" borderId="0" xfId="0" applyFont="1" applyFill="1" applyBorder="1" applyAlignment="1">
      <alignment vertical="center"/>
    </xf>
    <xf numFmtId="0" fontId="2" fillId="14" borderId="36" xfId="0" applyFont="1" applyFill="1" applyBorder="1" applyAlignment="1">
      <alignment vertical="center"/>
    </xf>
    <xf numFmtId="9" fontId="2" fillId="14" borderId="1" xfId="1" applyFont="1" applyFill="1" applyBorder="1" applyAlignment="1">
      <alignment horizontal="center" vertical="center"/>
    </xf>
    <xf numFmtId="1" fontId="2" fillId="14" borderId="12" xfId="1" applyNumberFormat="1" applyFont="1" applyFill="1" applyBorder="1" applyAlignment="1">
      <alignment horizontal="center" vertical="center"/>
    </xf>
    <xf numFmtId="1" fontId="2" fillId="14" borderId="13" xfId="1" applyNumberFormat="1" applyFont="1" applyFill="1" applyBorder="1" applyAlignment="1">
      <alignment horizontal="center" vertical="center"/>
    </xf>
    <xf numFmtId="1" fontId="2" fillId="14" borderId="14" xfId="1" applyNumberFormat="1" applyFont="1" applyFill="1" applyBorder="1" applyAlignment="1">
      <alignment horizontal="center" vertical="center"/>
    </xf>
    <xf numFmtId="167" fontId="2" fillId="14" borderId="12" xfId="2" applyNumberFormat="1" applyFont="1" applyFill="1" applyBorder="1" applyAlignment="1">
      <alignment horizontal="center" vertical="center"/>
    </xf>
    <xf numFmtId="167" fontId="2" fillId="14" borderId="13" xfId="2" applyNumberFormat="1" applyFont="1" applyFill="1" applyBorder="1" applyAlignment="1">
      <alignment horizontal="center" vertical="center"/>
    </xf>
    <xf numFmtId="167" fontId="2" fillId="14" borderId="14" xfId="2" applyNumberFormat="1" applyFont="1" applyFill="1" applyBorder="1" applyAlignment="1">
      <alignment horizontal="center" vertical="center"/>
    </xf>
    <xf numFmtId="9" fontId="2" fillId="14" borderId="12" xfId="1" applyFont="1" applyFill="1" applyBorder="1" applyAlignment="1">
      <alignment horizontal="center" vertical="center"/>
    </xf>
    <xf numFmtId="9" fontId="2" fillId="14" borderId="13" xfId="1" applyFont="1" applyFill="1" applyBorder="1" applyAlignment="1">
      <alignment horizontal="center" vertical="center"/>
    </xf>
    <xf numFmtId="9" fontId="2" fillId="14" borderId="14" xfId="1" applyFont="1" applyFill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0" fillId="13" borderId="0" xfId="0" applyFill="1" applyAlignment="1">
      <alignment vertical="center"/>
    </xf>
    <xf numFmtId="0" fontId="0" fillId="5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0" fillId="14" borderId="0" xfId="0" applyFill="1" applyAlignment="1">
      <alignment vertical="center"/>
    </xf>
    <xf numFmtId="0" fontId="21" fillId="3" borderId="0" xfId="0" applyFont="1" applyFill="1" applyAlignment="1">
      <alignment vertical="center"/>
    </xf>
    <xf numFmtId="0" fontId="2" fillId="2" borderId="1" xfId="0" applyFont="1" applyFill="1" applyBorder="1" applyAlignment="1">
      <alignment vertical="center"/>
    </xf>
    <xf numFmtId="0" fontId="2" fillId="2" borderId="47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3" fontId="2" fillId="2" borderId="18" xfId="1" applyNumberFormat="1" applyFont="1" applyFill="1" applyBorder="1" applyAlignment="1">
      <alignment vertical="center"/>
    </xf>
    <xf numFmtId="3" fontId="2" fillId="2" borderId="46" xfId="1" applyNumberFormat="1" applyFont="1" applyFill="1" applyBorder="1" applyAlignment="1">
      <alignment vertical="center"/>
    </xf>
    <xf numFmtId="3" fontId="2" fillId="2" borderId="30" xfId="1" applyNumberFormat="1" applyFont="1" applyFill="1" applyBorder="1" applyAlignment="1">
      <alignment vertical="center"/>
    </xf>
    <xf numFmtId="0" fontId="2" fillId="0" borderId="22" xfId="0" applyFont="1" applyBorder="1" applyAlignment="1">
      <alignment vertical="center"/>
    </xf>
    <xf numFmtId="0" fontId="2" fillId="0" borderId="33" xfId="0" applyFont="1" applyBorder="1" applyAlignment="1">
      <alignment horizontal="right" vertical="center"/>
    </xf>
    <xf numFmtId="0" fontId="2" fillId="0" borderId="38" xfId="0" applyFont="1" applyBorder="1" applyAlignment="1">
      <alignment horizontal="right" vertical="center"/>
    </xf>
    <xf numFmtId="0" fontId="2" fillId="0" borderId="35" xfId="0" applyFont="1" applyBorder="1" applyAlignment="1">
      <alignment vertical="center"/>
    </xf>
    <xf numFmtId="0" fontId="2" fillId="0" borderId="32" xfId="0" applyFont="1" applyBorder="1" applyAlignment="1">
      <alignment vertical="center" wrapText="1"/>
    </xf>
    <xf numFmtId="0" fontId="2" fillId="0" borderId="32" xfId="0" applyFont="1" applyBorder="1" applyAlignment="1">
      <alignment vertical="center"/>
    </xf>
    <xf numFmtId="9" fontId="2" fillId="2" borderId="1" xfId="1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2" fillId="0" borderId="0" xfId="0" applyFont="1" applyAlignment="1">
      <alignment vertical="center"/>
    </xf>
    <xf numFmtId="0" fontId="23" fillId="3" borderId="0" xfId="0" applyFont="1" applyFill="1" applyAlignment="1">
      <alignment vertical="center"/>
    </xf>
    <xf numFmtId="0" fontId="22" fillId="0" borderId="0" xfId="0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3" fillId="14" borderId="47" xfId="0" applyFont="1" applyFill="1" applyBorder="1" applyAlignment="1">
      <alignment horizontal="center" vertical="center"/>
    </xf>
    <xf numFmtId="0" fontId="3" fillId="14" borderId="39" xfId="0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26" fillId="0" borderId="0" xfId="0" applyFont="1"/>
    <xf numFmtId="3" fontId="2" fillId="14" borderId="4" xfId="0" applyNumberFormat="1" applyFont="1" applyFill="1" applyBorder="1" applyAlignment="1">
      <alignment horizontal="center" vertical="center"/>
    </xf>
    <xf numFmtId="3" fontId="8" fillId="14" borderId="7" xfId="0" applyNumberFormat="1" applyFont="1" applyFill="1" applyBorder="1" applyAlignment="1">
      <alignment horizontal="center" vertical="center"/>
    </xf>
    <xf numFmtId="3" fontId="8" fillId="14" borderId="4" xfId="0" applyNumberFormat="1" applyFont="1" applyFill="1" applyBorder="1" applyAlignment="1">
      <alignment horizontal="center" vertical="center"/>
    </xf>
    <xf numFmtId="3" fontId="8" fillId="14" borderId="1" xfId="0" applyNumberFormat="1" applyFont="1" applyFill="1" applyBorder="1" applyAlignment="1">
      <alignment horizontal="center" vertical="center"/>
    </xf>
    <xf numFmtId="3" fontId="2" fillId="14" borderId="7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5" fillId="0" borderId="0" xfId="0" applyFont="1"/>
    <xf numFmtId="0" fontId="27" fillId="0" borderId="0" xfId="0" applyFont="1" applyBorder="1" applyAlignment="1">
      <alignment vertical="center"/>
    </xf>
    <xf numFmtId="9" fontId="2" fillId="13" borderId="47" xfId="1" applyFont="1" applyFill="1" applyBorder="1" applyAlignment="1">
      <alignment horizontal="center" vertical="center"/>
    </xf>
    <xf numFmtId="9" fontId="2" fillId="13" borderId="39" xfId="1" applyFont="1" applyFill="1" applyBorder="1" applyAlignment="1">
      <alignment horizontal="center" vertical="center"/>
    </xf>
    <xf numFmtId="9" fontId="2" fillId="13" borderId="2" xfId="1" applyFont="1" applyFill="1" applyBorder="1" applyAlignment="1">
      <alignment horizontal="center" vertical="center"/>
    </xf>
    <xf numFmtId="9" fontId="2" fillId="13" borderId="1" xfId="1" applyFont="1" applyFill="1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0" fontId="2" fillId="0" borderId="3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46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4" fillId="0" borderId="40" xfId="0" applyFont="1" applyBorder="1" applyAlignment="1">
      <alignment horizontal="center" vertical="center"/>
    </xf>
    <xf numFmtId="9" fontId="28" fillId="14" borderId="4" xfId="1" applyFont="1" applyFill="1" applyBorder="1" applyAlignment="1">
      <alignment vertical="center"/>
    </xf>
    <xf numFmtId="9" fontId="28" fillId="14" borderId="7" xfId="1" applyFont="1" applyFill="1" applyBorder="1" applyAlignment="1">
      <alignment vertical="center"/>
    </xf>
    <xf numFmtId="9" fontId="28" fillId="14" borderId="2" xfId="1" applyFont="1" applyFill="1" applyBorder="1" applyAlignment="1">
      <alignment vertical="center"/>
    </xf>
    <xf numFmtId="9" fontId="28" fillId="14" borderId="1" xfId="1" applyFont="1" applyFill="1" applyBorder="1" applyAlignment="1">
      <alignment vertical="center"/>
    </xf>
    <xf numFmtId="0" fontId="28" fillId="0" borderId="44" xfId="0" applyFont="1" applyBorder="1" applyAlignment="1">
      <alignment horizontal="center" vertical="center"/>
    </xf>
    <xf numFmtId="0" fontId="28" fillId="0" borderId="45" xfId="0" applyFont="1" applyBorder="1" applyAlignment="1">
      <alignment horizontal="center" vertical="center"/>
    </xf>
    <xf numFmtId="9" fontId="28" fillId="13" borderId="32" xfId="1" applyFont="1" applyFill="1" applyBorder="1" applyAlignment="1">
      <alignment vertical="center"/>
    </xf>
    <xf numFmtId="9" fontId="28" fillId="13" borderId="33" xfId="1" applyFont="1" applyFill="1" applyBorder="1" applyAlignment="1">
      <alignment vertical="center"/>
    </xf>
    <xf numFmtId="166" fontId="28" fillId="13" borderId="34" xfId="1" applyNumberFormat="1" applyFont="1" applyFill="1" applyBorder="1" applyAlignment="1">
      <alignment vertical="center"/>
    </xf>
    <xf numFmtId="9" fontId="28" fillId="13" borderId="35" xfId="1" applyFont="1" applyFill="1" applyBorder="1" applyAlignment="1">
      <alignment vertical="center"/>
    </xf>
    <xf numFmtId="9" fontId="28" fillId="13" borderId="0" xfId="1" applyFont="1" applyFill="1" applyBorder="1" applyAlignment="1">
      <alignment vertical="center"/>
    </xf>
    <xf numFmtId="166" fontId="28" fillId="13" borderId="36" xfId="1" applyNumberFormat="1" applyFont="1" applyFill="1" applyBorder="1" applyAlignment="1">
      <alignment vertical="center"/>
    </xf>
    <xf numFmtId="9" fontId="28" fillId="13" borderId="22" xfId="1" applyFont="1" applyFill="1" applyBorder="1" applyAlignment="1">
      <alignment vertical="center"/>
    </xf>
    <xf numFmtId="9" fontId="28" fillId="13" borderId="38" xfId="1" applyFont="1" applyFill="1" applyBorder="1" applyAlignment="1">
      <alignment vertical="center"/>
    </xf>
    <xf numFmtId="166" fontId="28" fillId="13" borderId="31" xfId="1" applyNumberFormat="1" applyFont="1" applyFill="1" applyBorder="1" applyAlignment="1">
      <alignment vertical="center"/>
    </xf>
    <xf numFmtId="0" fontId="28" fillId="0" borderId="0" xfId="0" applyFont="1" applyAlignment="1">
      <alignment vertical="center"/>
    </xf>
    <xf numFmtId="0" fontId="28" fillId="0" borderId="0" xfId="0" applyFont="1" applyBorder="1" applyAlignment="1">
      <alignment vertical="center"/>
    </xf>
    <xf numFmtId="3" fontId="28" fillId="13" borderId="32" xfId="1" applyNumberFormat="1" applyFont="1" applyFill="1" applyBorder="1" applyAlignment="1">
      <alignment vertical="center"/>
    </xf>
    <xf numFmtId="3" fontId="28" fillId="13" borderId="33" xfId="1" applyNumberFormat="1" applyFont="1" applyFill="1" applyBorder="1" applyAlignment="1">
      <alignment vertical="center"/>
    </xf>
    <xf numFmtId="3" fontId="28" fillId="13" borderId="34" xfId="1" applyNumberFormat="1" applyFont="1" applyFill="1" applyBorder="1" applyAlignment="1">
      <alignment vertical="center"/>
    </xf>
    <xf numFmtId="3" fontId="28" fillId="13" borderId="35" xfId="1" applyNumberFormat="1" applyFont="1" applyFill="1" applyBorder="1" applyAlignment="1">
      <alignment vertical="center"/>
    </xf>
    <xf numFmtId="3" fontId="28" fillId="13" borderId="0" xfId="1" applyNumberFormat="1" applyFont="1" applyFill="1" applyBorder="1" applyAlignment="1">
      <alignment vertical="center"/>
    </xf>
    <xf numFmtId="3" fontId="28" fillId="13" borderId="36" xfId="1" applyNumberFormat="1" applyFont="1" applyFill="1" applyBorder="1" applyAlignment="1">
      <alignment vertical="center"/>
    </xf>
    <xf numFmtId="3" fontId="28" fillId="13" borderId="22" xfId="1" applyNumberFormat="1" applyFont="1" applyFill="1" applyBorder="1" applyAlignment="1">
      <alignment vertical="center"/>
    </xf>
    <xf numFmtId="3" fontId="28" fillId="13" borderId="38" xfId="1" applyNumberFormat="1" applyFont="1" applyFill="1" applyBorder="1" applyAlignment="1">
      <alignment vertical="center"/>
    </xf>
    <xf numFmtId="3" fontId="28" fillId="13" borderId="31" xfId="1" applyNumberFormat="1" applyFont="1" applyFill="1" applyBorder="1" applyAlignment="1">
      <alignment vertical="center"/>
    </xf>
    <xf numFmtId="9" fontId="28" fillId="13" borderId="34" xfId="1" applyFont="1" applyFill="1" applyBorder="1" applyAlignment="1">
      <alignment vertical="center"/>
    </xf>
    <xf numFmtId="9" fontId="28" fillId="13" borderId="31" xfId="1" applyFont="1" applyFill="1" applyBorder="1" applyAlignment="1">
      <alignment vertical="center"/>
    </xf>
    <xf numFmtId="9" fontId="28" fillId="13" borderId="36" xfId="1" applyFont="1" applyFill="1" applyBorder="1" applyAlignment="1">
      <alignment vertical="center"/>
    </xf>
    <xf numFmtId="9" fontId="2" fillId="13" borderId="18" xfId="1" applyFont="1" applyFill="1" applyBorder="1" applyAlignment="1">
      <alignment vertical="center"/>
    </xf>
    <xf numFmtId="9" fontId="2" fillId="13" borderId="46" xfId="1" applyFont="1" applyFill="1" applyBorder="1" applyAlignment="1">
      <alignment vertical="center"/>
    </xf>
    <xf numFmtId="9" fontId="2" fillId="13" borderId="30" xfId="1" applyFont="1" applyFill="1" applyBorder="1" applyAlignment="1">
      <alignment vertical="center"/>
    </xf>
    <xf numFmtId="1" fontId="28" fillId="13" borderId="32" xfId="1" applyNumberFormat="1" applyFont="1" applyFill="1" applyBorder="1" applyAlignment="1">
      <alignment vertical="center"/>
    </xf>
    <xf numFmtId="1" fontId="28" fillId="13" borderId="33" xfId="1" applyNumberFormat="1" applyFont="1" applyFill="1" applyBorder="1" applyAlignment="1">
      <alignment vertical="center"/>
    </xf>
    <xf numFmtId="1" fontId="28" fillId="13" borderId="34" xfId="1" applyNumberFormat="1" applyFont="1" applyFill="1" applyBorder="1" applyAlignment="1">
      <alignment vertical="center"/>
    </xf>
    <xf numFmtId="1" fontId="28" fillId="13" borderId="35" xfId="1" applyNumberFormat="1" applyFont="1" applyFill="1" applyBorder="1" applyAlignment="1">
      <alignment vertical="center"/>
    </xf>
    <xf numFmtId="1" fontId="28" fillId="13" borderId="0" xfId="1" applyNumberFormat="1" applyFont="1" applyFill="1" applyBorder="1" applyAlignment="1">
      <alignment vertical="center"/>
    </xf>
    <xf numFmtId="1" fontId="28" fillId="13" borderId="36" xfId="1" applyNumberFormat="1" applyFont="1" applyFill="1" applyBorder="1" applyAlignment="1">
      <alignment vertical="center"/>
    </xf>
    <xf numFmtId="1" fontId="28" fillId="13" borderId="22" xfId="1" applyNumberFormat="1" applyFont="1" applyFill="1" applyBorder="1" applyAlignment="1">
      <alignment vertical="center"/>
    </xf>
    <xf numFmtId="1" fontId="28" fillId="13" borderId="38" xfId="1" applyNumberFormat="1" applyFont="1" applyFill="1" applyBorder="1" applyAlignment="1">
      <alignment vertical="center"/>
    </xf>
    <xf numFmtId="1" fontId="28" fillId="13" borderId="31" xfId="1" applyNumberFormat="1" applyFont="1" applyFill="1" applyBorder="1" applyAlignment="1">
      <alignment vertical="center"/>
    </xf>
    <xf numFmtId="0" fontId="2" fillId="0" borderId="34" xfId="0" applyFont="1" applyBorder="1" applyAlignment="1">
      <alignment horizontal="right" vertical="center"/>
    </xf>
    <xf numFmtId="0" fontId="2" fillId="0" borderId="36" xfId="0" applyFont="1" applyBorder="1" applyAlignment="1">
      <alignment horizontal="right" vertical="center"/>
    </xf>
    <xf numFmtId="0" fontId="2" fillId="0" borderId="31" xfId="0" applyFont="1" applyBorder="1" applyAlignment="1">
      <alignment horizontal="right" vertical="center"/>
    </xf>
    <xf numFmtId="3" fontId="2" fillId="13" borderId="46" xfId="1" applyNumberFormat="1" applyFont="1" applyFill="1" applyBorder="1" applyAlignment="1">
      <alignment vertical="center"/>
    </xf>
    <xf numFmtId="3" fontId="2" fillId="13" borderId="30" xfId="1" applyNumberFormat="1" applyFont="1" applyFill="1" applyBorder="1" applyAlignment="1">
      <alignment vertical="center"/>
    </xf>
    <xf numFmtId="3" fontId="2" fillId="13" borderId="18" xfId="1" applyNumberFormat="1" applyFont="1" applyFill="1" applyBorder="1" applyAlignment="1">
      <alignment vertical="center"/>
    </xf>
    <xf numFmtId="166" fontId="2" fillId="0" borderId="23" xfId="1" applyNumberFormat="1" applyFont="1" applyFill="1" applyBorder="1" applyAlignment="1">
      <alignment horizontal="center" vertical="center"/>
    </xf>
    <xf numFmtId="166" fontId="2" fillId="0" borderId="4" xfId="1" applyNumberFormat="1" applyFont="1" applyFill="1" applyBorder="1" applyAlignment="1">
      <alignment horizontal="center" vertical="center"/>
    </xf>
    <xf numFmtId="166" fontId="2" fillId="0" borderId="5" xfId="1" applyNumberFormat="1" applyFont="1" applyFill="1" applyBorder="1" applyAlignment="1">
      <alignment horizontal="center" vertical="center"/>
    </xf>
    <xf numFmtId="166" fontId="2" fillId="0" borderId="21" xfId="1" applyNumberFormat="1" applyFont="1" applyFill="1" applyBorder="1" applyAlignment="1">
      <alignment horizontal="center" vertical="center"/>
    </xf>
    <xf numFmtId="166" fontId="2" fillId="0" borderId="7" xfId="1" applyNumberFormat="1" applyFont="1" applyFill="1" applyBorder="1" applyAlignment="1">
      <alignment horizontal="center" vertical="center"/>
    </xf>
    <xf numFmtId="166" fontId="2" fillId="0" borderId="8" xfId="1" applyNumberFormat="1" applyFont="1" applyFill="1" applyBorder="1" applyAlignment="1">
      <alignment horizontal="center" vertical="center"/>
    </xf>
    <xf numFmtId="166" fontId="2" fillId="0" borderId="20" xfId="1" applyNumberFormat="1" applyFont="1" applyFill="1" applyBorder="1" applyAlignment="1">
      <alignment horizontal="center" vertical="center"/>
    </xf>
    <xf numFmtId="166" fontId="2" fillId="0" borderId="1" xfId="1" applyNumberFormat="1" applyFont="1" applyFill="1" applyBorder="1" applyAlignment="1">
      <alignment horizontal="center" vertical="center"/>
    </xf>
    <xf numFmtId="166" fontId="2" fillId="0" borderId="10" xfId="1" applyNumberFormat="1" applyFont="1" applyFill="1" applyBorder="1" applyAlignment="1">
      <alignment horizontal="center" vertical="center"/>
    </xf>
    <xf numFmtId="164" fontId="2" fillId="0" borderId="1" xfId="0" applyNumberFormat="1" applyFont="1" applyBorder="1" applyAlignment="1">
      <alignment vertical="center"/>
    </xf>
    <xf numFmtId="164" fontId="4" fillId="0" borderId="0" xfId="0" applyNumberFormat="1" applyFont="1" applyBorder="1" applyAlignment="1">
      <alignment vertical="center"/>
    </xf>
    <xf numFmtId="9" fontId="2" fillId="0" borderId="0" xfId="1" applyFont="1" applyFill="1" applyBorder="1" applyAlignment="1">
      <alignment vertical="center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25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9" fontId="2" fillId="14" borderId="50" xfId="1" applyFont="1" applyFill="1" applyBorder="1" applyAlignment="1">
      <alignment horizontal="center" vertical="center"/>
    </xf>
    <xf numFmtId="9" fontId="2" fillId="14" borderId="51" xfId="1" applyFont="1" applyFill="1" applyBorder="1" applyAlignment="1">
      <alignment horizontal="center" vertical="center"/>
    </xf>
    <xf numFmtId="9" fontId="2" fillId="14" borderId="52" xfId="1" applyFont="1" applyFill="1" applyBorder="1" applyAlignment="1">
      <alignment horizontal="center" vertical="center"/>
    </xf>
    <xf numFmtId="0" fontId="10" fillId="0" borderId="11" xfId="0" applyFont="1" applyBorder="1" applyAlignment="1">
      <alignment vertical="center"/>
    </xf>
    <xf numFmtId="0" fontId="4" fillId="14" borderId="12" xfId="0" applyFont="1" applyFill="1" applyBorder="1" applyAlignment="1">
      <alignment horizontal="center" vertical="center"/>
    </xf>
    <xf numFmtId="0" fontId="4" fillId="14" borderId="13" xfId="0" applyFont="1" applyFill="1" applyBorder="1" applyAlignment="1">
      <alignment horizontal="center" vertical="center"/>
    </xf>
    <xf numFmtId="0" fontId="4" fillId="14" borderId="14" xfId="0" applyFont="1" applyFill="1" applyBorder="1" applyAlignment="1">
      <alignment horizontal="center" vertical="center"/>
    </xf>
    <xf numFmtId="0" fontId="2" fillId="14" borderId="50" xfId="0" applyFont="1" applyFill="1" applyBorder="1" applyAlignment="1">
      <alignment horizontal="center" vertical="center"/>
    </xf>
    <xf numFmtId="0" fontId="2" fillId="14" borderId="52" xfId="0" applyFont="1" applyFill="1" applyBorder="1" applyAlignment="1">
      <alignment horizontal="center" vertical="center"/>
    </xf>
    <xf numFmtId="0" fontId="2" fillId="14" borderId="51" xfId="0" applyFont="1" applyFill="1" applyBorder="1" applyAlignment="1">
      <alignment horizontal="center" vertical="center"/>
    </xf>
    <xf numFmtId="0" fontId="4" fillId="14" borderId="50" xfId="0" applyFont="1" applyFill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4" fillId="0" borderId="40" xfId="0" applyFont="1" applyFill="1" applyBorder="1" applyAlignment="1">
      <alignment horizontal="center" vertical="center"/>
    </xf>
    <xf numFmtId="0" fontId="2" fillId="0" borderId="53" xfId="0" applyFont="1" applyBorder="1"/>
    <xf numFmtId="0" fontId="27" fillId="0" borderId="0" xfId="0" applyFont="1" applyBorder="1" applyAlignment="1">
      <alignment horizontal="left" vertical="center"/>
    </xf>
    <xf numFmtId="0" fontId="5" fillId="0" borderId="0" xfId="0" applyFont="1" applyBorder="1"/>
    <xf numFmtId="0" fontId="2" fillId="0" borderId="24" xfId="0" applyFont="1" applyBorder="1" applyAlignment="1">
      <alignment vertical="center"/>
    </xf>
    <xf numFmtId="3" fontId="2" fillId="0" borderId="24" xfId="0" applyNumberFormat="1" applyFont="1" applyBorder="1" applyAlignment="1">
      <alignment horizontal="center" vertical="center"/>
    </xf>
    <xf numFmtId="3" fontId="2" fillId="14" borderId="50" xfId="0" applyNumberFormat="1" applyFont="1" applyFill="1" applyBorder="1" applyAlignment="1">
      <alignment horizontal="center" vertical="center"/>
    </xf>
    <xf numFmtId="3" fontId="2" fillId="14" borderId="51" xfId="0" applyNumberFormat="1" applyFont="1" applyFill="1" applyBorder="1" applyAlignment="1">
      <alignment horizontal="center" vertical="center"/>
    </xf>
    <xf numFmtId="3" fontId="2" fillId="14" borderId="52" xfId="0" applyNumberFormat="1" applyFont="1" applyFill="1" applyBorder="1" applyAlignment="1">
      <alignment horizontal="center" vertical="center"/>
    </xf>
    <xf numFmtId="3" fontId="2" fillId="14" borderId="50" xfId="0" applyNumberFormat="1" applyFont="1" applyFill="1" applyBorder="1" applyAlignment="1">
      <alignment vertical="center"/>
    </xf>
    <xf numFmtId="3" fontId="2" fillId="14" borderId="51" xfId="0" applyNumberFormat="1" applyFont="1" applyFill="1" applyBorder="1" applyAlignment="1">
      <alignment vertical="center"/>
    </xf>
    <xf numFmtId="3" fontId="2" fillId="14" borderId="52" xfId="0" applyNumberFormat="1" applyFont="1" applyFill="1" applyBorder="1" applyAlignment="1">
      <alignment vertical="center"/>
    </xf>
    <xf numFmtId="0" fontId="2" fillId="14" borderId="23" xfId="0" applyFont="1" applyFill="1" applyBorder="1" applyAlignment="1">
      <alignment horizontal="center" vertical="center"/>
    </xf>
    <xf numFmtId="0" fontId="2" fillId="14" borderId="20" xfId="0" applyFont="1" applyFill="1" applyBorder="1" applyAlignment="1">
      <alignment horizontal="center" vertical="center"/>
    </xf>
    <xf numFmtId="0" fontId="2" fillId="14" borderId="21" xfId="0" applyFont="1" applyFill="1" applyBorder="1" applyAlignment="1">
      <alignment horizontal="center" vertical="center"/>
    </xf>
    <xf numFmtId="9" fontId="4" fillId="14" borderId="12" xfId="1" applyFont="1" applyFill="1" applyBorder="1" applyAlignment="1">
      <alignment horizontal="center" vertical="center"/>
    </xf>
    <xf numFmtId="9" fontId="4" fillId="14" borderId="13" xfId="1" applyFont="1" applyFill="1" applyBorder="1" applyAlignment="1">
      <alignment horizontal="center" vertical="center"/>
    </xf>
    <xf numFmtId="9" fontId="4" fillId="14" borderId="14" xfId="1" applyFont="1" applyFill="1" applyBorder="1" applyAlignment="1">
      <alignment horizontal="center" vertical="center"/>
    </xf>
    <xf numFmtId="9" fontId="4" fillId="14" borderId="41" xfId="1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14" borderId="0" xfId="0" applyFont="1" applyFill="1"/>
    <xf numFmtId="166" fontId="4" fillId="0" borderId="1" xfId="0" applyNumberFormat="1" applyFont="1" applyBorder="1" applyAlignment="1">
      <alignment horizontal="center" vertical="center"/>
    </xf>
    <xf numFmtId="3" fontId="4" fillId="0" borderId="0" xfId="0" applyNumberFormat="1" applyFont="1" applyBorder="1" applyAlignment="1">
      <alignment horizontal="center" vertical="center"/>
    </xf>
    <xf numFmtId="166" fontId="2" fillId="0" borderId="0" xfId="0" applyNumberFormat="1" applyFont="1" applyFill="1" applyBorder="1" applyAlignment="1">
      <alignment horizontal="center" vertical="center"/>
    </xf>
    <xf numFmtId="168" fontId="2" fillId="0" borderId="0" xfId="2" applyNumberFormat="1" applyFont="1" applyBorder="1" applyAlignment="1">
      <alignment vertical="center"/>
    </xf>
    <xf numFmtId="0" fontId="2" fillId="0" borderId="0" xfId="0" applyFont="1" applyFill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14" borderId="39" xfId="0" applyFont="1" applyFill="1" applyBorder="1" applyAlignment="1">
      <alignment vertical="center" wrapText="1"/>
    </xf>
    <xf numFmtId="3" fontId="2" fillId="9" borderId="50" xfId="0" applyNumberFormat="1" applyFont="1" applyFill="1" applyBorder="1" applyAlignment="1">
      <alignment horizontal="center" vertical="center"/>
    </xf>
    <xf numFmtId="3" fontId="2" fillId="9" borderId="51" xfId="0" applyNumberFormat="1" applyFont="1" applyFill="1" applyBorder="1" applyAlignment="1">
      <alignment horizontal="center" vertical="center"/>
    </xf>
    <xf numFmtId="3" fontId="2" fillId="9" borderId="52" xfId="0" applyNumberFormat="1" applyFont="1" applyFill="1" applyBorder="1" applyAlignment="1">
      <alignment horizontal="center" vertical="center"/>
    </xf>
    <xf numFmtId="3" fontId="2" fillId="8" borderId="50" xfId="0" applyNumberFormat="1" applyFont="1" applyFill="1" applyBorder="1" applyAlignment="1">
      <alignment horizontal="center" vertical="center"/>
    </xf>
    <xf numFmtId="3" fontId="2" fillId="8" borderId="51" xfId="0" applyNumberFormat="1" applyFont="1" applyFill="1" applyBorder="1" applyAlignment="1">
      <alignment horizontal="center" vertical="center"/>
    </xf>
    <xf numFmtId="3" fontId="2" fillId="8" borderId="52" xfId="0" applyNumberFormat="1" applyFont="1" applyFill="1" applyBorder="1" applyAlignment="1">
      <alignment horizontal="center" vertical="center"/>
    </xf>
    <xf numFmtId="3" fontId="2" fillId="7" borderId="50" xfId="0" applyNumberFormat="1" applyFont="1" applyFill="1" applyBorder="1" applyAlignment="1">
      <alignment horizontal="center" vertical="center"/>
    </xf>
    <xf numFmtId="3" fontId="2" fillId="7" borderId="51" xfId="0" applyNumberFormat="1" applyFont="1" applyFill="1" applyBorder="1" applyAlignment="1">
      <alignment horizontal="center" vertical="center"/>
    </xf>
    <xf numFmtId="3" fontId="2" fillId="7" borderId="52" xfId="0" applyNumberFormat="1" applyFont="1" applyFill="1" applyBorder="1" applyAlignment="1">
      <alignment horizontal="center" vertical="center"/>
    </xf>
    <xf numFmtId="3" fontId="2" fillId="4" borderId="50" xfId="0" applyNumberFormat="1" applyFont="1" applyFill="1" applyBorder="1" applyAlignment="1">
      <alignment horizontal="center" vertical="center"/>
    </xf>
    <xf numFmtId="3" fontId="2" fillId="4" borderId="51" xfId="0" applyNumberFormat="1" applyFont="1" applyFill="1" applyBorder="1" applyAlignment="1">
      <alignment horizontal="center" vertical="center"/>
    </xf>
    <xf numFmtId="3" fontId="2" fillId="4" borderId="52" xfId="0" applyNumberFormat="1" applyFont="1" applyFill="1" applyBorder="1" applyAlignment="1">
      <alignment horizontal="center" vertical="center"/>
    </xf>
    <xf numFmtId="0" fontId="2" fillId="0" borderId="46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46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46" xfId="0" applyFont="1" applyBorder="1" applyAlignment="1">
      <alignment horizontal="center" vertical="center"/>
    </xf>
    <xf numFmtId="0" fontId="28" fillId="0" borderId="3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38" xfId="0" applyFont="1" applyBorder="1" applyAlignment="1">
      <alignment horizontal="center" vertical="center" wrapText="1"/>
    </xf>
    <xf numFmtId="0" fontId="2" fillId="0" borderId="3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3" fontId="2" fillId="14" borderId="36" xfId="0" applyNumberFormat="1" applyFont="1" applyFill="1" applyBorder="1" applyAlignment="1">
      <alignment horizontal="center" vertical="center"/>
    </xf>
    <xf numFmtId="3" fontId="2" fillId="14" borderId="31" xfId="0" applyNumberFormat="1" applyFont="1" applyFill="1" applyBorder="1" applyAlignment="1">
      <alignment horizontal="center" vertical="center"/>
    </xf>
    <xf numFmtId="3" fontId="2" fillId="14" borderId="33" xfId="0" applyNumberFormat="1" applyFont="1" applyFill="1" applyBorder="1" applyAlignment="1">
      <alignment horizontal="center" vertical="center"/>
    </xf>
    <xf numFmtId="3" fontId="2" fillId="14" borderId="34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13" fillId="0" borderId="0" xfId="0" applyFont="1" applyBorder="1" applyAlignment="1">
      <alignment horizontal="center" vertical="center" wrapText="1"/>
    </xf>
    <xf numFmtId="0" fontId="13" fillId="0" borderId="25" xfId="0" applyFont="1" applyBorder="1" applyAlignment="1">
      <alignment horizontal="center" vertical="center" wrapText="1"/>
    </xf>
    <xf numFmtId="0" fontId="4" fillId="11" borderId="40" xfId="0" applyFont="1" applyFill="1" applyBorder="1" applyAlignment="1">
      <alignment horizontal="center" vertical="center"/>
    </xf>
    <xf numFmtId="0" fontId="4" fillId="11" borderId="37" xfId="0" applyFont="1" applyFill="1" applyBorder="1" applyAlignment="1">
      <alignment horizontal="center" vertical="center"/>
    </xf>
    <xf numFmtId="0" fontId="4" fillId="11" borderId="53" xfId="0" applyFont="1" applyFill="1" applyBorder="1" applyAlignment="1">
      <alignment horizontal="center" vertical="center"/>
    </xf>
    <xf numFmtId="0" fontId="4" fillId="12" borderId="40" xfId="0" applyFont="1" applyFill="1" applyBorder="1" applyAlignment="1">
      <alignment horizontal="center" vertical="center"/>
    </xf>
    <xf numFmtId="0" fontId="4" fillId="12" borderId="37" xfId="0" applyFont="1" applyFill="1" applyBorder="1" applyAlignment="1">
      <alignment horizontal="center" vertical="center"/>
    </xf>
    <xf numFmtId="0" fontId="4" fillId="12" borderId="53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 wrapText="1"/>
    </xf>
    <xf numFmtId="0" fontId="2" fillId="0" borderId="30" xfId="0" applyFont="1" applyFill="1" applyBorder="1" applyAlignment="1">
      <alignment horizontal="center" vertical="center" wrapText="1"/>
    </xf>
    <xf numFmtId="0" fontId="2" fillId="0" borderId="46" xfId="0" applyFont="1" applyFill="1" applyBorder="1" applyAlignment="1">
      <alignment horizontal="center" vertical="center" wrapText="1"/>
    </xf>
    <xf numFmtId="0" fontId="2" fillId="0" borderId="17" xfId="0" applyFont="1" applyFill="1" applyBorder="1" applyAlignment="1">
      <alignment horizontal="center" vertical="center" wrapText="1"/>
    </xf>
    <xf numFmtId="0" fontId="2" fillId="0" borderId="28" xfId="0" applyFont="1" applyFill="1" applyBorder="1" applyAlignment="1">
      <alignment horizontal="center" vertical="center" wrapText="1"/>
    </xf>
    <xf numFmtId="0" fontId="2" fillId="0" borderId="49" xfId="0" applyFont="1" applyFill="1" applyBorder="1" applyAlignment="1">
      <alignment horizontal="center" vertical="center" wrapText="1"/>
    </xf>
    <xf numFmtId="0" fontId="4" fillId="0" borderId="40" xfId="0" applyFont="1" applyBorder="1" applyAlignment="1">
      <alignment horizontal="center" vertical="center"/>
    </xf>
    <xf numFmtId="0" fontId="4" fillId="0" borderId="37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 wrapText="1"/>
    </xf>
    <xf numFmtId="0" fontId="2" fillId="0" borderId="29" xfId="0" applyFont="1" applyFill="1" applyBorder="1" applyAlignment="1">
      <alignment horizontal="center" vertical="center" wrapText="1"/>
    </xf>
    <xf numFmtId="0" fontId="2" fillId="0" borderId="48" xfId="0" applyFont="1" applyFill="1" applyBorder="1" applyAlignment="1">
      <alignment horizontal="center" vertical="center" wrapText="1"/>
    </xf>
    <xf numFmtId="0" fontId="4" fillId="10" borderId="40" xfId="0" applyFont="1" applyFill="1" applyBorder="1" applyAlignment="1">
      <alignment horizontal="center" vertical="center"/>
    </xf>
    <xf numFmtId="0" fontId="4" fillId="10" borderId="37" xfId="0" applyFont="1" applyFill="1" applyBorder="1" applyAlignment="1">
      <alignment horizontal="center" vertical="center"/>
    </xf>
    <xf numFmtId="0" fontId="4" fillId="10" borderId="53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6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2" fillId="0" borderId="0" xfId="0" quotePrefix="1" applyFont="1" applyAlignment="1">
      <alignment vertical="center"/>
    </xf>
    <xf numFmtId="0" fontId="30" fillId="3" borderId="0" xfId="0" applyFont="1" applyFill="1"/>
  </cellXfs>
  <cellStyles count="3">
    <cellStyle name="Monétaire" xfId="2" builtinId="4"/>
    <cellStyle name="Normal" xfId="0" builtinId="0"/>
    <cellStyle name="Pourcentage" xfId="1" builtinId="5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3D1"/>
      <color rgb="FFFFC979"/>
      <color rgb="FFDE8400"/>
      <color rgb="FFFFB5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 Motivation - premium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6.8215223097112851E-2"/>
          <c:y val="0.17171296296296298"/>
          <c:w val="0.87295144356955379"/>
          <c:h val="0.7208876494604841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'Résultats par mois'!$L$26</c:f>
              <c:strCache>
                <c:ptCount val="1"/>
                <c:pt idx="0">
                  <c:v>Motivation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B8F-44E1-A415-8BC1CFE8BBE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B8F-44E1-A415-8BC1CFE8BBED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B8F-44E1-A415-8BC1CFE8BBE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B8F-44E1-A415-8BC1CFE8BBED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B8F-44E1-A415-8BC1CFE8BBED}"/>
              </c:ext>
            </c:extLst>
          </c:dPt>
          <c:cat>
            <c:strRef>
              <c:f>'Résultats par mois'!$L$27:$L$32</c:f>
              <c:strCache>
                <c:ptCount val="6"/>
                <c:pt idx="0">
                  <c:v>perte naturelle</c:v>
                </c:pt>
                <c:pt idx="1">
                  <c:v>Formation</c:v>
                </c:pt>
                <c:pt idx="2">
                  <c:v>challenges</c:v>
                </c:pt>
                <c:pt idx="3">
                  <c:v>Nb challenges</c:v>
                </c:pt>
                <c:pt idx="4">
                  <c:v>Accueil</c:v>
                </c:pt>
                <c:pt idx="5">
                  <c:v>Effet total</c:v>
                </c:pt>
              </c:strCache>
            </c:strRef>
          </c:cat>
          <c:val>
            <c:numRef>
              <c:f>'Résultats par mois'!$O$27:$O$32</c:f>
              <c:numCache>
                <c:formatCode>General</c:formatCode>
                <c:ptCount val="6"/>
                <c:pt idx="0">
                  <c:v>-5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-17.960000000000008</c:v>
                </c:pt>
                <c:pt idx="5">
                  <c:v>-20.960000000000008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B8F-44E1-A415-8BC1CFE8BB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74923168"/>
        <c:axId val="474923496"/>
      </c:barChart>
      <c:catAx>
        <c:axId val="47492316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474923496"/>
        <c:crosses val="autoZero"/>
        <c:auto val="1"/>
        <c:lblAlgn val="ctr"/>
        <c:lblOffset val="100"/>
        <c:noMultiLvlLbl val="0"/>
      </c:catAx>
      <c:valAx>
        <c:axId val="474923496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474923168"/>
        <c:crosses val="max"/>
        <c:crossBetween val="between"/>
        <c:majorUnit val="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Evolution de la motivation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Résultats_évolution!$B$9</c:f>
              <c:strCache>
                <c:ptCount val="1"/>
                <c:pt idx="0">
                  <c:v>junior</c:v>
                </c:pt>
              </c:strCache>
            </c:strRef>
          </c:tx>
          <c:spPr>
            <a:ln w="28575" cap="rnd">
              <a:solidFill>
                <a:srgbClr val="DE8400"/>
              </a:solidFill>
              <a:round/>
            </a:ln>
            <a:effectLst/>
          </c:spPr>
          <c:marker>
            <c:symbol val="none"/>
          </c:marker>
          <c:cat>
            <c:numRef>
              <c:f>Résultats_évolution!$C$8:$G$8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cat>
          <c:val>
            <c:numRef>
              <c:f>Résultats_évolution!$C$9:$G$9</c:f>
              <c:numCache>
                <c:formatCode>General</c:formatCode>
                <c:ptCount val="5"/>
                <c:pt idx="0">
                  <c:v>104.6</c:v>
                </c:pt>
                <c:pt idx="1">
                  <c:v>113.1</c:v>
                </c:pt>
                <c:pt idx="2">
                  <c:v>106.6</c:v>
                </c:pt>
                <c:pt idx="3">
                  <c:v>106.6</c:v>
                </c:pt>
                <c:pt idx="4">
                  <c:v>101.1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82-4293-A801-F16ACAEB3ACC}"/>
            </c:ext>
          </c:extLst>
        </c:ser>
        <c:ser>
          <c:idx val="1"/>
          <c:order val="1"/>
          <c:tx>
            <c:strRef>
              <c:f>Résultats_évolution!$B$10</c:f>
              <c:strCache>
                <c:ptCount val="1"/>
                <c:pt idx="0">
                  <c:v>senior</c:v>
                </c:pt>
              </c:strCache>
            </c:strRef>
          </c:tx>
          <c:spPr>
            <a:ln w="28575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Résultats_évolution!$C$8:$G$8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cat>
          <c:val>
            <c:numRef>
              <c:f>Résultats_évolution!$C$10:$G$10</c:f>
              <c:numCache>
                <c:formatCode>General</c:formatCode>
                <c:ptCount val="5"/>
                <c:pt idx="0">
                  <c:v>81.95</c:v>
                </c:pt>
                <c:pt idx="1">
                  <c:v>86.05</c:v>
                </c:pt>
                <c:pt idx="2">
                  <c:v>81.849999999999994</c:v>
                </c:pt>
                <c:pt idx="3">
                  <c:v>78.949999999999989</c:v>
                </c:pt>
                <c:pt idx="4">
                  <c:v>76.249999999999986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82-4293-A801-F16ACAEB3ACC}"/>
            </c:ext>
          </c:extLst>
        </c:ser>
        <c:ser>
          <c:idx val="2"/>
          <c:order val="2"/>
          <c:tx>
            <c:strRef>
              <c:f>Résultats_évolution!$B$11</c:f>
              <c:strCache>
                <c:ptCount val="1"/>
                <c:pt idx="0">
                  <c:v>premium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Résultats_évolution!$C$8:$G$8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cat>
          <c:val>
            <c:numRef>
              <c:f>Résultats_évolution!$C$11:$G$11</c:f>
              <c:numCache>
                <c:formatCode>General</c:formatCode>
                <c:ptCount val="5"/>
                <c:pt idx="0">
                  <c:v>85.639999999999986</c:v>
                </c:pt>
                <c:pt idx="1">
                  <c:v>76.639999999999986</c:v>
                </c:pt>
                <c:pt idx="2">
                  <c:v>69.139999999999986</c:v>
                </c:pt>
                <c:pt idx="3">
                  <c:v>65.139999999999986</c:v>
                </c:pt>
                <c:pt idx="4">
                  <c:v>65.639999999999986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82-4293-A801-F16ACAEB3ACC}"/>
            </c:ext>
          </c:extLst>
        </c:ser>
        <c:ser>
          <c:idx val="3"/>
          <c:order val="3"/>
          <c:tx>
            <c:strRef>
              <c:f>Résultats_évolution!$B$12</c:f>
              <c:strCache>
                <c:ptCount val="1"/>
                <c:pt idx="0">
                  <c:v>moyenne</c:v>
                </c:pt>
              </c:strCache>
            </c:strRef>
          </c:tx>
          <c:spPr>
            <a:ln w="952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Résultats_évolution!$C$8:$G$8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cat>
          <c:val>
            <c:numRef>
              <c:f>Résultats_évolution!$C$12:$G$12</c:f>
              <c:numCache>
                <c:formatCode>0.0</c:formatCode>
                <c:ptCount val="5"/>
                <c:pt idx="0">
                  <c:v>90.73</c:v>
                </c:pt>
                <c:pt idx="1">
                  <c:v>91.929999999999993</c:v>
                </c:pt>
                <c:pt idx="2">
                  <c:v>85.86333333333333</c:v>
                </c:pt>
                <c:pt idx="3">
                  <c:v>83.563333333333318</c:v>
                </c:pt>
                <c:pt idx="4">
                  <c:v>80.996666666666655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82-4293-A801-F16ACAEB3A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6310384"/>
        <c:axId val="776305792"/>
      </c:lineChart>
      <c:catAx>
        <c:axId val="776310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76305792"/>
        <c:crosses val="autoZero"/>
        <c:auto val="1"/>
        <c:lblAlgn val="ctr"/>
        <c:lblOffset val="100"/>
        <c:noMultiLvlLbl val="0"/>
      </c:catAx>
      <c:valAx>
        <c:axId val="77630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76310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Evolution de la compétence moyenne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Résultats_évolution!$B$6</c:f>
              <c:strCache>
                <c:ptCount val="1"/>
                <c:pt idx="0">
                  <c:v>compétence moyenne</c:v>
                </c:pt>
              </c:strCache>
            </c:strRef>
          </c:tx>
          <c:spPr>
            <a:ln w="28575" cap="rnd">
              <a:solidFill>
                <a:schemeClr val="tx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Résultats_évolution!$C$8:$G$8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cat>
          <c:val>
            <c:numRef>
              <c:f>Résultats_évolution!$C$6:$G$6</c:f>
              <c:numCache>
                <c:formatCode>0.00</c:formatCode>
                <c:ptCount val="5"/>
                <c:pt idx="0">
                  <c:v>0.83333333333333337</c:v>
                </c:pt>
                <c:pt idx="1">
                  <c:v>1</c:v>
                </c:pt>
                <c:pt idx="2">
                  <c:v>1.2</c:v>
                </c:pt>
                <c:pt idx="3">
                  <c:v>1.4000000000000001</c:v>
                </c:pt>
                <c:pt idx="4">
                  <c:v>1.5999999999999999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90-4911-ACE4-65837B09D3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6310384"/>
        <c:axId val="776305792"/>
      </c:lineChart>
      <c:catAx>
        <c:axId val="776310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76305792"/>
        <c:crosses val="autoZero"/>
        <c:auto val="1"/>
        <c:lblAlgn val="ctr"/>
        <c:lblOffset val="100"/>
        <c:noMultiLvlLbl val="0"/>
      </c:catAx>
      <c:valAx>
        <c:axId val="776305792"/>
        <c:scaling>
          <c:orientation val="minMax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ash"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76310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Evolution de la satisfaction</a:t>
            </a:r>
            <a:r>
              <a:rPr lang="fr-FR" baseline="0"/>
              <a:t> client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Résultats_évolution!$B$15</c:f>
              <c:strCache>
                <c:ptCount val="1"/>
                <c:pt idx="0">
                  <c:v>Satisfaction client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Résultats_évolution!$C$8:$G$8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cat>
          <c:val>
            <c:numRef>
              <c:f>Résultats_évolution!$C$15:$G$15</c:f>
              <c:numCache>
                <c:formatCode>0.0</c:formatCode>
                <c:ptCount val="5"/>
                <c:pt idx="0" formatCode="#,##0">
                  <c:v>93.085762610773244</c:v>
                </c:pt>
                <c:pt idx="1">
                  <c:v>89.864762739668279</c:v>
                </c:pt>
                <c:pt idx="2">
                  <c:v>96.896429594089568</c:v>
                </c:pt>
                <c:pt idx="3">
                  <c:v>108.9114297870596</c:v>
                </c:pt>
                <c:pt idx="4">
                  <c:v>124.37642992936568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90-4911-ACE4-65837B09D3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6310384"/>
        <c:axId val="776305792"/>
      </c:lineChart>
      <c:catAx>
        <c:axId val="776310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76305792"/>
        <c:crosses val="autoZero"/>
        <c:auto val="1"/>
        <c:lblAlgn val="ctr"/>
        <c:lblOffset val="100"/>
        <c:noMultiLvlLbl val="0"/>
      </c:catAx>
      <c:valAx>
        <c:axId val="77630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ash"/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76310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Evolution du nombre de litiges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Résultats_évolution!$B$18</c:f>
              <c:strCache>
                <c:ptCount val="1"/>
                <c:pt idx="0">
                  <c:v>Nombre de litiges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>
                  <a:lumMod val="50000"/>
                  <a:lumOff val="50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6-45F2-AB4B-9DF4FF574575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95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5D46-45F2-AB4B-9DF4FF574575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5D46-45F2-AB4B-9DF4FF574575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5D46-45F2-AB4B-9DF4FF574575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4">
                  <a:lumMod val="20000"/>
                  <a:lumOff val="80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5D46-45F2-AB4B-9DF4FF574575}"/>
              </c:ext>
            </c:extLst>
          </c:dPt>
          <c:cat>
            <c:numRef>
              <c:f>Résultats_évolution!$C$8:$G$8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cat>
          <c:val>
            <c:numRef>
              <c:f>Résultats_évolution!$C$18:$G$18</c:f>
              <c:numCache>
                <c:formatCode>#,##0</c:formatCode>
                <c:ptCount val="5"/>
                <c:pt idx="0">
                  <c:v>27</c:v>
                </c:pt>
                <c:pt idx="1">
                  <c:v>16</c:v>
                </c:pt>
                <c:pt idx="2">
                  <c:v>8</c:v>
                </c:pt>
                <c:pt idx="3">
                  <c:v>9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FF-4174-B131-B886083B8F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6310384"/>
        <c:axId val="776305792"/>
      </c:barChart>
      <c:catAx>
        <c:axId val="776310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76305792"/>
        <c:crosses val="autoZero"/>
        <c:auto val="1"/>
        <c:lblAlgn val="ctr"/>
        <c:lblOffset val="100"/>
        <c:noMultiLvlLbl val="0"/>
      </c:catAx>
      <c:valAx>
        <c:axId val="77630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ash"/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7631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Evolution du</a:t>
            </a:r>
            <a:r>
              <a:rPr lang="fr-FR" baseline="0"/>
              <a:t> nombre de clients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Résultats_évolution!$B$22</c:f>
              <c:strCache>
                <c:ptCount val="1"/>
                <c:pt idx="0">
                  <c:v>junior</c:v>
                </c:pt>
              </c:strCache>
            </c:strRef>
          </c:tx>
          <c:spPr>
            <a:ln w="28575" cap="rnd">
              <a:solidFill>
                <a:srgbClr val="DE8400"/>
              </a:solidFill>
              <a:round/>
            </a:ln>
            <a:effectLst/>
          </c:spPr>
          <c:marker>
            <c:symbol val="none"/>
          </c:marker>
          <c:cat>
            <c:numRef>
              <c:f>Résultats_évolution!$J$8:$N$8</c:f>
              <c:numCache>
                <c:formatCode>General</c:formatCode>
                <c:ptCount val="5"/>
              </c:numCache>
            </c:numRef>
          </c:cat>
          <c:val>
            <c:numRef>
              <c:f>Résultats_évolution!$C$22:$G$22</c:f>
              <c:numCache>
                <c:formatCode>#,##0</c:formatCode>
                <c:ptCount val="5"/>
                <c:pt idx="0">
                  <c:v>1705</c:v>
                </c:pt>
                <c:pt idx="1">
                  <c:v>1687</c:v>
                </c:pt>
                <c:pt idx="2">
                  <c:v>1749</c:v>
                </c:pt>
                <c:pt idx="3">
                  <c:v>1936</c:v>
                </c:pt>
                <c:pt idx="4">
                  <c:v>1877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0A-4101-9BA8-C81FE6DD0E29}"/>
            </c:ext>
          </c:extLst>
        </c:ser>
        <c:ser>
          <c:idx val="1"/>
          <c:order val="1"/>
          <c:tx>
            <c:strRef>
              <c:f>Résultats_évolution!$B$23</c:f>
              <c:strCache>
                <c:ptCount val="1"/>
                <c:pt idx="0">
                  <c:v>senior</c:v>
                </c:pt>
              </c:strCache>
            </c:strRef>
          </c:tx>
          <c:spPr>
            <a:ln w="28575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Résultats_évolution!$J$8:$N$8</c:f>
              <c:numCache>
                <c:formatCode>General</c:formatCode>
                <c:ptCount val="5"/>
              </c:numCache>
            </c:numRef>
          </c:cat>
          <c:val>
            <c:numRef>
              <c:f>Résultats_évolution!$C$23:$G$23</c:f>
              <c:numCache>
                <c:formatCode>#,##0</c:formatCode>
                <c:ptCount val="5"/>
                <c:pt idx="0">
                  <c:v>1137</c:v>
                </c:pt>
                <c:pt idx="1">
                  <c:v>1159</c:v>
                </c:pt>
                <c:pt idx="2">
                  <c:v>1236</c:v>
                </c:pt>
                <c:pt idx="3">
                  <c:v>1394</c:v>
                </c:pt>
                <c:pt idx="4">
                  <c:v>1477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0A-4101-9BA8-C81FE6DD0E29}"/>
            </c:ext>
          </c:extLst>
        </c:ser>
        <c:ser>
          <c:idx val="2"/>
          <c:order val="2"/>
          <c:tx>
            <c:strRef>
              <c:f>Résultats_évolution!$B$24</c:f>
              <c:strCache>
                <c:ptCount val="1"/>
                <c:pt idx="0">
                  <c:v>premium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Résultats_évolution!$J$8:$N$8</c:f>
              <c:numCache>
                <c:formatCode>General</c:formatCode>
                <c:ptCount val="5"/>
              </c:numCache>
            </c:numRef>
          </c:cat>
          <c:val>
            <c:numRef>
              <c:f>Résultats_évolution!$C$24:$G$24</c:f>
              <c:numCache>
                <c:formatCode>#,##0</c:formatCode>
                <c:ptCount val="5"/>
                <c:pt idx="0">
                  <c:v>663</c:v>
                </c:pt>
                <c:pt idx="1">
                  <c:v>702</c:v>
                </c:pt>
                <c:pt idx="2">
                  <c:v>777</c:v>
                </c:pt>
                <c:pt idx="3">
                  <c:v>924</c:v>
                </c:pt>
                <c:pt idx="4">
                  <c:v>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0A-4101-9BA8-C81FE6DD0E29}"/>
            </c:ext>
          </c:extLst>
        </c:ser>
        <c:ser>
          <c:idx val="3"/>
          <c:order val="3"/>
          <c:tx>
            <c:strRef>
              <c:f>Résultats_évolution!$B$25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Résultats_évolution!$J$8:$N$8</c:f>
              <c:numCache>
                <c:formatCode>General</c:formatCode>
                <c:ptCount val="5"/>
              </c:numCache>
            </c:numRef>
          </c:cat>
          <c:val>
            <c:numRef>
              <c:f>Résultats_évolution!$C$25:$G$25</c:f>
              <c:numCache>
                <c:formatCode>#,##0</c:formatCode>
                <c:ptCount val="5"/>
                <c:pt idx="0">
                  <c:v>3505</c:v>
                </c:pt>
                <c:pt idx="1">
                  <c:v>3548</c:v>
                </c:pt>
                <c:pt idx="2">
                  <c:v>3762</c:v>
                </c:pt>
                <c:pt idx="3">
                  <c:v>4254</c:v>
                </c:pt>
                <c:pt idx="4">
                  <c:v>4351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90A-4101-9BA8-C81FE6DD0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6310384"/>
        <c:axId val="776305792"/>
      </c:lineChart>
      <c:catAx>
        <c:axId val="776310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76305792"/>
        <c:crosses val="autoZero"/>
        <c:auto val="1"/>
        <c:lblAlgn val="ctr"/>
        <c:lblOffset val="100"/>
        <c:noMultiLvlLbl val="0"/>
      </c:catAx>
      <c:valAx>
        <c:axId val="77630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ash"/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76310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6563759726847442E-2"/>
          <c:y val="0.86608016638692142"/>
          <c:w val="0.71996708551799149"/>
          <c:h val="8.10727689327351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Composition du</a:t>
            </a:r>
            <a:r>
              <a:rPr lang="fr-FR" baseline="0"/>
              <a:t> </a:t>
            </a:r>
            <a:r>
              <a:rPr lang="fr-FR"/>
              <a:t>PNB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Résultats_évolution!$B$28</c:f>
              <c:strCache>
                <c:ptCount val="1"/>
                <c:pt idx="0">
                  <c:v>Collecte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Résultats_évolution!$C$27:$G$27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cat>
          <c:val>
            <c:numRef>
              <c:f>Résultats_évolution!$C$28:$G$28</c:f>
              <c:numCache>
                <c:formatCode>#,##0</c:formatCode>
                <c:ptCount val="5"/>
                <c:pt idx="0">
                  <c:v>19347.241020000001</c:v>
                </c:pt>
                <c:pt idx="1">
                  <c:v>20177.759932851088</c:v>
                </c:pt>
                <c:pt idx="2">
                  <c:v>21812.343840170299</c:v>
                </c:pt>
                <c:pt idx="3">
                  <c:v>24929.880157918677</c:v>
                </c:pt>
                <c:pt idx="4">
                  <c:v>26229.062486360541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B8-48FA-BBB5-089DF48B92E8}"/>
            </c:ext>
          </c:extLst>
        </c:ser>
        <c:ser>
          <c:idx val="1"/>
          <c:order val="1"/>
          <c:tx>
            <c:strRef>
              <c:f>Résultats_évolution!$B$29</c:f>
              <c:strCache>
                <c:ptCount val="1"/>
                <c:pt idx="0">
                  <c:v>Crédit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Résultats_évolution!$C$27:$G$27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cat>
          <c:val>
            <c:numRef>
              <c:f>Résultats_évolution!$C$29:$G$29</c:f>
              <c:numCache>
                <c:formatCode>#,##0</c:formatCode>
                <c:ptCount val="5"/>
                <c:pt idx="0">
                  <c:v>40425.135532499997</c:v>
                </c:pt>
                <c:pt idx="1">
                  <c:v>41589.976381268978</c:v>
                </c:pt>
                <c:pt idx="2">
                  <c:v>45091.55214256703</c:v>
                </c:pt>
                <c:pt idx="3">
                  <c:v>51335.566690612977</c:v>
                </c:pt>
                <c:pt idx="4">
                  <c:v>53970.675250502718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B8-48FA-BBB5-089DF48B92E8}"/>
            </c:ext>
          </c:extLst>
        </c:ser>
        <c:ser>
          <c:idx val="2"/>
          <c:order val="2"/>
          <c:tx>
            <c:strRef>
              <c:f>Résultats_évolution!$B$30</c:f>
              <c:strCache>
                <c:ptCount val="1"/>
                <c:pt idx="0">
                  <c:v>Assurance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Résultats_évolution!$C$27:$G$27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cat>
          <c:val>
            <c:numRef>
              <c:f>Résultats_évolution!$C$30:$G$30</c:f>
              <c:numCache>
                <c:formatCode>#,##0</c:formatCode>
                <c:ptCount val="5"/>
                <c:pt idx="0">
                  <c:v>28474.100000000002</c:v>
                </c:pt>
                <c:pt idx="1">
                  <c:v>30672.155983237622</c:v>
                </c:pt>
                <c:pt idx="2">
                  <c:v>33715.519935059267</c:v>
                </c:pt>
                <c:pt idx="3">
                  <c:v>37837.792267561439</c:v>
                </c:pt>
                <c:pt idx="4">
                  <c:v>43143.76150731089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EB8-48FA-BBB5-089DF48B92E8}"/>
            </c:ext>
          </c:extLst>
        </c:ser>
        <c:ser>
          <c:idx val="3"/>
          <c:order val="3"/>
          <c:tx>
            <c:strRef>
              <c:f>Résultats_évolution!$B$31</c:f>
              <c:strCache>
                <c:ptCount val="1"/>
                <c:pt idx="0">
                  <c:v>Services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Résultats_évolution!$C$27:$G$27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cat>
          <c:val>
            <c:numRef>
              <c:f>Résultats_évolution!$C$31:$G$31</c:f>
              <c:numCache>
                <c:formatCode>#,##0</c:formatCode>
                <c:ptCount val="5"/>
                <c:pt idx="0">
                  <c:v>54996.6</c:v>
                </c:pt>
                <c:pt idx="1">
                  <c:v>59531.605958500048</c:v>
                </c:pt>
                <c:pt idx="2">
                  <c:v>63110.471875672476</c:v>
                </c:pt>
                <c:pt idx="3">
                  <c:v>71648.377983603743</c:v>
                </c:pt>
                <c:pt idx="4">
                  <c:v>76719.478991997079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EB8-48FA-BBB5-089DF48B9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56939160"/>
        <c:axId val="756941784"/>
      </c:barChart>
      <c:catAx>
        <c:axId val="756939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6941784"/>
        <c:crosses val="autoZero"/>
        <c:auto val="1"/>
        <c:lblAlgn val="ctr"/>
        <c:lblOffset val="100"/>
        <c:noMultiLvlLbl val="0"/>
      </c:catAx>
      <c:valAx>
        <c:axId val="756941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6939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PNB</a:t>
            </a:r>
            <a:r>
              <a:rPr lang="en-US" baseline="0"/>
              <a:t> Total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Résultats_évolution!$B$32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>
                  <a:lumMod val="50000"/>
                  <a:lumOff val="50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1B5F-42C8-A5A4-2D5AAACF38F4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95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1B5F-42C8-A5A4-2D5AAACF38F4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1B5F-42C8-A5A4-2D5AAACF38F4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1B5F-42C8-A5A4-2D5AAACF38F4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4">
                  <a:lumMod val="20000"/>
                  <a:lumOff val="80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1B5F-42C8-A5A4-2D5AAACF38F4}"/>
              </c:ext>
            </c:extLst>
          </c:dPt>
          <c:cat>
            <c:numRef>
              <c:f>Résultats_évolution!$C$27:$G$27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cat>
          <c:val>
            <c:numRef>
              <c:f>Résultats_évolution!$C$32:$G$32</c:f>
              <c:numCache>
                <c:formatCode>#,##0</c:formatCode>
                <c:ptCount val="5"/>
                <c:pt idx="0">
                  <c:v>143243.07655249999</c:v>
                </c:pt>
                <c:pt idx="1">
                  <c:v>151971.49825585773</c:v>
                </c:pt>
                <c:pt idx="2">
                  <c:v>163729.88779346907</c:v>
                </c:pt>
                <c:pt idx="3">
                  <c:v>185751.61709969683</c:v>
                </c:pt>
                <c:pt idx="4">
                  <c:v>200062.97823617124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5D-4815-A191-6AF496DD74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022400"/>
        <c:axId val="622026992"/>
      </c:barChart>
      <c:catAx>
        <c:axId val="622022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22026992"/>
        <c:crosses val="autoZero"/>
        <c:auto val="1"/>
        <c:lblAlgn val="ctr"/>
        <c:lblOffset val="100"/>
        <c:noMultiLvlLbl val="0"/>
      </c:catAx>
      <c:valAx>
        <c:axId val="622026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ash"/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22022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Evolution de la cotation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Résultats_évolution!$J$49:$N$49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cat>
          <c:val>
            <c:numRef>
              <c:f>Résultats_évolution!$J$66:$N$66</c:f>
              <c:numCache>
                <c:formatCode>0.0</c:formatCode>
                <c:ptCount val="5"/>
                <c:pt idx="0">
                  <c:v>34.688084491053296</c:v>
                </c:pt>
                <c:pt idx="1">
                  <c:v>42.716266824797152</c:v>
                </c:pt>
                <c:pt idx="2">
                  <c:v>46.8783048856194</c:v>
                </c:pt>
                <c:pt idx="3">
                  <c:v>56.816979387507182</c:v>
                </c:pt>
                <c:pt idx="4">
                  <c:v>64.248393103377353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91-4CAB-9E16-E2D841CA4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6825048"/>
        <c:axId val="666828328"/>
      </c:lineChart>
      <c:catAx>
        <c:axId val="666825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6828328"/>
        <c:crosses val="autoZero"/>
        <c:auto val="1"/>
        <c:lblAlgn val="ctr"/>
        <c:lblOffset val="100"/>
        <c:noMultiLvlLbl val="0"/>
      </c:catAx>
      <c:valAx>
        <c:axId val="666828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6825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fr-FR" b="1"/>
              <a:t>PNB généré (en €)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fr-F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'Résultats par mois'!$B$4:$B$13</c:f>
              <c:strCache>
                <c:ptCount val="10"/>
                <c:pt idx="0">
                  <c:v>Court terme</c:v>
                </c:pt>
                <c:pt idx="1">
                  <c:v>Moyen et long terme</c:v>
                </c:pt>
                <c:pt idx="2">
                  <c:v>Immobilier</c:v>
                </c:pt>
                <c:pt idx="3">
                  <c:v>Consommation</c:v>
                </c:pt>
                <c:pt idx="4">
                  <c:v>Renouvelable</c:v>
                </c:pt>
                <c:pt idx="5">
                  <c:v>IARD</c:v>
                </c:pt>
                <c:pt idx="6">
                  <c:v>Prévoyance</c:v>
                </c:pt>
                <c:pt idx="7">
                  <c:v>Moyens de paiement</c:v>
                </c:pt>
                <c:pt idx="8">
                  <c:v>Ouverture compte</c:v>
                </c:pt>
                <c:pt idx="9">
                  <c:v>Téléphonie</c:v>
                </c:pt>
              </c:strCache>
            </c:strRef>
          </c:cat>
          <c:val>
            <c:numRef>
              <c:f>'Résultats par mois'!$N$4:$N$13</c:f>
              <c:numCache>
                <c:formatCode>_-* #\ ##0\ "€"_-;\-* #\ ##0\ "€"_-;_-* "-"??\ "€"_-;_-@_-</c:formatCode>
                <c:ptCount val="10"/>
                <c:pt idx="0">
                  <c:v>3666.15762</c:v>
                </c:pt>
                <c:pt idx="1">
                  <c:v>15681.0834</c:v>
                </c:pt>
                <c:pt idx="2">
                  <c:v>36322.681499999992</c:v>
                </c:pt>
                <c:pt idx="3">
                  <c:v>2014.7242200000001</c:v>
                </c:pt>
                <c:pt idx="4">
                  <c:v>2087.7298125000002</c:v>
                </c:pt>
                <c:pt idx="5">
                  <c:v>15306.900000000001</c:v>
                </c:pt>
                <c:pt idx="6">
                  <c:v>13167.2</c:v>
                </c:pt>
                <c:pt idx="7">
                  <c:v>27737</c:v>
                </c:pt>
                <c:pt idx="8">
                  <c:v>27259.599999999999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47-46F8-B7C5-133AF26B9C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10828248"/>
        <c:axId val="710826936"/>
      </c:barChart>
      <c:catAx>
        <c:axId val="71082824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710826936"/>
        <c:crosses val="autoZero"/>
        <c:auto val="1"/>
        <c:lblAlgn val="ctr"/>
        <c:lblOffset val="100"/>
        <c:noMultiLvlLbl val="0"/>
      </c:catAx>
      <c:valAx>
        <c:axId val="71082693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_-* #\ ##0\ &quot;€&quot;_-;\-* #\ ##0\ &quot;€&quot;_-;_-* &quot;-&quot;??\ &quot;€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710828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Nombre de RV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'Résultats par mois'!$B$18</c:f>
              <c:strCache>
                <c:ptCount val="1"/>
                <c:pt idx="0">
                  <c:v>Collecte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'Résultats par mois'!$C$17:$E$17</c:f>
              <c:strCache>
                <c:ptCount val="3"/>
                <c:pt idx="0">
                  <c:v>junior</c:v>
                </c:pt>
                <c:pt idx="1">
                  <c:v>senior</c:v>
                </c:pt>
                <c:pt idx="2">
                  <c:v>premium</c:v>
                </c:pt>
              </c:strCache>
            </c:strRef>
          </c:cat>
          <c:val>
            <c:numRef>
              <c:f>'Résultats par mois'!$C$18:$E$18</c:f>
              <c:numCache>
                <c:formatCode>#,##0</c:formatCode>
                <c:ptCount val="3"/>
                <c:pt idx="0">
                  <c:v>70</c:v>
                </c:pt>
                <c:pt idx="1">
                  <c:v>28</c:v>
                </c:pt>
                <c:pt idx="2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F30-8FE4-C64745E633CC}"/>
            </c:ext>
          </c:extLst>
        </c:ser>
        <c:ser>
          <c:idx val="1"/>
          <c:order val="1"/>
          <c:tx>
            <c:strRef>
              <c:f>'Résultats par mois'!$B$19</c:f>
              <c:strCache>
                <c:ptCount val="1"/>
                <c:pt idx="0">
                  <c:v>Crédit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'Résultats par mois'!$C$17:$E$17</c:f>
              <c:strCache>
                <c:ptCount val="3"/>
                <c:pt idx="0">
                  <c:v>junior</c:v>
                </c:pt>
                <c:pt idx="1">
                  <c:v>senior</c:v>
                </c:pt>
                <c:pt idx="2">
                  <c:v>premium</c:v>
                </c:pt>
              </c:strCache>
            </c:strRef>
          </c:cat>
          <c:val>
            <c:numRef>
              <c:f>'Résultats par mois'!$C$19:$E$19</c:f>
              <c:numCache>
                <c:formatCode>#,##0</c:formatCode>
                <c:ptCount val="3"/>
                <c:pt idx="0">
                  <c:v>20</c:v>
                </c:pt>
                <c:pt idx="1">
                  <c:v>47</c:v>
                </c:pt>
                <c:pt idx="2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EC-4F30-8FE4-C64745E633CC}"/>
            </c:ext>
          </c:extLst>
        </c:ser>
        <c:ser>
          <c:idx val="2"/>
          <c:order val="2"/>
          <c:tx>
            <c:strRef>
              <c:f>'Résultats par mois'!$B$20</c:f>
              <c:strCache>
                <c:ptCount val="1"/>
                <c:pt idx="0">
                  <c:v>Assurance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'Résultats par mois'!$C$17:$E$17</c:f>
              <c:strCache>
                <c:ptCount val="3"/>
                <c:pt idx="0">
                  <c:v>junior</c:v>
                </c:pt>
                <c:pt idx="1">
                  <c:v>senior</c:v>
                </c:pt>
                <c:pt idx="2">
                  <c:v>premium</c:v>
                </c:pt>
              </c:strCache>
            </c:strRef>
          </c:cat>
          <c:val>
            <c:numRef>
              <c:f>'Résultats par mois'!$C$20:$E$20</c:f>
              <c:numCache>
                <c:formatCode>#,##0</c:formatCode>
                <c:ptCount val="3"/>
                <c:pt idx="0">
                  <c:v>0</c:v>
                </c:pt>
                <c:pt idx="1">
                  <c:v>38</c:v>
                </c:pt>
                <c:pt idx="2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EC-4F30-8FE4-C64745E633CC}"/>
            </c:ext>
          </c:extLst>
        </c:ser>
        <c:ser>
          <c:idx val="3"/>
          <c:order val="3"/>
          <c:tx>
            <c:strRef>
              <c:f>'Résultats par mois'!$B$21</c:f>
              <c:strCache>
                <c:ptCount val="1"/>
                <c:pt idx="0">
                  <c:v>Services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'Résultats par mois'!$C$17:$E$17</c:f>
              <c:strCache>
                <c:ptCount val="3"/>
                <c:pt idx="0">
                  <c:v>junior</c:v>
                </c:pt>
                <c:pt idx="1">
                  <c:v>senior</c:v>
                </c:pt>
                <c:pt idx="2">
                  <c:v>premium</c:v>
                </c:pt>
              </c:strCache>
            </c:strRef>
          </c:cat>
          <c:val>
            <c:numRef>
              <c:f>'Résultats par mois'!$C$21:$E$21</c:f>
              <c:numCache>
                <c:formatCode>#,##0</c:formatCode>
                <c:ptCount val="3"/>
                <c:pt idx="0">
                  <c:v>114</c:v>
                </c:pt>
                <c:pt idx="1">
                  <c:v>46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CEC-4F30-8FE4-C64745E633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5405848"/>
        <c:axId val="775402568"/>
      </c:barChart>
      <c:catAx>
        <c:axId val="775405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75402568"/>
        <c:crosses val="autoZero"/>
        <c:auto val="1"/>
        <c:lblAlgn val="ctr"/>
        <c:lblOffset val="100"/>
        <c:noMultiLvlLbl val="0"/>
      </c:catAx>
      <c:valAx>
        <c:axId val="77540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75405848"/>
        <c:crosses val="autoZero"/>
        <c:crossBetween val="between"/>
      </c:valAx>
      <c:spPr>
        <a:noFill/>
        <a:ln>
          <a:noFill/>
          <a:prstDash val="dash"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Nombre de souscriptions / RV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'Résultats par mois'!$B$18</c:f>
              <c:strCache>
                <c:ptCount val="1"/>
                <c:pt idx="0">
                  <c:v>Collecte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'Résultats par mois'!$G$17:$I$17</c:f>
              <c:strCache>
                <c:ptCount val="3"/>
                <c:pt idx="0">
                  <c:v>junior</c:v>
                </c:pt>
                <c:pt idx="1">
                  <c:v>senior</c:v>
                </c:pt>
                <c:pt idx="2">
                  <c:v>premium</c:v>
                </c:pt>
              </c:strCache>
            </c:strRef>
          </c:cat>
          <c:val>
            <c:numRef>
              <c:f>'Résultats par mois'!$G$18:$I$18</c:f>
              <c:numCache>
                <c:formatCode>0.00</c:formatCode>
                <c:ptCount val="3"/>
                <c:pt idx="0">
                  <c:v>0.72857142857142854</c:v>
                </c:pt>
                <c:pt idx="1">
                  <c:v>0.5714285714285714</c:v>
                </c:pt>
                <c:pt idx="2">
                  <c:v>0.41935483870967744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64-47AC-8E7C-0D0A5C418E6D}"/>
            </c:ext>
          </c:extLst>
        </c:ser>
        <c:ser>
          <c:idx val="1"/>
          <c:order val="1"/>
          <c:tx>
            <c:strRef>
              <c:f>'Résultats par mois'!$B$19</c:f>
              <c:strCache>
                <c:ptCount val="1"/>
                <c:pt idx="0">
                  <c:v>Crédit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'Résultats par mois'!$G$17:$I$17</c:f>
              <c:strCache>
                <c:ptCount val="3"/>
                <c:pt idx="0">
                  <c:v>junior</c:v>
                </c:pt>
                <c:pt idx="1">
                  <c:v>senior</c:v>
                </c:pt>
                <c:pt idx="2">
                  <c:v>premium</c:v>
                </c:pt>
              </c:strCache>
            </c:strRef>
          </c:cat>
          <c:val>
            <c:numRef>
              <c:f>'Résultats par mois'!$G$19:$I$19</c:f>
              <c:numCache>
                <c:formatCode>0.00</c:formatCode>
                <c:ptCount val="3"/>
                <c:pt idx="0">
                  <c:v>0.4</c:v>
                </c:pt>
                <c:pt idx="1">
                  <c:v>0.40425531914893614</c:v>
                </c:pt>
                <c:pt idx="2">
                  <c:v>0.39285714285714285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64-47AC-8E7C-0D0A5C418E6D}"/>
            </c:ext>
          </c:extLst>
        </c:ser>
        <c:ser>
          <c:idx val="2"/>
          <c:order val="2"/>
          <c:tx>
            <c:strRef>
              <c:f>'Résultats par mois'!$B$20</c:f>
              <c:strCache>
                <c:ptCount val="1"/>
                <c:pt idx="0">
                  <c:v>Assurance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'Résultats par mois'!$G$17:$I$17</c:f>
              <c:strCache>
                <c:ptCount val="3"/>
                <c:pt idx="0">
                  <c:v>junior</c:v>
                </c:pt>
                <c:pt idx="1">
                  <c:v>senior</c:v>
                </c:pt>
                <c:pt idx="2">
                  <c:v>premium</c:v>
                </c:pt>
              </c:strCache>
            </c:strRef>
          </c:cat>
          <c:val>
            <c:numRef>
              <c:f>'Résultats par mois'!$G$20:$I$20</c:f>
              <c:numCache>
                <c:formatCode>0.00</c:formatCode>
                <c:ptCount val="3"/>
                <c:pt idx="0">
                  <c:v>0</c:v>
                </c:pt>
                <c:pt idx="1">
                  <c:v>0.57894736842105265</c:v>
                </c:pt>
                <c:pt idx="2">
                  <c:v>0.5714285714285714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264-47AC-8E7C-0D0A5C418E6D}"/>
            </c:ext>
          </c:extLst>
        </c:ser>
        <c:ser>
          <c:idx val="3"/>
          <c:order val="3"/>
          <c:tx>
            <c:strRef>
              <c:f>'Résultats par mois'!$B$21</c:f>
              <c:strCache>
                <c:ptCount val="1"/>
                <c:pt idx="0">
                  <c:v>Services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'Résultats par mois'!$G$17:$I$17</c:f>
              <c:strCache>
                <c:ptCount val="3"/>
                <c:pt idx="0">
                  <c:v>junior</c:v>
                </c:pt>
                <c:pt idx="1">
                  <c:v>senior</c:v>
                </c:pt>
                <c:pt idx="2">
                  <c:v>premium</c:v>
                </c:pt>
              </c:strCache>
            </c:strRef>
          </c:cat>
          <c:val>
            <c:numRef>
              <c:f>'Résultats par mois'!$G$21:$I$21</c:f>
              <c:numCache>
                <c:formatCode>0.00</c:formatCode>
                <c:ptCount val="3"/>
                <c:pt idx="0">
                  <c:v>0.76315789473684215</c:v>
                </c:pt>
                <c:pt idx="1">
                  <c:v>0.82608695652173914</c:v>
                </c:pt>
                <c:pt idx="2">
                  <c:v>0.69444444444444442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264-47AC-8E7C-0D0A5C418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5405848"/>
        <c:axId val="775402568"/>
      </c:barChart>
      <c:catAx>
        <c:axId val="775405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75402568"/>
        <c:crosses val="autoZero"/>
        <c:auto val="1"/>
        <c:lblAlgn val="ctr"/>
        <c:lblOffset val="100"/>
        <c:noMultiLvlLbl val="0"/>
      </c:catAx>
      <c:valAx>
        <c:axId val="77540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75405848"/>
        <c:crosses val="autoZero"/>
        <c:crossBetween val="between"/>
      </c:valAx>
      <c:spPr>
        <a:noFill/>
        <a:ln>
          <a:noFill/>
          <a:prstDash val="dash"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PNB généré (€)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'Résultats par mois'!$B$18</c:f>
              <c:strCache>
                <c:ptCount val="1"/>
                <c:pt idx="0">
                  <c:v>Collecte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'Résultats par mois'!$K$17:$M$17</c:f>
              <c:strCache>
                <c:ptCount val="3"/>
                <c:pt idx="0">
                  <c:v>junior</c:v>
                </c:pt>
                <c:pt idx="1">
                  <c:v>senior</c:v>
                </c:pt>
                <c:pt idx="2">
                  <c:v>premium</c:v>
                </c:pt>
              </c:strCache>
            </c:strRef>
          </c:cat>
          <c:val>
            <c:numRef>
              <c:f>'Résultats par mois'!$K$18:$M$18</c:f>
              <c:numCache>
                <c:formatCode>_-* #\ ##0\ "€"_-;\-* #\ ##0\ "€"_-;_-* "-"??\ "€"_-;_-@_-</c:formatCode>
                <c:ptCount val="3"/>
                <c:pt idx="0">
                  <c:v>4278.9941999999992</c:v>
                </c:pt>
                <c:pt idx="1">
                  <c:v>7323.8191200000001</c:v>
                </c:pt>
                <c:pt idx="2">
                  <c:v>7744.4277000000002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EA-47B5-BDDF-2C6798E3E9A5}"/>
            </c:ext>
          </c:extLst>
        </c:ser>
        <c:ser>
          <c:idx val="1"/>
          <c:order val="1"/>
          <c:tx>
            <c:strRef>
              <c:f>'Résultats par mois'!$B$19</c:f>
              <c:strCache>
                <c:ptCount val="1"/>
                <c:pt idx="0">
                  <c:v>Crédit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'Résultats par mois'!$K$17:$M$17</c:f>
              <c:strCache>
                <c:ptCount val="3"/>
                <c:pt idx="0">
                  <c:v>junior</c:v>
                </c:pt>
                <c:pt idx="1">
                  <c:v>senior</c:v>
                </c:pt>
                <c:pt idx="2">
                  <c:v>premium</c:v>
                </c:pt>
              </c:strCache>
            </c:strRef>
          </c:cat>
          <c:val>
            <c:numRef>
              <c:f>'Résultats par mois'!$K$19:$M$19</c:f>
              <c:numCache>
                <c:formatCode>_-* #\ ##0\ "€"_-;\-* #\ ##0\ "€"_-;_-* "-"??\ "€"_-;_-@_-</c:formatCode>
                <c:ptCount val="3"/>
                <c:pt idx="0">
                  <c:v>12176.497049999998</c:v>
                </c:pt>
                <c:pt idx="1">
                  <c:v>16838.463679999997</c:v>
                </c:pt>
                <c:pt idx="2">
                  <c:v>11410.174802499998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EA-47B5-BDDF-2C6798E3E9A5}"/>
            </c:ext>
          </c:extLst>
        </c:ser>
        <c:ser>
          <c:idx val="2"/>
          <c:order val="2"/>
          <c:tx>
            <c:strRef>
              <c:f>'Résultats par mois'!$B$20</c:f>
              <c:strCache>
                <c:ptCount val="1"/>
                <c:pt idx="0">
                  <c:v>Assurance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'Résultats par mois'!$K$17:$M$17</c:f>
              <c:strCache>
                <c:ptCount val="3"/>
                <c:pt idx="0">
                  <c:v>junior</c:v>
                </c:pt>
                <c:pt idx="1">
                  <c:v>senior</c:v>
                </c:pt>
                <c:pt idx="2">
                  <c:v>premium</c:v>
                </c:pt>
              </c:strCache>
            </c:strRef>
          </c:cat>
          <c:val>
            <c:numRef>
              <c:f>'Résultats par mois'!$K$20:$M$20</c:f>
              <c:numCache>
                <c:formatCode>_-* #\ ##0\ "€"_-;\-* #\ ##0\ "€"_-;_-* "-"??\ "€"_-;_-@_-</c:formatCode>
                <c:ptCount val="3"/>
                <c:pt idx="0">
                  <c:v>9718.5</c:v>
                </c:pt>
                <c:pt idx="1">
                  <c:v>10500.4</c:v>
                </c:pt>
                <c:pt idx="2">
                  <c:v>8255.2000000000007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EA-47B5-BDDF-2C6798E3E9A5}"/>
            </c:ext>
          </c:extLst>
        </c:ser>
        <c:ser>
          <c:idx val="3"/>
          <c:order val="3"/>
          <c:tx>
            <c:strRef>
              <c:f>'Résultats par mois'!$B$21</c:f>
              <c:strCache>
                <c:ptCount val="1"/>
                <c:pt idx="0">
                  <c:v>Services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'Résultats par mois'!$K$17:$M$17</c:f>
              <c:strCache>
                <c:ptCount val="3"/>
                <c:pt idx="0">
                  <c:v>junior</c:v>
                </c:pt>
                <c:pt idx="1">
                  <c:v>senior</c:v>
                </c:pt>
                <c:pt idx="2">
                  <c:v>premium</c:v>
                </c:pt>
              </c:strCache>
            </c:strRef>
          </c:cat>
          <c:val>
            <c:numRef>
              <c:f>'Résultats par mois'!$K$21:$M$21</c:f>
              <c:numCache>
                <c:formatCode>_-* #\ ##0\ "€"_-;\-* #\ ##0\ "€"_-;_-* "-"??\ "€"_-;_-@_-</c:formatCode>
                <c:ptCount val="3"/>
                <c:pt idx="0">
                  <c:v>21699</c:v>
                </c:pt>
                <c:pt idx="1">
                  <c:v>18154.199999999997</c:v>
                </c:pt>
                <c:pt idx="2">
                  <c:v>15143.400000000001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7EA-47B5-BDDF-2C6798E3E9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5405848"/>
        <c:axId val="775402568"/>
      </c:barChart>
      <c:catAx>
        <c:axId val="775405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75402568"/>
        <c:crosses val="autoZero"/>
        <c:auto val="1"/>
        <c:lblAlgn val="ctr"/>
        <c:lblOffset val="100"/>
        <c:noMultiLvlLbl val="0"/>
      </c:catAx>
      <c:valAx>
        <c:axId val="77540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\ &quot;€&quot;_-;\-* #\ ##0\ &quot;€&quot;_-;_-* &quot;-&quot;??\ &quot;€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75405848"/>
        <c:crosses val="autoZero"/>
        <c:crossBetween val="between"/>
      </c:valAx>
      <c:spPr>
        <a:noFill/>
        <a:ln>
          <a:noFill/>
          <a:prstDash val="dash"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 Motivation - senior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6.8215223097112851E-2"/>
          <c:y val="0.17171296296296298"/>
          <c:w val="0.87295144356955379"/>
          <c:h val="0.7208876494604841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'Résultats par mois'!$L$26</c:f>
              <c:strCache>
                <c:ptCount val="1"/>
                <c:pt idx="0">
                  <c:v>Motivation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DC2-4955-98C7-072FBAF55E24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DC2-4955-98C7-072FBAF55E24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DC2-4955-98C7-072FBAF55E24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DC2-4955-98C7-072FBAF55E24}"/>
              </c:ext>
            </c:extLst>
          </c:dPt>
          <c:cat>
            <c:strRef>
              <c:f>'Résultats par mois'!$L$27:$L$32</c:f>
              <c:strCache>
                <c:ptCount val="6"/>
                <c:pt idx="0">
                  <c:v>perte naturelle</c:v>
                </c:pt>
                <c:pt idx="1">
                  <c:v>Formation</c:v>
                </c:pt>
                <c:pt idx="2">
                  <c:v>challenges</c:v>
                </c:pt>
                <c:pt idx="3">
                  <c:v>Nb challenges</c:v>
                </c:pt>
                <c:pt idx="4">
                  <c:v>Accueil</c:v>
                </c:pt>
                <c:pt idx="5">
                  <c:v>Effet total</c:v>
                </c:pt>
              </c:strCache>
            </c:strRef>
          </c:cat>
          <c:val>
            <c:numRef>
              <c:f>'Résultats par mois'!$N$27:$N$32</c:f>
              <c:numCache>
                <c:formatCode>General</c:formatCode>
                <c:ptCount val="6"/>
                <c:pt idx="0">
                  <c:v>-5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-1.6500000000000021</c:v>
                </c:pt>
                <c:pt idx="5">
                  <c:v>-4.6500000000000021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DC2-4955-98C7-072FBAF55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74923168"/>
        <c:axId val="474923496"/>
      </c:barChart>
      <c:catAx>
        <c:axId val="47492316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474923496"/>
        <c:crosses val="autoZero"/>
        <c:auto val="1"/>
        <c:lblAlgn val="ctr"/>
        <c:lblOffset val="100"/>
        <c:noMultiLvlLbl val="0"/>
      </c:catAx>
      <c:valAx>
        <c:axId val="474923496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474923168"/>
        <c:crosses val="max"/>
        <c:crossBetween val="between"/>
        <c:majorUnit val="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6.8215223097112851E-2"/>
          <c:y val="0.17171296296296298"/>
          <c:w val="0.87295144356955379"/>
          <c:h val="0.7208876494604841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'Résultats par mois'!$I$26</c:f>
              <c:strCache>
                <c:ptCount val="1"/>
                <c:pt idx="0">
                  <c:v>Satisfaction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F74-4CA0-9655-9D9AD6D38B77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74-4CA0-9655-9D9AD6D38B77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74-4CA0-9655-9D9AD6D38B77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F74-4CA0-9655-9D9AD6D38B77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74-4CA0-9655-9D9AD6D38B77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74-4CA0-9655-9D9AD6D38B77}"/>
              </c:ext>
            </c:extLst>
          </c:dPt>
          <c:dPt>
            <c:idx val="7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F74-4CA0-9655-9D9AD6D38B77}"/>
              </c:ext>
            </c:extLst>
          </c:dPt>
          <c:dPt>
            <c:idx val="8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F74-4CA0-9655-9D9AD6D38B7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'Résultats par mois'!$I$27:$I$35</c:f>
              <c:strCache>
                <c:ptCount val="9"/>
                <c:pt idx="0">
                  <c:v>perte naturelle</c:v>
                </c:pt>
                <c:pt idx="1">
                  <c:v>Positionnement</c:v>
                </c:pt>
                <c:pt idx="2">
                  <c:v>Préparation junior</c:v>
                </c:pt>
                <c:pt idx="3">
                  <c:v>Préparation senior</c:v>
                </c:pt>
                <c:pt idx="4">
                  <c:v>Préparation premium</c:v>
                </c:pt>
                <c:pt idx="5">
                  <c:v>Motivation</c:v>
                </c:pt>
                <c:pt idx="6">
                  <c:v>Compétence</c:v>
                </c:pt>
                <c:pt idx="7">
                  <c:v>Suivi du risque</c:v>
                </c:pt>
                <c:pt idx="8">
                  <c:v>Effet total</c:v>
                </c:pt>
              </c:strCache>
            </c:strRef>
          </c:cat>
          <c:val>
            <c:numRef>
              <c:f>'Résultats par mois'!$J$27:$J$35</c:f>
              <c:numCache>
                <c:formatCode>General</c:formatCode>
                <c:ptCount val="9"/>
                <c:pt idx="0">
                  <c:v>-5</c:v>
                </c:pt>
                <c:pt idx="1">
                  <c:v>-1</c:v>
                </c:pt>
                <c:pt idx="2">
                  <c:v>1.9262333065271369</c:v>
                </c:pt>
                <c:pt idx="3">
                  <c:v>1.5238626375794406</c:v>
                </c:pt>
                <c:pt idx="4">
                  <c:v>3</c:v>
                </c:pt>
                <c:pt idx="5">
                  <c:v>0.21900000000000119</c:v>
                </c:pt>
                <c:pt idx="6">
                  <c:v>-4.5833333333333339</c:v>
                </c:pt>
                <c:pt idx="7">
                  <c:v>-3</c:v>
                </c:pt>
                <c:pt idx="8">
                  <c:v>-6.9142373892267557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F74-4CA0-9655-9D9AD6D38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74923168"/>
        <c:axId val="474923496"/>
      </c:barChart>
      <c:catAx>
        <c:axId val="47492316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474923496"/>
        <c:crosses val="autoZero"/>
        <c:auto val="1"/>
        <c:lblAlgn val="ctr"/>
        <c:lblOffset val="100"/>
        <c:noMultiLvlLbl val="0"/>
      </c:catAx>
      <c:valAx>
        <c:axId val="474923496"/>
        <c:scaling>
          <c:orientation val="minMax"/>
          <c:max val="15"/>
          <c:min val="-1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47492316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 Motivation - junior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6.8215223097112851E-2"/>
          <c:y val="0.17171296296296298"/>
          <c:w val="0.87295144356955379"/>
          <c:h val="0.7208876494604841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'Résultats par mois'!$L$26</c:f>
              <c:strCache>
                <c:ptCount val="1"/>
                <c:pt idx="0">
                  <c:v>Motivation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B7B-4230-AB39-20D35E9B3A0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B7B-4230-AB39-20D35E9B3A0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B7B-4230-AB39-20D35E9B3A06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B7B-4230-AB39-20D35E9B3A06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B7B-4230-AB39-20D35E9B3A06}"/>
              </c:ext>
            </c:extLst>
          </c:dPt>
          <c:cat>
            <c:strRef>
              <c:f>'Résultats par mois'!$L$27:$L$32</c:f>
              <c:strCache>
                <c:ptCount val="6"/>
                <c:pt idx="0">
                  <c:v>perte naturelle</c:v>
                </c:pt>
                <c:pt idx="1">
                  <c:v>Formation</c:v>
                </c:pt>
                <c:pt idx="2">
                  <c:v>challenges</c:v>
                </c:pt>
                <c:pt idx="3">
                  <c:v>Nb challenges</c:v>
                </c:pt>
                <c:pt idx="4">
                  <c:v>Accueil</c:v>
                </c:pt>
                <c:pt idx="5">
                  <c:v>Effet total</c:v>
                </c:pt>
              </c:strCache>
            </c:strRef>
          </c:cat>
          <c:val>
            <c:numRef>
              <c:f>'Résultats par mois'!$M$27:$M$32</c:f>
              <c:numCache>
                <c:formatCode>General</c:formatCode>
                <c:ptCount val="6"/>
                <c:pt idx="0">
                  <c:v>-5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B7B-4230-AB39-20D35E9B3A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74923168"/>
        <c:axId val="474923496"/>
      </c:barChart>
      <c:catAx>
        <c:axId val="47492316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474923496"/>
        <c:crosses val="autoZero"/>
        <c:auto val="1"/>
        <c:lblAlgn val="ctr"/>
        <c:lblOffset val="100"/>
        <c:noMultiLvlLbl val="0"/>
      </c:catAx>
      <c:valAx>
        <c:axId val="474923496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474923168"/>
        <c:crosses val="max"/>
        <c:crossBetween val="between"/>
        <c:majorUnit val="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215223097112851E-2"/>
          <c:y val="7.3059343766538637E-2"/>
          <c:w val="0.87295144356955379"/>
          <c:h val="0.8195410330825396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Graphiques!$C$3</c:f>
              <c:strCache>
                <c:ptCount val="1"/>
                <c:pt idx="0">
                  <c:v>Court terme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017-4039-B510-2CCED0B91DC3}"/>
              </c:ext>
            </c:extLst>
          </c:dPt>
          <c:dPt>
            <c:idx val="1"/>
            <c:invertIfNegative val="0"/>
            <c:bubble3D val="0"/>
            <c:spPr>
              <a:solidFill>
                <a:schemeClr val="tx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017-4039-B510-2CCED0B91DC3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017-4039-B510-2CCED0B91DC3}"/>
              </c:ext>
            </c:extLst>
          </c:dPt>
          <c:cat>
            <c:strRef>
              <c:f>Graphiques!$D$2:$H$2</c:f>
              <c:strCache>
                <c:ptCount val="5"/>
                <c:pt idx="0">
                  <c:v>prép. et analyse</c:v>
                </c:pt>
                <c:pt idx="1">
                  <c:v>motivation</c:v>
                </c:pt>
                <c:pt idx="2">
                  <c:v>actions</c:v>
                </c:pt>
                <c:pt idx="3">
                  <c:v>moniteur</c:v>
                </c:pt>
                <c:pt idx="4">
                  <c:v>effet total</c:v>
                </c:pt>
              </c:strCache>
            </c:strRef>
          </c:cat>
          <c:val>
            <c:numRef>
              <c:f>Graphiques!$U$3:$Y$3</c:f>
              <c:numCache>
                <c:formatCode>0.0%</c:formatCode>
                <c:ptCount val="5"/>
                <c:pt idx="0">
                  <c:v>0.15</c:v>
                </c:pt>
                <c:pt idx="1">
                  <c:v>8.1999999999999962E-2</c:v>
                </c:pt>
                <c:pt idx="2">
                  <c:v>0</c:v>
                </c:pt>
                <c:pt idx="3">
                  <c:v>0</c:v>
                </c:pt>
                <c:pt idx="4">
                  <c:v>0.23199999999999996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017-4039-B510-2CCED0B91D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74923168"/>
        <c:axId val="474923496"/>
      </c:barChart>
      <c:catAx>
        <c:axId val="47492316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474923496"/>
        <c:crosses val="autoZero"/>
        <c:auto val="1"/>
        <c:lblAlgn val="ctr"/>
        <c:lblOffset val="100"/>
        <c:noMultiLvlLbl val="0"/>
      </c:catAx>
      <c:valAx>
        <c:axId val="474923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47492316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3.xml"/><Relationship Id="rId3" Type="http://schemas.openxmlformats.org/officeDocument/2006/relationships/image" Target="../media/image3.png"/><Relationship Id="rId7" Type="http://schemas.openxmlformats.org/officeDocument/2006/relationships/chart" Target="../charts/chart12.xml"/><Relationship Id="rId2" Type="http://schemas.openxmlformats.org/officeDocument/2006/relationships/image" Target="../media/image2.png"/><Relationship Id="rId1" Type="http://schemas.openxmlformats.org/officeDocument/2006/relationships/chart" Target="../charts/chart10.xml"/><Relationship Id="rId6" Type="http://schemas.openxmlformats.org/officeDocument/2006/relationships/chart" Target="../charts/chart11.xml"/><Relationship Id="rId11" Type="http://schemas.openxmlformats.org/officeDocument/2006/relationships/chart" Target="../charts/chart16.xml"/><Relationship Id="rId5" Type="http://schemas.openxmlformats.org/officeDocument/2006/relationships/image" Target="../media/image5.png"/><Relationship Id="rId10" Type="http://schemas.openxmlformats.org/officeDocument/2006/relationships/chart" Target="../charts/chart15.xml"/><Relationship Id="rId4" Type="http://schemas.openxmlformats.org/officeDocument/2006/relationships/image" Target="../media/image4.png"/><Relationship Id="rId9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5</xdr:row>
          <xdr:rowOff>45720</xdr:rowOff>
        </xdr:from>
        <xdr:to>
          <xdr:col>11</xdr:col>
          <xdr:colOff>662940</xdr:colOff>
          <xdr:row>7</xdr:row>
          <xdr:rowOff>114300</xdr:rowOff>
        </xdr:to>
        <xdr:sp macro="" textlink="">
          <xdr:nvSpPr>
            <xdr:cNvPr id="10243" name="Bou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0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Insérer une nouvelle décision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525780</xdr:colOff>
      <xdr:row>3</xdr:row>
      <xdr:rowOff>144780</xdr:rowOff>
    </xdr:from>
    <xdr:to>
      <xdr:col>7</xdr:col>
      <xdr:colOff>160020</xdr:colOff>
      <xdr:row>14</xdr:row>
      <xdr:rowOff>144780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8100" y="693420"/>
          <a:ext cx="2011680" cy="20116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9</xdr:row>
          <xdr:rowOff>175260</xdr:rowOff>
        </xdr:from>
        <xdr:to>
          <xdr:col>11</xdr:col>
          <xdr:colOff>647700</xdr:colOff>
          <xdr:row>12</xdr:row>
          <xdr:rowOff>53340</xdr:rowOff>
        </xdr:to>
        <xdr:sp macro="" textlink="">
          <xdr:nvSpPr>
            <xdr:cNvPr id="10244" name="Bou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0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décisions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</xdr:colOff>
      <xdr:row>171</xdr:row>
      <xdr:rowOff>0</xdr:rowOff>
    </xdr:from>
    <xdr:to>
      <xdr:col>13</xdr:col>
      <xdr:colOff>630666</xdr:colOff>
      <xdr:row>183</xdr:row>
      <xdr:rowOff>130885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9349740" y="54102000"/>
          <a:ext cx="7031466" cy="3879925"/>
          <a:chOff x="18217179" y="9332259"/>
          <a:chExt cx="7031466" cy="3879925"/>
        </a:xfrm>
      </xdr:grpSpPr>
      <xdr:grpSp>
        <xdr:nvGrpSpPr>
          <xdr:cNvPr id="3" name="Group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GrpSpPr/>
        </xdr:nvGrpSpPr>
        <xdr:grpSpPr>
          <a:xfrm>
            <a:off x="18479397" y="9332259"/>
            <a:ext cx="6149787" cy="1361740"/>
            <a:chOff x="7589520" y="6865620"/>
            <a:chExt cx="4754880" cy="662940"/>
          </a:xfrm>
        </xdr:grpSpPr>
        <xdr:grpSp>
          <xdr:nvGrpSpPr>
            <xdr:cNvPr id="18" name="Groupe 17">
              <a:extLst>
                <a:ext uri="{FF2B5EF4-FFF2-40B4-BE49-F238E27FC236}">
                  <a16:creationId xmlns:a16="http://schemas.microsoft.com/office/drawing/2014/main" id="{00000000-0008-0000-0100-000012000000}"/>
                </a:ext>
              </a:extLst>
            </xdr:cNvPr>
            <xdr:cNvGrpSpPr/>
          </xdr:nvGrpSpPr>
          <xdr:grpSpPr>
            <a:xfrm>
              <a:off x="7589520" y="7185660"/>
              <a:ext cx="4754880" cy="342900"/>
              <a:chOff x="7147560" y="7406640"/>
              <a:chExt cx="4754880" cy="342900"/>
            </a:xfrm>
          </xdr:grpSpPr>
          <xdr:sp macro="" textlink="">
            <xdr:nvSpPr>
              <xdr:cNvPr id="28" name="Rectangle 27">
                <a:extLst>
                  <a:ext uri="{FF2B5EF4-FFF2-40B4-BE49-F238E27FC236}">
                    <a16:creationId xmlns:a16="http://schemas.microsoft.com/office/drawing/2014/main" id="{00000000-0008-0000-0100-00001C000000}"/>
                  </a:ext>
                </a:extLst>
              </xdr:cNvPr>
              <xdr:cNvSpPr/>
            </xdr:nvSpPr>
            <xdr:spPr>
              <a:xfrm>
                <a:off x="7147560" y="7406640"/>
                <a:ext cx="563880" cy="342900"/>
              </a:xfrm>
              <a:prstGeom prst="rect">
                <a:avLst/>
              </a:prstGeom>
              <a:noFill/>
              <a:ln>
                <a:solidFill>
                  <a:sysClr val="windowText" lastClr="00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29" name="Rectangle 28">
                <a:extLst>
                  <a:ext uri="{FF2B5EF4-FFF2-40B4-BE49-F238E27FC236}">
                    <a16:creationId xmlns:a16="http://schemas.microsoft.com/office/drawing/2014/main" id="{00000000-0008-0000-0100-00001D000000}"/>
                  </a:ext>
                </a:extLst>
              </xdr:cNvPr>
              <xdr:cNvSpPr/>
            </xdr:nvSpPr>
            <xdr:spPr>
              <a:xfrm>
                <a:off x="7711440" y="7406640"/>
                <a:ext cx="784860" cy="342900"/>
              </a:xfrm>
              <a:prstGeom prst="rect">
                <a:avLst/>
              </a:prstGeom>
              <a:noFill/>
              <a:ln>
                <a:solidFill>
                  <a:sysClr val="windowText" lastClr="00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30" name="Rectangle 29">
                <a:extLst>
                  <a:ext uri="{FF2B5EF4-FFF2-40B4-BE49-F238E27FC236}">
                    <a16:creationId xmlns:a16="http://schemas.microsoft.com/office/drawing/2014/main" id="{00000000-0008-0000-0100-00001E000000}"/>
                  </a:ext>
                </a:extLst>
              </xdr:cNvPr>
              <xdr:cNvSpPr/>
            </xdr:nvSpPr>
            <xdr:spPr>
              <a:xfrm>
                <a:off x="8496300" y="7406640"/>
                <a:ext cx="1097280" cy="342900"/>
              </a:xfrm>
              <a:prstGeom prst="rect">
                <a:avLst/>
              </a:prstGeom>
              <a:noFill/>
              <a:ln>
                <a:solidFill>
                  <a:sysClr val="windowText" lastClr="00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31" name="Rectangle 30">
                <a:extLst>
                  <a:ext uri="{FF2B5EF4-FFF2-40B4-BE49-F238E27FC236}">
                    <a16:creationId xmlns:a16="http://schemas.microsoft.com/office/drawing/2014/main" id="{00000000-0008-0000-0100-00001F000000}"/>
                  </a:ext>
                </a:extLst>
              </xdr:cNvPr>
              <xdr:cNvSpPr/>
            </xdr:nvSpPr>
            <xdr:spPr>
              <a:xfrm>
                <a:off x="9593580" y="7406640"/>
                <a:ext cx="1524000" cy="342900"/>
              </a:xfrm>
              <a:prstGeom prst="rect">
                <a:avLst/>
              </a:prstGeom>
              <a:noFill/>
              <a:ln>
                <a:solidFill>
                  <a:sysClr val="windowText" lastClr="00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32" name="Rectangle 31">
                <a:extLst>
                  <a:ext uri="{FF2B5EF4-FFF2-40B4-BE49-F238E27FC236}">
                    <a16:creationId xmlns:a16="http://schemas.microsoft.com/office/drawing/2014/main" id="{00000000-0008-0000-0100-000020000000}"/>
                  </a:ext>
                </a:extLst>
              </xdr:cNvPr>
              <xdr:cNvSpPr/>
            </xdr:nvSpPr>
            <xdr:spPr>
              <a:xfrm>
                <a:off x="11117580" y="7406640"/>
                <a:ext cx="784860" cy="342900"/>
              </a:xfrm>
              <a:prstGeom prst="rect">
                <a:avLst/>
              </a:prstGeom>
              <a:noFill/>
              <a:ln>
                <a:solidFill>
                  <a:sysClr val="windowText" lastClr="00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19" name="ZoneTexte 18">
              <a:extLst>
                <a:ext uri="{FF2B5EF4-FFF2-40B4-BE49-F238E27FC236}">
                  <a16:creationId xmlns:a16="http://schemas.microsoft.com/office/drawing/2014/main" id="{00000000-0008-0000-0100-000013000000}"/>
                </a:ext>
              </a:extLst>
            </xdr:cNvPr>
            <xdr:cNvSpPr txBox="1"/>
          </xdr:nvSpPr>
          <xdr:spPr>
            <a:xfrm>
              <a:off x="7848600" y="6896100"/>
              <a:ext cx="655320" cy="29718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r>
                <a:rPr lang="fr-FR" sz="900"/>
                <a:t>curseur 1</a:t>
              </a:r>
            </a:p>
          </xdr:txBody>
        </xdr:sp>
        <xdr:sp macro="" textlink="">
          <xdr:nvSpPr>
            <xdr:cNvPr id="20" name="ZoneTexte 19">
              <a:extLst>
                <a:ext uri="{FF2B5EF4-FFF2-40B4-BE49-F238E27FC236}">
                  <a16:creationId xmlns:a16="http://schemas.microsoft.com/office/drawing/2014/main" id="{00000000-0008-0000-0100-000014000000}"/>
                </a:ext>
              </a:extLst>
            </xdr:cNvPr>
            <xdr:cNvSpPr txBox="1"/>
          </xdr:nvSpPr>
          <xdr:spPr>
            <a:xfrm>
              <a:off x="8618220" y="6896100"/>
              <a:ext cx="655320" cy="29718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r>
                <a:rPr lang="fr-FR" sz="900"/>
                <a:t>curseur 2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00000000-0008-0000-0100-000015000000}"/>
                </a:ext>
              </a:extLst>
            </xdr:cNvPr>
            <xdr:cNvSpPr txBox="1"/>
          </xdr:nvSpPr>
          <xdr:spPr>
            <a:xfrm>
              <a:off x="9753600" y="6880860"/>
              <a:ext cx="655320" cy="29718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r>
                <a:rPr lang="fr-FR" sz="900"/>
                <a:t>curseur 3</a:t>
              </a:r>
            </a:p>
          </xdr:txBody>
        </xdr:sp>
        <xdr:sp macro="" textlink="">
          <xdr:nvSpPr>
            <xdr:cNvPr id="22" name="ZoneTexte 21">
              <a:extLst>
                <a:ext uri="{FF2B5EF4-FFF2-40B4-BE49-F238E27FC236}">
                  <a16:creationId xmlns:a16="http://schemas.microsoft.com/office/drawing/2014/main" id="{00000000-0008-0000-0100-000016000000}"/>
                </a:ext>
              </a:extLst>
            </xdr:cNvPr>
            <xdr:cNvSpPr txBox="1"/>
          </xdr:nvSpPr>
          <xdr:spPr>
            <a:xfrm>
              <a:off x="11254740" y="6865620"/>
              <a:ext cx="655320" cy="29718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r>
                <a:rPr lang="fr-FR" sz="900"/>
                <a:t>curseur 4</a:t>
              </a:r>
            </a:p>
          </xdr:txBody>
        </xdr:sp>
        <xdr:sp macro="" textlink="">
          <xdr:nvSpPr>
            <xdr:cNvPr id="23" name="ZoneTexte 22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SpPr txBox="1"/>
          </xdr:nvSpPr>
          <xdr:spPr>
            <a:xfrm>
              <a:off x="7589520" y="7216140"/>
              <a:ext cx="525780" cy="29718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r>
                <a:rPr lang="fr-FR" sz="900"/>
                <a:t>zone</a:t>
              </a:r>
              <a:r>
                <a:rPr lang="fr-FR" sz="900" baseline="0"/>
                <a:t> 1</a:t>
              </a:r>
              <a:endParaRPr lang="fr-FR" sz="900"/>
            </a:p>
          </xdr:txBody>
        </xdr:sp>
        <xdr:sp macro="" textlink="">
          <xdr:nvSpPr>
            <xdr:cNvPr id="24" name="ZoneTexte 23">
              <a:extLst>
                <a:ext uri="{FF2B5EF4-FFF2-40B4-BE49-F238E27FC236}">
                  <a16:creationId xmlns:a16="http://schemas.microsoft.com/office/drawing/2014/main" id="{00000000-0008-0000-0100-000018000000}"/>
                </a:ext>
              </a:extLst>
            </xdr:cNvPr>
            <xdr:cNvSpPr txBox="1"/>
          </xdr:nvSpPr>
          <xdr:spPr>
            <a:xfrm>
              <a:off x="8282940" y="7223760"/>
              <a:ext cx="525780" cy="29718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r>
                <a:rPr lang="fr-FR" sz="900"/>
                <a:t>zone</a:t>
              </a:r>
              <a:r>
                <a:rPr lang="fr-FR" sz="900" baseline="0"/>
                <a:t> 2</a:t>
              </a:r>
              <a:endParaRPr lang="fr-FR" sz="900"/>
            </a:p>
          </xdr:txBody>
        </xdr:sp>
        <xdr:sp macro="" textlink="">
          <xdr:nvSpPr>
            <xdr:cNvPr id="25" name="ZoneTexte 24">
              <a:extLst>
                <a:ext uri="{FF2B5EF4-FFF2-40B4-BE49-F238E27FC236}">
                  <a16:creationId xmlns:a16="http://schemas.microsoft.com/office/drawing/2014/main" id="{00000000-0008-0000-0100-000019000000}"/>
                </a:ext>
              </a:extLst>
            </xdr:cNvPr>
            <xdr:cNvSpPr txBox="1"/>
          </xdr:nvSpPr>
          <xdr:spPr>
            <a:xfrm>
              <a:off x="9220200" y="7223760"/>
              <a:ext cx="525780" cy="29718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r>
                <a:rPr lang="fr-FR" sz="900"/>
                <a:t>zone</a:t>
              </a:r>
              <a:r>
                <a:rPr lang="fr-FR" sz="900" baseline="0"/>
                <a:t> 3</a:t>
              </a:r>
              <a:endParaRPr lang="fr-FR" sz="900"/>
            </a:p>
          </xdr:txBody>
        </xdr:sp>
        <xdr:sp macro="" textlink="">
          <xdr:nvSpPr>
            <xdr:cNvPr id="26" name="ZoneTexte 25">
              <a:extLst>
                <a:ext uri="{FF2B5EF4-FFF2-40B4-BE49-F238E27FC236}">
                  <a16:creationId xmlns:a16="http://schemas.microsoft.com/office/drawing/2014/main" id="{00000000-0008-0000-0100-00001A000000}"/>
                </a:ext>
              </a:extLst>
            </xdr:cNvPr>
            <xdr:cNvSpPr txBox="1"/>
          </xdr:nvSpPr>
          <xdr:spPr>
            <a:xfrm>
              <a:off x="10530840" y="7200900"/>
              <a:ext cx="525780" cy="29718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r>
                <a:rPr lang="fr-FR" sz="900"/>
                <a:t>zone</a:t>
              </a:r>
              <a:r>
                <a:rPr lang="fr-FR" sz="900" baseline="0"/>
                <a:t> 4</a:t>
              </a:r>
              <a:endParaRPr lang="fr-FR" sz="900"/>
            </a:p>
          </xdr:txBody>
        </xdr:sp>
        <xdr:sp macro="" textlink="">
          <xdr:nvSpPr>
            <xdr:cNvPr id="27" name="ZoneTexte 26">
              <a:extLst>
                <a:ext uri="{FF2B5EF4-FFF2-40B4-BE49-F238E27FC236}">
                  <a16:creationId xmlns:a16="http://schemas.microsoft.com/office/drawing/2014/main" id="{00000000-0008-0000-0100-00001B000000}"/>
                </a:ext>
              </a:extLst>
            </xdr:cNvPr>
            <xdr:cNvSpPr txBox="1"/>
          </xdr:nvSpPr>
          <xdr:spPr>
            <a:xfrm>
              <a:off x="11681460" y="7208520"/>
              <a:ext cx="525780" cy="29718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r>
                <a:rPr lang="fr-FR" sz="900"/>
                <a:t>zone</a:t>
              </a:r>
              <a:r>
                <a:rPr lang="fr-FR" sz="900" baseline="0"/>
                <a:t> 5</a:t>
              </a:r>
              <a:endParaRPr lang="fr-FR" sz="900"/>
            </a:p>
          </xdr:txBody>
        </xdr:sp>
      </xdr:grp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CxnSpPr/>
        </xdr:nvCxnSpPr>
        <xdr:spPr>
          <a:xfrm>
            <a:off x="18217179" y="12682818"/>
            <a:ext cx="932329" cy="8964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Connecteur droit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CxnSpPr/>
        </xdr:nvCxnSpPr>
        <xdr:spPr>
          <a:xfrm flipV="1">
            <a:off x="19148612" y="11984019"/>
            <a:ext cx="1034527" cy="710006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" name="Connecteur droit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CxnSpPr/>
        </xdr:nvCxnSpPr>
        <xdr:spPr>
          <a:xfrm flipV="1">
            <a:off x="20179553" y="11914094"/>
            <a:ext cx="1398494" cy="80682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 flipV="1">
            <a:off x="21578047" y="11122959"/>
            <a:ext cx="2049332" cy="78217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" name="Connecteur droit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CxnSpPr/>
        </xdr:nvCxnSpPr>
        <xdr:spPr>
          <a:xfrm>
            <a:off x="23639929" y="11134165"/>
            <a:ext cx="1483659" cy="17928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 txBox="1"/>
        </xdr:nvSpPr>
        <xdr:spPr>
          <a:xfrm>
            <a:off x="18551562" y="12817737"/>
            <a:ext cx="708212" cy="3944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/>
              <a:t>V1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21310001" y="11589572"/>
            <a:ext cx="708212" cy="3944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/>
              <a:t>V3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20097525" y="12100560"/>
            <a:ext cx="708212" cy="3944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/>
              <a:t>V2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24540433" y="10852673"/>
            <a:ext cx="708212" cy="3944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/>
              <a:t>V4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99060</xdr:colOff>
      <xdr:row>2</xdr:row>
      <xdr:rowOff>144780</xdr:rowOff>
    </xdr:from>
    <xdr:to>
      <xdr:col>8</xdr:col>
      <xdr:colOff>457200</xdr:colOff>
      <xdr:row>2</xdr:row>
      <xdr:rowOff>144780</xdr:rowOff>
    </xdr:to>
    <xdr:cxnSp macro="">
      <xdr:nvCxnSpPr>
        <xdr:cNvPr id="2" name="Connecteur droit avec flèch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CxnSpPr/>
      </xdr:nvCxnSpPr>
      <xdr:spPr>
        <a:xfrm flipH="1">
          <a:off x="6057900" y="617220"/>
          <a:ext cx="35814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91440</xdr:colOff>
      <xdr:row>38</xdr:row>
      <xdr:rowOff>137160</xdr:rowOff>
    </xdr:from>
    <xdr:to>
      <xdr:col>7</xdr:col>
      <xdr:colOff>53340</xdr:colOff>
      <xdr:row>38</xdr:row>
      <xdr:rowOff>137160</xdr:rowOff>
    </xdr:to>
    <xdr:cxnSp macro="">
      <xdr:nvCxnSpPr>
        <xdr:cNvPr id="3" name="Connecteur droit avec flèch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CxnSpPr/>
      </xdr:nvCxnSpPr>
      <xdr:spPr>
        <a:xfrm flipH="1">
          <a:off x="4579620" y="1463040"/>
          <a:ext cx="64008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480060</xdr:colOff>
      <xdr:row>19</xdr:row>
      <xdr:rowOff>213360</xdr:rowOff>
    </xdr:from>
    <xdr:to>
      <xdr:col>2</xdr:col>
      <xdr:colOff>0</xdr:colOff>
      <xdr:row>20</xdr:row>
      <xdr:rowOff>224155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2430780"/>
          <a:ext cx="289560" cy="277495"/>
        </a:xfrm>
        <a:prstGeom prst="rect">
          <a:avLst/>
        </a:prstGeom>
      </xdr:spPr>
    </xdr:pic>
    <xdr:clientData/>
  </xdr:twoCellAnchor>
  <xdr:twoCellAnchor editAs="oneCell">
    <xdr:from>
      <xdr:col>1</xdr:col>
      <xdr:colOff>457200</xdr:colOff>
      <xdr:row>22</xdr:row>
      <xdr:rowOff>2540</xdr:rowOff>
    </xdr:from>
    <xdr:to>
      <xdr:col>1</xdr:col>
      <xdr:colOff>762000</xdr:colOff>
      <xdr:row>23</xdr:row>
      <xdr:rowOff>19050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" y="3020060"/>
          <a:ext cx="304800" cy="283210"/>
        </a:xfrm>
        <a:prstGeom prst="rect">
          <a:avLst/>
        </a:prstGeom>
      </xdr:spPr>
    </xdr:pic>
    <xdr:clientData/>
  </xdr:twoCellAnchor>
  <xdr:twoCellAnchor editAs="oneCell">
    <xdr:from>
      <xdr:col>1</xdr:col>
      <xdr:colOff>503555</xdr:colOff>
      <xdr:row>24</xdr:row>
      <xdr:rowOff>257810</xdr:rowOff>
    </xdr:from>
    <xdr:to>
      <xdr:col>1</xdr:col>
      <xdr:colOff>754380</xdr:colOff>
      <xdr:row>25</xdr:row>
      <xdr:rowOff>254635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7395" y="3808730"/>
          <a:ext cx="250825" cy="263525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463550</xdr:colOff>
      <xdr:row>27</xdr:row>
      <xdr:rowOff>54610</xdr:rowOff>
    </xdr:from>
    <xdr:to>
      <xdr:col>1</xdr:col>
      <xdr:colOff>746760</xdr:colOff>
      <xdr:row>28</xdr:row>
      <xdr:rowOff>31750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390" y="4405630"/>
          <a:ext cx="283210" cy="243840"/>
        </a:xfrm>
        <a:prstGeom prst="rect">
          <a:avLst/>
        </a:prstGeom>
      </xdr:spPr>
    </xdr:pic>
    <xdr:clientData/>
  </xdr:twoCellAnchor>
  <xdr:twoCellAnchor>
    <xdr:from>
      <xdr:col>4</xdr:col>
      <xdr:colOff>91440</xdr:colOff>
      <xdr:row>44</xdr:row>
      <xdr:rowOff>144780</xdr:rowOff>
    </xdr:from>
    <xdr:to>
      <xdr:col>4</xdr:col>
      <xdr:colOff>381000</xdr:colOff>
      <xdr:row>44</xdr:row>
      <xdr:rowOff>152400</xdr:rowOff>
    </xdr:to>
    <xdr:cxnSp macro="">
      <xdr:nvCxnSpPr>
        <xdr:cNvPr id="15" name="Connecteur droit avec flèch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CxnSpPr/>
      </xdr:nvCxnSpPr>
      <xdr:spPr>
        <a:xfrm flipH="1" flipV="1">
          <a:off x="3261360" y="548640"/>
          <a:ext cx="289560" cy="762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373380</xdr:colOff>
      <xdr:row>56</xdr:row>
      <xdr:rowOff>53340</xdr:rowOff>
    </xdr:from>
    <xdr:to>
      <xdr:col>3</xdr:col>
      <xdr:colOff>373380</xdr:colOff>
      <xdr:row>56</xdr:row>
      <xdr:rowOff>236220</xdr:rowOff>
    </xdr:to>
    <xdr:cxnSp macro="">
      <xdr:nvCxnSpPr>
        <xdr:cNvPr id="16" name="Connecteur droit avec flèche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CxnSpPr/>
      </xdr:nvCxnSpPr>
      <xdr:spPr>
        <a:xfrm>
          <a:off x="2750820" y="3368040"/>
          <a:ext cx="0" cy="12192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91440</xdr:colOff>
      <xdr:row>60</xdr:row>
      <xdr:rowOff>144780</xdr:rowOff>
    </xdr:from>
    <xdr:to>
      <xdr:col>4</xdr:col>
      <xdr:colOff>381000</xdr:colOff>
      <xdr:row>60</xdr:row>
      <xdr:rowOff>152400</xdr:rowOff>
    </xdr:to>
    <xdr:cxnSp macro="">
      <xdr:nvCxnSpPr>
        <xdr:cNvPr id="18" name="Connecteur droit avec flèche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CxnSpPr/>
      </xdr:nvCxnSpPr>
      <xdr:spPr>
        <a:xfrm flipH="1" flipV="1">
          <a:off x="3261360" y="4297680"/>
          <a:ext cx="289560" cy="762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373380</xdr:colOff>
      <xdr:row>72</xdr:row>
      <xdr:rowOff>53340</xdr:rowOff>
    </xdr:from>
    <xdr:to>
      <xdr:col>3</xdr:col>
      <xdr:colOff>373380</xdr:colOff>
      <xdr:row>72</xdr:row>
      <xdr:rowOff>236220</xdr:rowOff>
    </xdr:to>
    <xdr:cxnSp macro="">
      <xdr:nvCxnSpPr>
        <xdr:cNvPr id="19" name="Connecteur droit avec flèch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CxnSpPr/>
      </xdr:nvCxnSpPr>
      <xdr:spPr>
        <a:xfrm>
          <a:off x="2750820" y="7117080"/>
          <a:ext cx="0" cy="12192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91440</xdr:colOff>
      <xdr:row>76</xdr:row>
      <xdr:rowOff>144780</xdr:rowOff>
    </xdr:from>
    <xdr:to>
      <xdr:col>4</xdr:col>
      <xdr:colOff>381000</xdr:colOff>
      <xdr:row>76</xdr:row>
      <xdr:rowOff>152400</xdr:rowOff>
    </xdr:to>
    <xdr:cxnSp macro="">
      <xdr:nvCxnSpPr>
        <xdr:cNvPr id="21" name="Connecteur droit avec flèche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CxnSpPr/>
      </xdr:nvCxnSpPr>
      <xdr:spPr>
        <a:xfrm flipH="1" flipV="1">
          <a:off x="3261360" y="8046720"/>
          <a:ext cx="289560" cy="762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373380</xdr:colOff>
      <xdr:row>88</xdr:row>
      <xdr:rowOff>53340</xdr:rowOff>
    </xdr:from>
    <xdr:to>
      <xdr:col>3</xdr:col>
      <xdr:colOff>373380</xdr:colOff>
      <xdr:row>88</xdr:row>
      <xdr:rowOff>236220</xdr:rowOff>
    </xdr:to>
    <xdr:cxnSp macro="">
      <xdr:nvCxnSpPr>
        <xdr:cNvPr id="22" name="Connecteur droit avec flèche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CxnSpPr/>
      </xdr:nvCxnSpPr>
      <xdr:spPr>
        <a:xfrm>
          <a:off x="2750820" y="10866120"/>
          <a:ext cx="0" cy="12192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228600</xdr:colOff>
      <xdr:row>46</xdr:row>
      <xdr:rowOff>259080</xdr:rowOff>
    </xdr:from>
    <xdr:ext cx="289560" cy="277495"/>
    <xdr:pic>
      <xdr:nvPicPr>
        <xdr:cNvPr id="23" name="Image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" y="13182600"/>
          <a:ext cx="289560" cy="277495"/>
        </a:xfrm>
        <a:prstGeom prst="rect">
          <a:avLst/>
        </a:prstGeom>
      </xdr:spPr>
    </xdr:pic>
    <xdr:clientData/>
  </xdr:oneCellAnchor>
  <xdr:oneCellAnchor>
    <xdr:from>
      <xdr:col>1</xdr:col>
      <xdr:colOff>228600</xdr:colOff>
      <xdr:row>49</xdr:row>
      <xdr:rowOff>162560</xdr:rowOff>
    </xdr:from>
    <xdr:ext cx="304800" cy="283210"/>
    <xdr:pic>
      <xdr:nvPicPr>
        <xdr:cNvPr id="24" name="Image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" y="13954760"/>
          <a:ext cx="304800" cy="283210"/>
        </a:xfrm>
        <a:prstGeom prst="rect">
          <a:avLst/>
        </a:prstGeom>
      </xdr:spPr>
    </xdr:pic>
    <xdr:clientData/>
  </xdr:oneCellAnchor>
  <xdr:oneCellAnchor>
    <xdr:from>
      <xdr:col>1</xdr:col>
      <xdr:colOff>236220</xdr:colOff>
      <xdr:row>51</xdr:row>
      <xdr:rowOff>288290</xdr:rowOff>
    </xdr:from>
    <xdr:ext cx="250825" cy="263525"/>
    <xdr:pic>
      <xdr:nvPicPr>
        <xdr:cNvPr id="25" name="Image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0060" y="14659610"/>
          <a:ext cx="250825" cy="263525"/>
        </a:xfrm>
        <a:prstGeom prst="rect">
          <a:avLst/>
        </a:prstGeom>
        <a:noFill/>
      </xdr:spPr>
    </xdr:pic>
    <xdr:clientData/>
  </xdr:oneCellAnchor>
  <xdr:oneCellAnchor>
    <xdr:from>
      <xdr:col>1</xdr:col>
      <xdr:colOff>228600</xdr:colOff>
      <xdr:row>54</xdr:row>
      <xdr:rowOff>146050</xdr:rowOff>
    </xdr:from>
    <xdr:ext cx="283210" cy="243840"/>
    <xdr:pic>
      <xdr:nvPicPr>
        <xdr:cNvPr id="26" name="Image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" y="15386050"/>
          <a:ext cx="283210" cy="243840"/>
        </a:xfrm>
        <a:prstGeom prst="rect">
          <a:avLst/>
        </a:prstGeom>
      </xdr:spPr>
    </xdr:pic>
    <xdr:clientData/>
  </xdr:oneCellAnchor>
  <xdr:oneCellAnchor>
    <xdr:from>
      <xdr:col>1</xdr:col>
      <xdr:colOff>228600</xdr:colOff>
      <xdr:row>62</xdr:row>
      <xdr:rowOff>274320</xdr:rowOff>
    </xdr:from>
    <xdr:ext cx="289560" cy="277495"/>
    <xdr:pic>
      <xdr:nvPicPr>
        <xdr:cNvPr id="27" name="Image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" y="17716500"/>
          <a:ext cx="289560" cy="277495"/>
        </a:xfrm>
        <a:prstGeom prst="rect">
          <a:avLst/>
        </a:prstGeom>
      </xdr:spPr>
    </xdr:pic>
    <xdr:clientData/>
  </xdr:oneCellAnchor>
  <xdr:oneCellAnchor>
    <xdr:from>
      <xdr:col>1</xdr:col>
      <xdr:colOff>228600</xdr:colOff>
      <xdr:row>65</xdr:row>
      <xdr:rowOff>177800</xdr:rowOff>
    </xdr:from>
    <xdr:ext cx="304800" cy="283210"/>
    <xdr:pic>
      <xdr:nvPicPr>
        <xdr:cNvPr id="28" name="Image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" y="18488660"/>
          <a:ext cx="304800" cy="283210"/>
        </a:xfrm>
        <a:prstGeom prst="rect">
          <a:avLst/>
        </a:prstGeom>
      </xdr:spPr>
    </xdr:pic>
    <xdr:clientData/>
  </xdr:oneCellAnchor>
  <xdr:oneCellAnchor>
    <xdr:from>
      <xdr:col>1</xdr:col>
      <xdr:colOff>236220</xdr:colOff>
      <xdr:row>68</xdr:row>
      <xdr:rowOff>13970</xdr:rowOff>
    </xdr:from>
    <xdr:ext cx="250825" cy="263525"/>
    <xdr:pic>
      <xdr:nvPicPr>
        <xdr:cNvPr id="29" name="Image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0060" y="19193510"/>
          <a:ext cx="250825" cy="263525"/>
        </a:xfrm>
        <a:prstGeom prst="rect">
          <a:avLst/>
        </a:prstGeom>
        <a:noFill/>
      </xdr:spPr>
    </xdr:pic>
    <xdr:clientData/>
  </xdr:oneCellAnchor>
  <xdr:oneCellAnchor>
    <xdr:from>
      <xdr:col>1</xdr:col>
      <xdr:colOff>228600</xdr:colOff>
      <xdr:row>70</xdr:row>
      <xdr:rowOff>100330</xdr:rowOff>
    </xdr:from>
    <xdr:ext cx="283210" cy="243840"/>
    <xdr:pic>
      <xdr:nvPicPr>
        <xdr:cNvPr id="30" name="Image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" y="19858990"/>
          <a:ext cx="283210" cy="243840"/>
        </a:xfrm>
        <a:prstGeom prst="rect">
          <a:avLst/>
        </a:prstGeom>
      </xdr:spPr>
    </xdr:pic>
    <xdr:clientData/>
  </xdr:oneCellAnchor>
  <xdr:oneCellAnchor>
    <xdr:from>
      <xdr:col>1</xdr:col>
      <xdr:colOff>205740</xdr:colOff>
      <xdr:row>78</xdr:row>
      <xdr:rowOff>281940</xdr:rowOff>
    </xdr:from>
    <xdr:ext cx="289560" cy="277495"/>
    <xdr:pic>
      <xdr:nvPicPr>
        <xdr:cNvPr id="31" name="Image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9580" y="22250400"/>
          <a:ext cx="289560" cy="277495"/>
        </a:xfrm>
        <a:prstGeom prst="rect">
          <a:avLst/>
        </a:prstGeom>
      </xdr:spPr>
    </xdr:pic>
    <xdr:clientData/>
  </xdr:oneCellAnchor>
  <xdr:oneCellAnchor>
    <xdr:from>
      <xdr:col>1</xdr:col>
      <xdr:colOff>205740</xdr:colOff>
      <xdr:row>81</xdr:row>
      <xdr:rowOff>185420</xdr:rowOff>
    </xdr:from>
    <xdr:ext cx="304800" cy="283210"/>
    <xdr:pic>
      <xdr:nvPicPr>
        <xdr:cNvPr id="32" name="Image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9580" y="23022560"/>
          <a:ext cx="304800" cy="283210"/>
        </a:xfrm>
        <a:prstGeom prst="rect">
          <a:avLst/>
        </a:prstGeom>
      </xdr:spPr>
    </xdr:pic>
    <xdr:clientData/>
  </xdr:oneCellAnchor>
  <xdr:oneCellAnchor>
    <xdr:from>
      <xdr:col>1</xdr:col>
      <xdr:colOff>213360</xdr:colOff>
      <xdr:row>84</xdr:row>
      <xdr:rowOff>21590</xdr:rowOff>
    </xdr:from>
    <xdr:ext cx="250825" cy="263525"/>
    <xdr:pic>
      <xdr:nvPicPr>
        <xdr:cNvPr id="33" name="Image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" y="23727410"/>
          <a:ext cx="250825" cy="263525"/>
        </a:xfrm>
        <a:prstGeom prst="rect">
          <a:avLst/>
        </a:prstGeom>
        <a:noFill/>
      </xdr:spPr>
    </xdr:pic>
    <xdr:clientData/>
  </xdr:oneCellAnchor>
  <xdr:oneCellAnchor>
    <xdr:from>
      <xdr:col>1</xdr:col>
      <xdr:colOff>205740</xdr:colOff>
      <xdr:row>86</xdr:row>
      <xdr:rowOff>168910</xdr:rowOff>
    </xdr:from>
    <xdr:ext cx="283210" cy="243840"/>
    <xdr:pic>
      <xdr:nvPicPr>
        <xdr:cNvPr id="34" name="Image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9580" y="24453850"/>
          <a:ext cx="283210" cy="243840"/>
        </a:xfrm>
        <a:prstGeom prst="rect">
          <a:avLst/>
        </a:prstGeom>
      </xdr:spPr>
    </xdr:pic>
    <xdr:clientData/>
  </xdr:oneCellAnchor>
  <xdr:twoCellAnchor>
    <xdr:from>
      <xdr:col>19</xdr:col>
      <xdr:colOff>99060</xdr:colOff>
      <xdr:row>2</xdr:row>
      <xdr:rowOff>144780</xdr:rowOff>
    </xdr:from>
    <xdr:to>
      <xdr:col>19</xdr:col>
      <xdr:colOff>457200</xdr:colOff>
      <xdr:row>2</xdr:row>
      <xdr:rowOff>144780</xdr:rowOff>
    </xdr:to>
    <xdr:cxnSp macro="">
      <xdr:nvCxnSpPr>
        <xdr:cNvPr id="35" name="Connecteur droit avec flèche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CxnSpPr/>
      </xdr:nvCxnSpPr>
      <xdr:spPr>
        <a:xfrm flipH="1">
          <a:off x="6057900" y="701040"/>
          <a:ext cx="35814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91440</xdr:colOff>
      <xdr:row>44</xdr:row>
      <xdr:rowOff>144780</xdr:rowOff>
    </xdr:from>
    <xdr:to>
      <xdr:col>15</xdr:col>
      <xdr:colOff>381000</xdr:colOff>
      <xdr:row>44</xdr:row>
      <xdr:rowOff>152400</xdr:rowOff>
    </xdr:to>
    <xdr:cxnSp macro="">
      <xdr:nvCxnSpPr>
        <xdr:cNvPr id="47" name="Connecteur droit avec flèche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CxnSpPr/>
      </xdr:nvCxnSpPr>
      <xdr:spPr>
        <a:xfrm flipH="1" flipV="1">
          <a:off x="3223260" y="12824460"/>
          <a:ext cx="289560" cy="762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373380</xdr:colOff>
      <xdr:row>56</xdr:row>
      <xdr:rowOff>53340</xdr:rowOff>
    </xdr:from>
    <xdr:to>
      <xdr:col>14</xdr:col>
      <xdr:colOff>373380</xdr:colOff>
      <xdr:row>56</xdr:row>
      <xdr:rowOff>236220</xdr:rowOff>
    </xdr:to>
    <xdr:cxnSp macro="">
      <xdr:nvCxnSpPr>
        <xdr:cNvPr id="48" name="Connecteur droit avec flèche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CxnSpPr/>
      </xdr:nvCxnSpPr>
      <xdr:spPr>
        <a:xfrm>
          <a:off x="2827020" y="16207740"/>
          <a:ext cx="0" cy="12192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91440</xdr:colOff>
      <xdr:row>60</xdr:row>
      <xdr:rowOff>144780</xdr:rowOff>
    </xdr:from>
    <xdr:to>
      <xdr:col>15</xdr:col>
      <xdr:colOff>381000</xdr:colOff>
      <xdr:row>60</xdr:row>
      <xdr:rowOff>152400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CxnSpPr/>
      </xdr:nvCxnSpPr>
      <xdr:spPr>
        <a:xfrm flipH="1" flipV="1">
          <a:off x="3223260" y="17343120"/>
          <a:ext cx="289560" cy="762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373380</xdr:colOff>
      <xdr:row>72</xdr:row>
      <xdr:rowOff>53340</xdr:rowOff>
    </xdr:from>
    <xdr:to>
      <xdr:col>14</xdr:col>
      <xdr:colOff>373380</xdr:colOff>
      <xdr:row>72</xdr:row>
      <xdr:rowOff>236220</xdr:rowOff>
    </xdr:to>
    <xdr:cxnSp macro="">
      <xdr:nvCxnSpPr>
        <xdr:cNvPr id="51" name="Connecteur droit avec flèche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CxnSpPr/>
      </xdr:nvCxnSpPr>
      <xdr:spPr>
        <a:xfrm>
          <a:off x="2827020" y="20726400"/>
          <a:ext cx="0" cy="12954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91440</xdr:colOff>
      <xdr:row>76</xdr:row>
      <xdr:rowOff>144780</xdr:rowOff>
    </xdr:from>
    <xdr:to>
      <xdr:col>15</xdr:col>
      <xdr:colOff>381000</xdr:colOff>
      <xdr:row>76</xdr:row>
      <xdr:rowOff>152400</xdr:rowOff>
    </xdr:to>
    <xdr:cxnSp macro="">
      <xdr:nvCxnSpPr>
        <xdr:cNvPr id="53" name="Connecteur droit avec flèche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CxnSpPr/>
      </xdr:nvCxnSpPr>
      <xdr:spPr>
        <a:xfrm flipH="1" flipV="1">
          <a:off x="3223260" y="21869400"/>
          <a:ext cx="289560" cy="762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373380</xdr:colOff>
      <xdr:row>88</xdr:row>
      <xdr:rowOff>53340</xdr:rowOff>
    </xdr:from>
    <xdr:to>
      <xdr:col>14</xdr:col>
      <xdr:colOff>373380</xdr:colOff>
      <xdr:row>88</xdr:row>
      <xdr:rowOff>236220</xdr:rowOff>
    </xdr:to>
    <xdr:cxnSp macro="">
      <xdr:nvCxnSpPr>
        <xdr:cNvPr id="54" name="Connecteur droit avec flèche 53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CxnSpPr/>
      </xdr:nvCxnSpPr>
      <xdr:spPr>
        <a:xfrm>
          <a:off x="2827020" y="25252680"/>
          <a:ext cx="0" cy="12954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12</xdr:col>
      <xdr:colOff>228600</xdr:colOff>
      <xdr:row>46</xdr:row>
      <xdr:rowOff>259080</xdr:rowOff>
    </xdr:from>
    <xdr:ext cx="289560" cy="277495"/>
    <xdr:pic>
      <xdr:nvPicPr>
        <xdr:cNvPr id="55" name="Image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" y="13517880"/>
          <a:ext cx="289560" cy="277495"/>
        </a:xfrm>
        <a:prstGeom prst="rect">
          <a:avLst/>
        </a:prstGeom>
      </xdr:spPr>
    </xdr:pic>
    <xdr:clientData/>
  </xdr:oneCellAnchor>
  <xdr:oneCellAnchor>
    <xdr:from>
      <xdr:col>12</xdr:col>
      <xdr:colOff>228600</xdr:colOff>
      <xdr:row>49</xdr:row>
      <xdr:rowOff>162560</xdr:rowOff>
    </xdr:from>
    <xdr:ext cx="304800" cy="283210"/>
    <xdr:pic>
      <xdr:nvPicPr>
        <xdr:cNvPr id="56" name="Image 55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" y="14290040"/>
          <a:ext cx="304800" cy="283210"/>
        </a:xfrm>
        <a:prstGeom prst="rect">
          <a:avLst/>
        </a:prstGeom>
      </xdr:spPr>
    </xdr:pic>
    <xdr:clientData/>
  </xdr:oneCellAnchor>
  <xdr:oneCellAnchor>
    <xdr:from>
      <xdr:col>12</xdr:col>
      <xdr:colOff>236220</xdr:colOff>
      <xdr:row>51</xdr:row>
      <xdr:rowOff>288290</xdr:rowOff>
    </xdr:from>
    <xdr:ext cx="250825" cy="263525"/>
    <xdr:pic>
      <xdr:nvPicPr>
        <xdr:cNvPr id="57" name="Image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0060" y="14994890"/>
          <a:ext cx="250825" cy="263525"/>
        </a:xfrm>
        <a:prstGeom prst="rect">
          <a:avLst/>
        </a:prstGeom>
        <a:noFill/>
      </xdr:spPr>
    </xdr:pic>
    <xdr:clientData/>
  </xdr:oneCellAnchor>
  <xdr:oneCellAnchor>
    <xdr:from>
      <xdr:col>12</xdr:col>
      <xdr:colOff>228600</xdr:colOff>
      <xdr:row>54</xdr:row>
      <xdr:rowOff>146050</xdr:rowOff>
    </xdr:from>
    <xdr:ext cx="283210" cy="243840"/>
    <xdr:pic>
      <xdr:nvPicPr>
        <xdr:cNvPr id="58" name="Image 57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" y="15721330"/>
          <a:ext cx="283210" cy="243840"/>
        </a:xfrm>
        <a:prstGeom prst="rect">
          <a:avLst/>
        </a:prstGeom>
      </xdr:spPr>
    </xdr:pic>
    <xdr:clientData/>
  </xdr:oneCellAnchor>
  <xdr:oneCellAnchor>
    <xdr:from>
      <xdr:col>12</xdr:col>
      <xdr:colOff>228600</xdr:colOff>
      <xdr:row>62</xdr:row>
      <xdr:rowOff>274320</xdr:rowOff>
    </xdr:from>
    <xdr:ext cx="289560" cy="277495"/>
    <xdr:pic>
      <xdr:nvPicPr>
        <xdr:cNvPr id="59" name="Image 58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" y="18051780"/>
          <a:ext cx="289560" cy="277495"/>
        </a:xfrm>
        <a:prstGeom prst="rect">
          <a:avLst/>
        </a:prstGeom>
      </xdr:spPr>
    </xdr:pic>
    <xdr:clientData/>
  </xdr:oneCellAnchor>
  <xdr:oneCellAnchor>
    <xdr:from>
      <xdr:col>12</xdr:col>
      <xdr:colOff>228600</xdr:colOff>
      <xdr:row>65</xdr:row>
      <xdr:rowOff>177800</xdr:rowOff>
    </xdr:from>
    <xdr:ext cx="304800" cy="283210"/>
    <xdr:pic>
      <xdr:nvPicPr>
        <xdr:cNvPr id="60" name="Image 59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" y="18823940"/>
          <a:ext cx="304800" cy="283210"/>
        </a:xfrm>
        <a:prstGeom prst="rect">
          <a:avLst/>
        </a:prstGeom>
      </xdr:spPr>
    </xdr:pic>
    <xdr:clientData/>
  </xdr:oneCellAnchor>
  <xdr:oneCellAnchor>
    <xdr:from>
      <xdr:col>12</xdr:col>
      <xdr:colOff>236220</xdr:colOff>
      <xdr:row>68</xdr:row>
      <xdr:rowOff>13970</xdr:rowOff>
    </xdr:from>
    <xdr:ext cx="250825" cy="263525"/>
    <xdr:pic>
      <xdr:nvPicPr>
        <xdr:cNvPr id="61" name="Image 60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0060" y="19528790"/>
          <a:ext cx="250825" cy="263525"/>
        </a:xfrm>
        <a:prstGeom prst="rect">
          <a:avLst/>
        </a:prstGeom>
        <a:noFill/>
      </xdr:spPr>
    </xdr:pic>
    <xdr:clientData/>
  </xdr:oneCellAnchor>
  <xdr:oneCellAnchor>
    <xdr:from>
      <xdr:col>12</xdr:col>
      <xdr:colOff>228600</xdr:colOff>
      <xdr:row>70</xdr:row>
      <xdr:rowOff>100330</xdr:rowOff>
    </xdr:from>
    <xdr:ext cx="283210" cy="243840"/>
    <xdr:pic>
      <xdr:nvPicPr>
        <xdr:cNvPr id="62" name="Image 6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" y="20194270"/>
          <a:ext cx="283210" cy="243840"/>
        </a:xfrm>
        <a:prstGeom prst="rect">
          <a:avLst/>
        </a:prstGeom>
      </xdr:spPr>
    </xdr:pic>
    <xdr:clientData/>
  </xdr:oneCellAnchor>
  <xdr:oneCellAnchor>
    <xdr:from>
      <xdr:col>12</xdr:col>
      <xdr:colOff>205740</xdr:colOff>
      <xdr:row>78</xdr:row>
      <xdr:rowOff>281940</xdr:rowOff>
    </xdr:from>
    <xdr:ext cx="289560" cy="277495"/>
    <xdr:pic>
      <xdr:nvPicPr>
        <xdr:cNvPr id="63" name="Image 62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9580" y="22585680"/>
          <a:ext cx="289560" cy="277495"/>
        </a:xfrm>
        <a:prstGeom prst="rect">
          <a:avLst/>
        </a:prstGeom>
      </xdr:spPr>
    </xdr:pic>
    <xdr:clientData/>
  </xdr:oneCellAnchor>
  <xdr:oneCellAnchor>
    <xdr:from>
      <xdr:col>12</xdr:col>
      <xdr:colOff>205740</xdr:colOff>
      <xdr:row>81</xdr:row>
      <xdr:rowOff>185420</xdr:rowOff>
    </xdr:from>
    <xdr:ext cx="304800" cy="283210"/>
    <xdr:pic>
      <xdr:nvPicPr>
        <xdr:cNvPr id="64" name="Image 63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9580" y="23357840"/>
          <a:ext cx="304800" cy="283210"/>
        </a:xfrm>
        <a:prstGeom prst="rect">
          <a:avLst/>
        </a:prstGeom>
      </xdr:spPr>
    </xdr:pic>
    <xdr:clientData/>
  </xdr:oneCellAnchor>
  <xdr:oneCellAnchor>
    <xdr:from>
      <xdr:col>12</xdr:col>
      <xdr:colOff>213360</xdr:colOff>
      <xdr:row>84</xdr:row>
      <xdr:rowOff>21590</xdr:rowOff>
    </xdr:from>
    <xdr:ext cx="250825" cy="263525"/>
    <xdr:pic>
      <xdr:nvPicPr>
        <xdr:cNvPr id="65" name="Image 64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" y="24062690"/>
          <a:ext cx="250825" cy="263525"/>
        </a:xfrm>
        <a:prstGeom prst="rect">
          <a:avLst/>
        </a:prstGeom>
        <a:noFill/>
      </xdr:spPr>
    </xdr:pic>
    <xdr:clientData/>
  </xdr:oneCellAnchor>
  <xdr:oneCellAnchor>
    <xdr:from>
      <xdr:col>12</xdr:col>
      <xdr:colOff>205740</xdr:colOff>
      <xdr:row>86</xdr:row>
      <xdr:rowOff>168910</xdr:rowOff>
    </xdr:from>
    <xdr:ext cx="283210" cy="243840"/>
    <xdr:pic>
      <xdr:nvPicPr>
        <xdr:cNvPr id="66" name="Image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9580" y="24789130"/>
          <a:ext cx="283210" cy="243840"/>
        </a:xfrm>
        <a:prstGeom prst="rect">
          <a:avLst/>
        </a:prstGeom>
      </xdr:spPr>
    </xdr:pic>
    <xdr:clientData/>
  </xdr:oneCellAnchor>
  <xdr:twoCellAnchor>
    <xdr:from>
      <xdr:col>26</xdr:col>
      <xdr:colOff>91440</xdr:colOff>
      <xdr:row>44</xdr:row>
      <xdr:rowOff>144780</xdr:rowOff>
    </xdr:from>
    <xdr:to>
      <xdr:col>26</xdr:col>
      <xdr:colOff>381000</xdr:colOff>
      <xdr:row>44</xdr:row>
      <xdr:rowOff>152400</xdr:rowOff>
    </xdr:to>
    <xdr:cxnSp macro="">
      <xdr:nvCxnSpPr>
        <xdr:cNvPr id="79" name="Connecteur droit avec flèche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CxnSpPr/>
      </xdr:nvCxnSpPr>
      <xdr:spPr>
        <a:xfrm flipH="1" flipV="1">
          <a:off x="10767060" y="12824460"/>
          <a:ext cx="289560" cy="762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373380</xdr:colOff>
      <xdr:row>56</xdr:row>
      <xdr:rowOff>53340</xdr:rowOff>
    </xdr:from>
    <xdr:to>
      <xdr:col>25</xdr:col>
      <xdr:colOff>373380</xdr:colOff>
      <xdr:row>56</xdr:row>
      <xdr:rowOff>236220</xdr:rowOff>
    </xdr:to>
    <xdr:cxnSp macro="">
      <xdr:nvCxnSpPr>
        <xdr:cNvPr id="80" name="Connecteur droit avec flèche 79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CxnSpPr/>
      </xdr:nvCxnSpPr>
      <xdr:spPr>
        <a:xfrm>
          <a:off x="10370820" y="16207740"/>
          <a:ext cx="0" cy="12192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91440</xdr:colOff>
      <xdr:row>60</xdr:row>
      <xdr:rowOff>144780</xdr:rowOff>
    </xdr:from>
    <xdr:to>
      <xdr:col>26</xdr:col>
      <xdr:colOff>381000</xdr:colOff>
      <xdr:row>60</xdr:row>
      <xdr:rowOff>152400</xdr:rowOff>
    </xdr:to>
    <xdr:cxnSp macro="">
      <xdr:nvCxnSpPr>
        <xdr:cNvPr id="82" name="Connecteur droit avec flèche 8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CxnSpPr/>
      </xdr:nvCxnSpPr>
      <xdr:spPr>
        <a:xfrm flipH="1" flipV="1">
          <a:off x="10767060" y="17343120"/>
          <a:ext cx="289560" cy="762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373380</xdr:colOff>
      <xdr:row>72</xdr:row>
      <xdr:rowOff>53340</xdr:rowOff>
    </xdr:from>
    <xdr:to>
      <xdr:col>25</xdr:col>
      <xdr:colOff>373380</xdr:colOff>
      <xdr:row>72</xdr:row>
      <xdr:rowOff>236220</xdr:rowOff>
    </xdr:to>
    <xdr:cxnSp macro="">
      <xdr:nvCxnSpPr>
        <xdr:cNvPr id="83" name="Connecteur droit avec flèche 82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CxnSpPr/>
      </xdr:nvCxnSpPr>
      <xdr:spPr>
        <a:xfrm>
          <a:off x="10370820" y="20726400"/>
          <a:ext cx="0" cy="12954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91440</xdr:colOff>
      <xdr:row>76</xdr:row>
      <xdr:rowOff>144780</xdr:rowOff>
    </xdr:from>
    <xdr:to>
      <xdr:col>26</xdr:col>
      <xdr:colOff>381000</xdr:colOff>
      <xdr:row>76</xdr:row>
      <xdr:rowOff>152400</xdr:rowOff>
    </xdr:to>
    <xdr:cxnSp macro="">
      <xdr:nvCxnSpPr>
        <xdr:cNvPr id="85" name="Connecteur droit avec flèche 84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CxnSpPr/>
      </xdr:nvCxnSpPr>
      <xdr:spPr>
        <a:xfrm flipH="1" flipV="1">
          <a:off x="10767060" y="21869400"/>
          <a:ext cx="289560" cy="762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373380</xdr:colOff>
      <xdr:row>88</xdr:row>
      <xdr:rowOff>53340</xdr:rowOff>
    </xdr:from>
    <xdr:to>
      <xdr:col>25</xdr:col>
      <xdr:colOff>373380</xdr:colOff>
      <xdr:row>88</xdr:row>
      <xdr:rowOff>236220</xdr:rowOff>
    </xdr:to>
    <xdr:cxnSp macro="">
      <xdr:nvCxnSpPr>
        <xdr:cNvPr id="86" name="Connecteur droit avec flèche 85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CxnSpPr/>
      </xdr:nvCxnSpPr>
      <xdr:spPr>
        <a:xfrm>
          <a:off x="10370820" y="25252680"/>
          <a:ext cx="0" cy="12954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23</xdr:col>
      <xdr:colOff>228600</xdr:colOff>
      <xdr:row>46</xdr:row>
      <xdr:rowOff>259080</xdr:rowOff>
    </xdr:from>
    <xdr:ext cx="289560" cy="277495"/>
    <xdr:pic>
      <xdr:nvPicPr>
        <xdr:cNvPr id="87" name="Image 86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16240" y="13517880"/>
          <a:ext cx="289560" cy="277495"/>
        </a:xfrm>
        <a:prstGeom prst="rect">
          <a:avLst/>
        </a:prstGeom>
      </xdr:spPr>
    </xdr:pic>
    <xdr:clientData/>
  </xdr:oneCellAnchor>
  <xdr:oneCellAnchor>
    <xdr:from>
      <xdr:col>23</xdr:col>
      <xdr:colOff>228600</xdr:colOff>
      <xdr:row>49</xdr:row>
      <xdr:rowOff>162560</xdr:rowOff>
    </xdr:from>
    <xdr:ext cx="304800" cy="283210"/>
    <xdr:pic>
      <xdr:nvPicPr>
        <xdr:cNvPr id="88" name="Image 87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16240" y="14290040"/>
          <a:ext cx="304800" cy="283210"/>
        </a:xfrm>
        <a:prstGeom prst="rect">
          <a:avLst/>
        </a:prstGeom>
      </xdr:spPr>
    </xdr:pic>
    <xdr:clientData/>
  </xdr:oneCellAnchor>
  <xdr:oneCellAnchor>
    <xdr:from>
      <xdr:col>23</xdr:col>
      <xdr:colOff>236220</xdr:colOff>
      <xdr:row>51</xdr:row>
      <xdr:rowOff>288290</xdr:rowOff>
    </xdr:from>
    <xdr:ext cx="250825" cy="263525"/>
    <xdr:pic>
      <xdr:nvPicPr>
        <xdr:cNvPr id="89" name="Image 88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23860" y="14994890"/>
          <a:ext cx="250825" cy="263525"/>
        </a:xfrm>
        <a:prstGeom prst="rect">
          <a:avLst/>
        </a:prstGeom>
        <a:noFill/>
      </xdr:spPr>
    </xdr:pic>
    <xdr:clientData/>
  </xdr:oneCellAnchor>
  <xdr:oneCellAnchor>
    <xdr:from>
      <xdr:col>23</xdr:col>
      <xdr:colOff>228600</xdr:colOff>
      <xdr:row>54</xdr:row>
      <xdr:rowOff>146050</xdr:rowOff>
    </xdr:from>
    <xdr:ext cx="283210" cy="243840"/>
    <xdr:pic>
      <xdr:nvPicPr>
        <xdr:cNvPr id="90" name="Image 89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16240" y="15721330"/>
          <a:ext cx="283210" cy="243840"/>
        </a:xfrm>
        <a:prstGeom prst="rect">
          <a:avLst/>
        </a:prstGeom>
      </xdr:spPr>
    </xdr:pic>
    <xdr:clientData/>
  </xdr:oneCellAnchor>
  <xdr:oneCellAnchor>
    <xdr:from>
      <xdr:col>23</xdr:col>
      <xdr:colOff>228600</xdr:colOff>
      <xdr:row>62</xdr:row>
      <xdr:rowOff>274320</xdr:rowOff>
    </xdr:from>
    <xdr:ext cx="289560" cy="277495"/>
    <xdr:pic>
      <xdr:nvPicPr>
        <xdr:cNvPr id="91" name="Image 90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16240" y="18051780"/>
          <a:ext cx="289560" cy="277495"/>
        </a:xfrm>
        <a:prstGeom prst="rect">
          <a:avLst/>
        </a:prstGeom>
      </xdr:spPr>
    </xdr:pic>
    <xdr:clientData/>
  </xdr:oneCellAnchor>
  <xdr:oneCellAnchor>
    <xdr:from>
      <xdr:col>23</xdr:col>
      <xdr:colOff>228600</xdr:colOff>
      <xdr:row>65</xdr:row>
      <xdr:rowOff>177800</xdr:rowOff>
    </xdr:from>
    <xdr:ext cx="304800" cy="283210"/>
    <xdr:pic>
      <xdr:nvPicPr>
        <xdr:cNvPr id="92" name="Image 91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16240" y="18823940"/>
          <a:ext cx="304800" cy="283210"/>
        </a:xfrm>
        <a:prstGeom prst="rect">
          <a:avLst/>
        </a:prstGeom>
      </xdr:spPr>
    </xdr:pic>
    <xdr:clientData/>
  </xdr:oneCellAnchor>
  <xdr:oneCellAnchor>
    <xdr:from>
      <xdr:col>23</xdr:col>
      <xdr:colOff>236220</xdr:colOff>
      <xdr:row>68</xdr:row>
      <xdr:rowOff>13970</xdr:rowOff>
    </xdr:from>
    <xdr:ext cx="250825" cy="263525"/>
    <xdr:pic>
      <xdr:nvPicPr>
        <xdr:cNvPr id="93" name="Image 92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23860" y="19528790"/>
          <a:ext cx="250825" cy="263525"/>
        </a:xfrm>
        <a:prstGeom prst="rect">
          <a:avLst/>
        </a:prstGeom>
        <a:noFill/>
      </xdr:spPr>
    </xdr:pic>
    <xdr:clientData/>
  </xdr:oneCellAnchor>
  <xdr:oneCellAnchor>
    <xdr:from>
      <xdr:col>23</xdr:col>
      <xdr:colOff>228600</xdr:colOff>
      <xdr:row>70</xdr:row>
      <xdr:rowOff>100330</xdr:rowOff>
    </xdr:from>
    <xdr:ext cx="283210" cy="243840"/>
    <xdr:pic>
      <xdr:nvPicPr>
        <xdr:cNvPr id="94" name="Image 93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16240" y="20194270"/>
          <a:ext cx="283210" cy="243840"/>
        </a:xfrm>
        <a:prstGeom prst="rect">
          <a:avLst/>
        </a:prstGeom>
      </xdr:spPr>
    </xdr:pic>
    <xdr:clientData/>
  </xdr:oneCellAnchor>
  <xdr:oneCellAnchor>
    <xdr:from>
      <xdr:col>23</xdr:col>
      <xdr:colOff>205740</xdr:colOff>
      <xdr:row>78</xdr:row>
      <xdr:rowOff>281940</xdr:rowOff>
    </xdr:from>
    <xdr:ext cx="289560" cy="277495"/>
    <xdr:pic>
      <xdr:nvPicPr>
        <xdr:cNvPr id="95" name="Image 94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3380" y="22585680"/>
          <a:ext cx="289560" cy="277495"/>
        </a:xfrm>
        <a:prstGeom prst="rect">
          <a:avLst/>
        </a:prstGeom>
      </xdr:spPr>
    </xdr:pic>
    <xdr:clientData/>
  </xdr:oneCellAnchor>
  <xdr:oneCellAnchor>
    <xdr:from>
      <xdr:col>23</xdr:col>
      <xdr:colOff>205740</xdr:colOff>
      <xdr:row>81</xdr:row>
      <xdr:rowOff>185420</xdr:rowOff>
    </xdr:from>
    <xdr:ext cx="304800" cy="283210"/>
    <xdr:pic>
      <xdr:nvPicPr>
        <xdr:cNvPr id="96" name="Image 95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3380" y="23357840"/>
          <a:ext cx="304800" cy="283210"/>
        </a:xfrm>
        <a:prstGeom prst="rect">
          <a:avLst/>
        </a:prstGeom>
      </xdr:spPr>
    </xdr:pic>
    <xdr:clientData/>
  </xdr:oneCellAnchor>
  <xdr:oneCellAnchor>
    <xdr:from>
      <xdr:col>23</xdr:col>
      <xdr:colOff>213360</xdr:colOff>
      <xdr:row>84</xdr:row>
      <xdr:rowOff>21590</xdr:rowOff>
    </xdr:from>
    <xdr:ext cx="250825" cy="263525"/>
    <xdr:pic>
      <xdr:nvPicPr>
        <xdr:cNvPr id="97" name="Image 96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1000" y="24062690"/>
          <a:ext cx="250825" cy="263525"/>
        </a:xfrm>
        <a:prstGeom prst="rect">
          <a:avLst/>
        </a:prstGeom>
        <a:noFill/>
      </xdr:spPr>
    </xdr:pic>
    <xdr:clientData/>
  </xdr:oneCellAnchor>
  <xdr:oneCellAnchor>
    <xdr:from>
      <xdr:col>23</xdr:col>
      <xdr:colOff>205740</xdr:colOff>
      <xdr:row>86</xdr:row>
      <xdr:rowOff>168910</xdr:rowOff>
    </xdr:from>
    <xdr:ext cx="283210" cy="243840"/>
    <xdr:pic>
      <xdr:nvPicPr>
        <xdr:cNvPr id="98" name="Image 97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3380" y="24789130"/>
          <a:ext cx="283210" cy="243840"/>
        </a:xfrm>
        <a:prstGeom prst="rect">
          <a:avLst/>
        </a:prstGeom>
      </xdr:spPr>
    </xdr:pic>
    <xdr:clientData/>
  </xdr:oneCellAnchor>
  <xdr:twoCellAnchor>
    <xdr:from>
      <xdr:col>41</xdr:col>
      <xdr:colOff>99060</xdr:colOff>
      <xdr:row>2</xdr:row>
      <xdr:rowOff>144780</xdr:rowOff>
    </xdr:from>
    <xdr:to>
      <xdr:col>41</xdr:col>
      <xdr:colOff>457200</xdr:colOff>
      <xdr:row>2</xdr:row>
      <xdr:rowOff>144780</xdr:rowOff>
    </xdr:to>
    <xdr:cxnSp macro="">
      <xdr:nvCxnSpPr>
        <xdr:cNvPr id="99" name="Connecteur droit avec flèche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CxnSpPr/>
      </xdr:nvCxnSpPr>
      <xdr:spPr>
        <a:xfrm flipH="1">
          <a:off x="21145500" y="701040"/>
          <a:ext cx="35814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91440</xdr:colOff>
      <xdr:row>44</xdr:row>
      <xdr:rowOff>144780</xdr:rowOff>
    </xdr:from>
    <xdr:to>
      <xdr:col>37</xdr:col>
      <xdr:colOff>381000</xdr:colOff>
      <xdr:row>44</xdr:row>
      <xdr:rowOff>152400</xdr:rowOff>
    </xdr:to>
    <xdr:cxnSp macro="">
      <xdr:nvCxnSpPr>
        <xdr:cNvPr id="111" name="Connecteur droit avec flèche 110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CxnSpPr/>
      </xdr:nvCxnSpPr>
      <xdr:spPr>
        <a:xfrm flipH="1" flipV="1">
          <a:off x="18310860" y="12824460"/>
          <a:ext cx="289560" cy="762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373380</xdr:colOff>
      <xdr:row>56</xdr:row>
      <xdr:rowOff>53340</xdr:rowOff>
    </xdr:from>
    <xdr:to>
      <xdr:col>36</xdr:col>
      <xdr:colOff>373380</xdr:colOff>
      <xdr:row>56</xdr:row>
      <xdr:rowOff>236220</xdr:rowOff>
    </xdr:to>
    <xdr:cxnSp macro="">
      <xdr:nvCxnSpPr>
        <xdr:cNvPr id="112" name="Connecteur droit avec flèche 111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CxnSpPr/>
      </xdr:nvCxnSpPr>
      <xdr:spPr>
        <a:xfrm>
          <a:off x="17914620" y="16207740"/>
          <a:ext cx="0" cy="12192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91440</xdr:colOff>
      <xdr:row>60</xdr:row>
      <xdr:rowOff>144780</xdr:rowOff>
    </xdr:from>
    <xdr:to>
      <xdr:col>37</xdr:col>
      <xdr:colOff>381000</xdr:colOff>
      <xdr:row>60</xdr:row>
      <xdr:rowOff>152400</xdr:rowOff>
    </xdr:to>
    <xdr:cxnSp macro="">
      <xdr:nvCxnSpPr>
        <xdr:cNvPr id="114" name="Connecteur droit avec flèche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CxnSpPr/>
      </xdr:nvCxnSpPr>
      <xdr:spPr>
        <a:xfrm flipH="1" flipV="1">
          <a:off x="18310860" y="17343120"/>
          <a:ext cx="289560" cy="762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373380</xdr:colOff>
      <xdr:row>72</xdr:row>
      <xdr:rowOff>53340</xdr:rowOff>
    </xdr:from>
    <xdr:to>
      <xdr:col>36</xdr:col>
      <xdr:colOff>373380</xdr:colOff>
      <xdr:row>72</xdr:row>
      <xdr:rowOff>236220</xdr:rowOff>
    </xdr:to>
    <xdr:cxnSp macro="">
      <xdr:nvCxnSpPr>
        <xdr:cNvPr id="115" name="Connecteur droit avec flèche 114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CxnSpPr/>
      </xdr:nvCxnSpPr>
      <xdr:spPr>
        <a:xfrm>
          <a:off x="17914620" y="20726400"/>
          <a:ext cx="0" cy="12954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91440</xdr:colOff>
      <xdr:row>76</xdr:row>
      <xdr:rowOff>144780</xdr:rowOff>
    </xdr:from>
    <xdr:to>
      <xdr:col>37</xdr:col>
      <xdr:colOff>381000</xdr:colOff>
      <xdr:row>76</xdr:row>
      <xdr:rowOff>152400</xdr:rowOff>
    </xdr:to>
    <xdr:cxnSp macro="">
      <xdr:nvCxnSpPr>
        <xdr:cNvPr id="117" name="Connecteur droit avec flèche 116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CxnSpPr/>
      </xdr:nvCxnSpPr>
      <xdr:spPr>
        <a:xfrm flipH="1" flipV="1">
          <a:off x="18310860" y="21869400"/>
          <a:ext cx="289560" cy="762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373380</xdr:colOff>
      <xdr:row>88</xdr:row>
      <xdr:rowOff>53340</xdr:rowOff>
    </xdr:from>
    <xdr:to>
      <xdr:col>36</xdr:col>
      <xdr:colOff>373380</xdr:colOff>
      <xdr:row>88</xdr:row>
      <xdr:rowOff>236220</xdr:rowOff>
    </xdr:to>
    <xdr:cxnSp macro="">
      <xdr:nvCxnSpPr>
        <xdr:cNvPr id="118" name="Connecteur droit avec flèche 117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CxnSpPr/>
      </xdr:nvCxnSpPr>
      <xdr:spPr>
        <a:xfrm>
          <a:off x="17914620" y="25252680"/>
          <a:ext cx="0" cy="12954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34</xdr:col>
      <xdr:colOff>228600</xdr:colOff>
      <xdr:row>46</xdr:row>
      <xdr:rowOff>259080</xdr:rowOff>
    </xdr:from>
    <xdr:ext cx="289560" cy="277495"/>
    <xdr:pic>
      <xdr:nvPicPr>
        <xdr:cNvPr id="119" name="Image 118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60040" y="13517880"/>
          <a:ext cx="289560" cy="277495"/>
        </a:xfrm>
        <a:prstGeom prst="rect">
          <a:avLst/>
        </a:prstGeom>
      </xdr:spPr>
    </xdr:pic>
    <xdr:clientData/>
  </xdr:oneCellAnchor>
  <xdr:oneCellAnchor>
    <xdr:from>
      <xdr:col>34</xdr:col>
      <xdr:colOff>228600</xdr:colOff>
      <xdr:row>49</xdr:row>
      <xdr:rowOff>162560</xdr:rowOff>
    </xdr:from>
    <xdr:ext cx="304800" cy="283210"/>
    <xdr:pic>
      <xdr:nvPicPr>
        <xdr:cNvPr id="120" name="Image 119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60040" y="14290040"/>
          <a:ext cx="304800" cy="283210"/>
        </a:xfrm>
        <a:prstGeom prst="rect">
          <a:avLst/>
        </a:prstGeom>
      </xdr:spPr>
    </xdr:pic>
    <xdr:clientData/>
  </xdr:oneCellAnchor>
  <xdr:oneCellAnchor>
    <xdr:from>
      <xdr:col>34</xdr:col>
      <xdr:colOff>236220</xdr:colOff>
      <xdr:row>51</xdr:row>
      <xdr:rowOff>288290</xdr:rowOff>
    </xdr:from>
    <xdr:ext cx="250825" cy="263525"/>
    <xdr:pic>
      <xdr:nvPicPr>
        <xdr:cNvPr id="121" name="Image 120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67660" y="14994890"/>
          <a:ext cx="250825" cy="263525"/>
        </a:xfrm>
        <a:prstGeom prst="rect">
          <a:avLst/>
        </a:prstGeom>
        <a:noFill/>
      </xdr:spPr>
    </xdr:pic>
    <xdr:clientData/>
  </xdr:oneCellAnchor>
  <xdr:oneCellAnchor>
    <xdr:from>
      <xdr:col>34</xdr:col>
      <xdr:colOff>228600</xdr:colOff>
      <xdr:row>54</xdr:row>
      <xdr:rowOff>146050</xdr:rowOff>
    </xdr:from>
    <xdr:ext cx="283210" cy="243840"/>
    <xdr:pic>
      <xdr:nvPicPr>
        <xdr:cNvPr id="122" name="Image 121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60040" y="15721330"/>
          <a:ext cx="283210" cy="243840"/>
        </a:xfrm>
        <a:prstGeom prst="rect">
          <a:avLst/>
        </a:prstGeom>
      </xdr:spPr>
    </xdr:pic>
    <xdr:clientData/>
  </xdr:oneCellAnchor>
  <xdr:oneCellAnchor>
    <xdr:from>
      <xdr:col>34</xdr:col>
      <xdr:colOff>228600</xdr:colOff>
      <xdr:row>62</xdr:row>
      <xdr:rowOff>274320</xdr:rowOff>
    </xdr:from>
    <xdr:ext cx="289560" cy="277495"/>
    <xdr:pic>
      <xdr:nvPicPr>
        <xdr:cNvPr id="123" name="Image 122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60040" y="18051780"/>
          <a:ext cx="289560" cy="277495"/>
        </a:xfrm>
        <a:prstGeom prst="rect">
          <a:avLst/>
        </a:prstGeom>
      </xdr:spPr>
    </xdr:pic>
    <xdr:clientData/>
  </xdr:oneCellAnchor>
  <xdr:oneCellAnchor>
    <xdr:from>
      <xdr:col>34</xdr:col>
      <xdr:colOff>228600</xdr:colOff>
      <xdr:row>65</xdr:row>
      <xdr:rowOff>177800</xdr:rowOff>
    </xdr:from>
    <xdr:ext cx="304800" cy="283210"/>
    <xdr:pic>
      <xdr:nvPicPr>
        <xdr:cNvPr id="124" name="Image 123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60040" y="18823940"/>
          <a:ext cx="304800" cy="283210"/>
        </a:xfrm>
        <a:prstGeom prst="rect">
          <a:avLst/>
        </a:prstGeom>
      </xdr:spPr>
    </xdr:pic>
    <xdr:clientData/>
  </xdr:oneCellAnchor>
  <xdr:oneCellAnchor>
    <xdr:from>
      <xdr:col>34</xdr:col>
      <xdr:colOff>236220</xdr:colOff>
      <xdr:row>68</xdr:row>
      <xdr:rowOff>13970</xdr:rowOff>
    </xdr:from>
    <xdr:ext cx="250825" cy="263525"/>
    <xdr:pic>
      <xdr:nvPicPr>
        <xdr:cNvPr id="125" name="Image 124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67660" y="19528790"/>
          <a:ext cx="250825" cy="263525"/>
        </a:xfrm>
        <a:prstGeom prst="rect">
          <a:avLst/>
        </a:prstGeom>
        <a:noFill/>
      </xdr:spPr>
    </xdr:pic>
    <xdr:clientData/>
  </xdr:oneCellAnchor>
  <xdr:oneCellAnchor>
    <xdr:from>
      <xdr:col>34</xdr:col>
      <xdr:colOff>228600</xdr:colOff>
      <xdr:row>70</xdr:row>
      <xdr:rowOff>100330</xdr:rowOff>
    </xdr:from>
    <xdr:ext cx="283210" cy="243840"/>
    <xdr:pic>
      <xdr:nvPicPr>
        <xdr:cNvPr id="126" name="Image 125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60040" y="20194270"/>
          <a:ext cx="283210" cy="243840"/>
        </a:xfrm>
        <a:prstGeom prst="rect">
          <a:avLst/>
        </a:prstGeom>
      </xdr:spPr>
    </xdr:pic>
    <xdr:clientData/>
  </xdr:oneCellAnchor>
  <xdr:oneCellAnchor>
    <xdr:from>
      <xdr:col>34</xdr:col>
      <xdr:colOff>205740</xdr:colOff>
      <xdr:row>78</xdr:row>
      <xdr:rowOff>281940</xdr:rowOff>
    </xdr:from>
    <xdr:ext cx="289560" cy="277495"/>
    <xdr:pic>
      <xdr:nvPicPr>
        <xdr:cNvPr id="127" name="Image 126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37180" y="22585680"/>
          <a:ext cx="289560" cy="277495"/>
        </a:xfrm>
        <a:prstGeom prst="rect">
          <a:avLst/>
        </a:prstGeom>
      </xdr:spPr>
    </xdr:pic>
    <xdr:clientData/>
  </xdr:oneCellAnchor>
  <xdr:oneCellAnchor>
    <xdr:from>
      <xdr:col>34</xdr:col>
      <xdr:colOff>205740</xdr:colOff>
      <xdr:row>81</xdr:row>
      <xdr:rowOff>185420</xdr:rowOff>
    </xdr:from>
    <xdr:ext cx="304800" cy="283210"/>
    <xdr:pic>
      <xdr:nvPicPr>
        <xdr:cNvPr id="128" name="Image 127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37180" y="23357840"/>
          <a:ext cx="304800" cy="283210"/>
        </a:xfrm>
        <a:prstGeom prst="rect">
          <a:avLst/>
        </a:prstGeom>
      </xdr:spPr>
    </xdr:pic>
    <xdr:clientData/>
  </xdr:oneCellAnchor>
  <xdr:oneCellAnchor>
    <xdr:from>
      <xdr:col>34</xdr:col>
      <xdr:colOff>213360</xdr:colOff>
      <xdr:row>84</xdr:row>
      <xdr:rowOff>21590</xdr:rowOff>
    </xdr:from>
    <xdr:ext cx="250825" cy="263525"/>
    <xdr:pic>
      <xdr:nvPicPr>
        <xdr:cNvPr id="129" name="Image 128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44800" y="24062690"/>
          <a:ext cx="250825" cy="263525"/>
        </a:xfrm>
        <a:prstGeom prst="rect">
          <a:avLst/>
        </a:prstGeom>
        <a:noFill/>
      </xdr:spPr>
    </xdr:pic>
    <xdr:clientData/>
  </xdr:oneCellAnchor>
  <xdr:oneCellAnchor>
    <xdr:from>
      <xdr:col>34</xdr:col>
      <xdr:colOff>205740</xdr:colOff>
      <xdr:row>86</xdr:row>
      <xdr:rowOff>168910</xdr:rowOff>
    </xdr:from>
    <xdr:ext cx="283210" cy="243840"/>
    <xdr:pic>
      <xdr:nvPicPr>
        <xdr:cNvPr id="130" name="Image 129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37180" y="24789130"/>
          <a:ext cx="283210" cy="243840"/>
        </a:xfrm>
        <a:prstGeom prst="rect">
          <a:avLst/>
        </a:prstGeom>
      </xdr:spPr>
    </xdr:pic>
    <xdr:clientData/>
  </xdr:oneCellAnchor>
  <xdr:twoCellAnchor>
    <xdr:from>
      <xdr:col>52</xdr:col>
      <xdr:colOff>99060</xdr:colOff>
      <xdr:row>2</xdr:row>
      <xdr:rowOff>144780</xdr:rowOff>
    </xdr:from>
    <xdr:to>
      <xdr:col>52</xdr:col>
      <xdr:colOff>457200</xdr:colOff>
      <xdr:row>2</xdr:row>
      <xdr:rowOff>144780</xdr:rowOff>
    </xdr:to>
    <xdr:cxnSp macro="">
      <xdr:nvCxnSpPr>
        <xdr:cNvPr id="131" name="Connecteur droit avec flèche 130">
          <a:extLst>
            <a:ext uri="{FF2B5EF4-FFF2-40B4-BE49-F238E27FC236}">
              <a16:creationId xmlns:a16="http://schemas.microsoft.com/office/drawing/2014/main" id="{00000000-0008-0000-0500-000083000000}"/>
            </a:ext>
          </a:extLst>
        </xdr:cNvPr>
        <xdr:cNvCxnSpPr/>
      </xdr:nvCxnSpPr>
      <xdr:spPr>
        <a:xfrm flipH="1">
          <a:off x="28689300" y="701040"/>
          <a:ext cx="35814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91440</xdr:colOff>
      <xdr:row>44</xdr:row>
      <xdr:rowOff>144780</xdr:rowOff>
    </xdr:from>
    <xdr:to>
      <xdr:col>48</xdr:col>
      <xdr:colOff>381000</xdr:colOff>
      <xdr:row>44</xdr:row>
      <xdr:rowOff>152400</xdr:rowOff>
    </xdr:to>
    <xdr:cxnSp macro="">
      <xdr:nvCxnSpPr>
        <xdr:cNvPr id="143" name="Connecteur droit avec flèche 142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CxnSpPr/>
      </xdr:nvCxnSpPr>
      <xdr:spPr>
        <a:xfrm flipH="1" flipV="1">
          <a:off x="25854660" y="12824460"/>
          <a:ext cx="289560" cy="762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373380</xdr:colOff>
      <xdr:row>56</xdr:row>
      <xdr:rowOff>53340</xdr:rowOff>
    </xdr:from>
    <xdr:to>
      <xdr:col>47</xdr:col>
      <xdr:colOff>373380</xdr:colOff>
      <xdr:row>56</xdr:row>
      <xdr:rowOff>236220</xdr:rowOff>
    </xdr:to>
    <xdr:cxnSp macro="">
      <xdr:nvCxnSpPr>
        <xdr:cNvPr id="144" name="Connecteur droit avec flèche 143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CxnSpPr/>
      </xdr:nvCxnSpPr>
      <xdr:spPr>
        <a:xfrm>
          <a:off x="25458420" y="16207740"/>
          <a:ext cx="0" cy="12192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91440</xdr:colOff>
      <xdr:row>60</xdr:row>
      <xdr:rowOff>144780</xdr:rowOff>
    </xdr:from>
    <xdr:to>
      <xdr:col>48</xdr:col>
      <xdr:colOff>381000</xdr:colOff>
      <xdr:row>60</xdr:row>
      <xdr:rowOff>152400</xdr:rowOff>
    </xdr:to>
    <xdr:cxnSp macro="">
      <xdr:nvCxnSpPr>
        <xdr:cNvPr id="146" name="Connecteur droit avec flèche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CxnSpPr/>
      </xdr:nvCxnSpPr>
      <xdr:spPr>
        <a:xfrm flipH="1" flipV="1">
          <a:off x="25854660" y="17343120"/>
          <a:ext cx="289560" cy="762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373380</xdr:colOff>
      <xdr:row>72</xdr:row>
      <xdr:rowOff>53340</xdr:rowOff>
    </xdr:from>
    <xdr:to>
      <xdr:col>47</xdr:col>
      <xdr:colOff>373380</xdr:colOff>
      <xdr:row>72</xdr:row>
      <xdr:rowOff>236220</xdr:rowOff>
    </xdr:to>
    <xdr:cxnSp macro="">
      <xdr:nvCxnSpPr>
        <xdr:cNvPr id="147" name="Connecteur droit avec flèche 146"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CxnSpPr/>
      </xdr:nvCxnSpPr>
      <xdr:spPr>
        <a:xfrm>
          <a:off x="25458420" y="20726400"/>
          <a:ext cx="0" cy="12954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91440</xdr:colOff>
      <xdr:row>76</xdr:row>
      <xdr:rowOff>144780</xdr:rowOff>
    </xdr:from>
    <xdr:to>
      <xdr:col>48</xdr:col>
      <xdr:colOff>381000</xdr:colOff>
      <xdr:row>76</xdr:row>
      <xdr:rowOff>152400</xdr:rowOff>
    </xdr:to>
    <xdr:cxnSp macro="">
      <xdr:nvCxnSpPr>
        <xdr:cNvPr id="149" name="Connecteur droit avec flèche 148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CxnSpPr/>
      </xdr:nvCxnSpPr>
      <xdr:spPr>
        <a:xfrm flipH="1" flipV="1">
          <a:off x="25854660" y="21869400"/>
          <a:ext cx="289560" cy="762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373380</xdr:colOff>
      <xdr:row>88</xdr:row>
      <xdr:rowOff>53340</xdr:rowOff>
    </xdr:from>
    <xdr:to>
      <xdr:col>47</xdr:col>
      <xdr:colOff>373380</xdr:colOff>
      <xdr:row>88</xdr:row>
      <xdr:rowOff>236220</xdr:rowOff>
    </xdr:to>
    <xdr:cxnSp macro="">
      <xdr:nvCxnSpPr>
        <xdr:cNvPr id="150" name="Connecteur droit avec flèche 149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CxnSpPr/>
      </xdr:nvCxnSpPr>
      <xdr:spPr>
        <a:xfrm>
          <a:off x="25458420" y="25252680"/>
          <a:ext cx="0" cy="12954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45</xdr:col>
      <xdr:colOff>228600</xdr:colOff>
      <xdr:row>46</xdr:row>
      <xdr:rowOff>259080</xdr:rowOff>
    </xdr:from>
    <xdr:ext cx="289560" cy="277495"/>
    <xdr:pic>
      <xdr:nvPicPr>
        <xdr:cNvPr id="151" name="Image 150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03840" y="13517880"/>
          <a:ext cx="289560" cy="277495"/>
        </a:xfrm>
        <a:prstGeom prst="rect">
          <a:avLst/>
        </a:prstGeom>
      </xdr:spPr>
    </xdr:pic>
    <xdr:clientData/>
  </xdr:oneCellAnchor>
  <xdr:oneCellAnchor>
    <xdr:from>
      <xdr:col>45</xdr:col>
      <xdr:colOff>228600</xdr:colOff>
      <xdr:row>49</xdr:row>
      <xdr:rowOff>162560</xdr:rowOff>
    </xdr:from>
    <xdr:ext cx="304800" cy="283210"/>
    <xdr:pic>
      <xdr:nvPicPr>
        <xdr:cNvPr id="152" name="Image 151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03840" y="14290040"/>
          <a:ext cx="304800" cy="283210"/>
        </a:xfrm>
        <a:prstGeom prst="rect">
          <a:avLst/>
        </a:prstGeom>
      </xdr:spPr>
    </xdr:pic>
    <xdr:clientData/>
  </xdr:oneCellAnchor>
  <xdr:oneCellAnchor>
    <xdr:from>
      <xdr:col>45</xdr:col>
      <xdr:colOff>236220</xdr:colOff>
      <xdr:row>51</xdr:row>
      <xdr:rowOff>288290</xdr:rowOff>
    </xdr:from>
    <xdr:ext cx="250825" cy="263525"/>
    <xdr:pic>
      <xdr:nvPicPr>
        <xdr:cNvPr id="153" name="Image 152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11460" y="14994890"/>
          <a:ext cx="250825" cy="263525"/>
        </a:xfrm>
        <a:prstGeom prst="rect">
          <a:avLst/>
        </a:prstGeom>
        <a:noFill/>
      </xdr:spPr>
    </xdr:pic>
    <xdr:clientData/>
  </xdr:oneCellAnchor>
  <xdr:oneCellAnchor>
    <xdr:from>
      <xdr:col>45</xdr:col>
      <xdr:colOff>228600</xdr:colOff>
      <xdr:row>54</xdr:row>
      <xdr:rowOff>146050</xdr:rowOff>
    </xdr:from>
    <xdr:ext cx="283210" cy="243840"/>
    <xdr:pic>
      <xdr:nvPicPr>
        <xdr:cNvPr id="154" name="Image 153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03840" y="15721330"/>
          <a:ext cx="283210" cy="243840"/>
        </a:xfrm>
        <a:prstGeom prst="rect">
          <a:avLst/>
        </a:prstGeom>
      </xdr:spPr>
    </xdr:pic>
    <xdr:clientData/>
  </xdr:oneCellAnchor>
  <xdr:oneCellAnchor>
    <xdr:from>
      <xdr:col>45</xdr:col>
      <xdr:colOff>228600</xdr:colOff>
      <xdr:row>62</xdr:row>
      <xdr:rowOff>274320</xdr:rowOff>
    </xdr:from>
    <xdr:ext cx="289560" cy="277495"/>
    <xdr:pic>
      <xdr:nvPicPr>
        <xdr:cNvPr id="155" name="Image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03840" y="18051780"/>
          <a:ext cx="289560" cy="277495"/>
        </a:xfrm>
        <a:prstGeom prst="rect">
          <a:avLst/>
        </a:prstGeom>
      </xdr:spPr>
    </xdr:pic>
    <xdr:clientData/>
  </xdr:oneCellAnchor>
  <xdr:oneCellAnchor>
    <xdr:from>
      <xdr:col>45</xdr:col>
      <xdr:colOff>228600</xdr:colOff>
      <xdr:row>65</xdr:row>
      <xdr:rowOff>177800</xdr:rowOff>
    </xdr:from>
    <xdr:ext cx="304800" cy="283210"/>
    <xdr:pic>
      <xdr:nvPicPr>
        <xdr:cNvPr id="156" name="Image 155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03840" y="18823940"/>
          <a:ext cx="304800" cy="283210"/>
        </a:xfrm>
        <a:prstGeom prst="rect">
          <a:avLst/>
        </a:prstGeom>
      </xdr:spPr>
    </xdr:pic>
    <xdr:clientData/>
  </xdr:oneCellAnchor>
  <xdr:oneCellAnchor>
    <xdr:from>
      <xdr:col>45</xdr:col>
      <xdr:colOff>236220</xdr:colOff>
      <xdr:row>68</xdr:row>
      <xdr:rowOff>13970</xdr:rowOff>
    </xdr:from>
    <xdr:ext cx="250825" cy="263525"/>
    <xdr:pic>
      <xdr:nvPicPr>
        <xdr:cNvPr id="157" name="Image 156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11460" y="19528790"/>
          <a:ext cx="250825" cy="263525"/>
        </a:xfrm>
        <a:prstGeom prst="rect">
          <a:avLst/>
        </a:prstGeom>
        <a:noFill/>
      </xdr:spPr>
    </xdr:pic>
    <xdr:clientData/>
  </xdr:oneCellAnchor>
  <xdr:oneCellAnchor>
    <xdr:from>
      <xdr:col>45</xdr:col>
      <xdr:colOff>228600</xdr:colOff>
      <xdr:row>70</xdr:row>
      <xdr:rowOff>100330</xdr:rowOff>
    </xdr:from>
    <xdr:ext cx="283210" cy="243840"/>
    <xdr:pic>
      <xdr:nvPicPr>
        <xdr:cNvPr id="158" name="Image 157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03840" y="20194270"/>
          <a:ext cx="283210" cy="243840"/>
        </a:xfrm>
        <a:prstGeom prst="rect">
          <a:avLst/>
        </a:prstGeom>
      </xdr:spPr>
    </xdr:pic>
    <xdr:clientData/>
  </xdr:oneCellAnchor>
  <xdr:oneCellAnchor>
    <xdr:from>
      <xdr:col>45</xdr:col>
      <xdr:colOff>205740</xdr:colOff>
      <xdr:row>78</xdr:row>
      <xdr:rowOff>281940</xdr:rowOff>
    </xdr:from>
    <xdr:ext cx="289560" cy="277495"/>
    <xdr:pic>
      <xdr:nvPicPr>
        <xdr:cNvPr id="159" name="Image 158">
          <a:extLst>
            <a:ext uri="{FF2B5EF4-FFF2-40B4-BE49-F238E27FC236}">
              <a16:creationId xmlns:a16="http://schemas.microsoft.com/office/drawing/2014/main" id="{00000000-0008-0000-0500-00009F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80980" y="22585680"/>
          <a:ext cx="289560" cy="277495"/>
        </a:xfrm>
        <a:prstGeom prst="rect">
          <a:avLst/>
        </a:prstGeom>
      </xdr:spPr>
    </xdr:pic>
    <xdr:clientData/>
  </xdr:oneCellAnchor>
  <xdr:oneCellAnchor>
    <xdr:from>
      <xdr:col>45</xdr:col>
      <xdr:colOff>205740</xdr:colOff>
      <xdr:row>81</xdr:row>
      <xdr:rowOff>185420</xdr:rowOff>
    </xdr:from>
    <xdr:ext cx="304800" cy="283210"/>
    <xdr:pic>
      <xdr:nvPicPr>
        <xdr:cNvPr id="160" name="Image 159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80980" y="23357840"/>
          <a:ext cx="304800" cy="283210"/>
        </a:xfrm>
        <a:prstGeom prst="rect">
          <a:avLst/>
        </a:prstGeom>
      </xdr:spPr>
    </xdr:pic>
    <xdr:clientData/>
  </xdr:oneCellAnchor>
  <xdr:oneCellAnchor>
    <xdr:from>
      <xdr:col>45</xdr:col>
      <xdr:colOff>213360</xdr:colOff>
      <xdr:row>84</xdr:row>
      <xdr:rowOff>21590</xdr:rowOff>
    </xdr:from>
    <xdr:ext cx="250825" cy="263525"/>
    <xdr:pic>
      <xdr:nvPicPr>
        <xdr:cNvPr id="161" name="Image 160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88600" y="24062690"/>
          <a:ext cx="250825" cy="263525"/>
        </a:xfrm>
        <a:prstGeom prst="rect">
          <a:avLst/>
        </a:prstGeom>
        <a:noFill/>
      </xdr:spPr>
    </xdr:pic>
    <xdr:clientData/>
  </xdr:oneCellAnchor>
  <xdr:oneCellAnchor>
    <xdr:from>
      <xdr:col>45</xdr:col>
      <xdr:colOff>205740</xdr:colOff>
      <xdr:row>86</xdr:row>
      <xdr:rowOff>168910</xdr:rowOff>
    </xdr:from>
    <xdr:ext cx="283210" cy="243840"/>
    <xdr:pic>
      <xdr:nvPicPr>
        <xdr:cNvPr id="162" name="Image 161">
          <a:extLst>
            <a:ext uri="{FF2B5EF4-FFF2-40B4-BE49-F238E27FC236}">
              <a16:creationId xmlns:a16="http://schemas.microsoft.com/office/drawing/2014/main" id="{00000000-0008-0000-0500-0000A2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80980" y="24789130"/>
          <a:ext cx="283210" cy="243840"/>
        </a:xfrm>
        <a:prstGeom prst="rect">
          <a:avLst/>
        </a:prstGeom>
      </xdr:spPr>
    </xdr:pic>
    <xdr:clientData/>
  </xdr:oneCellAnchor>
  <xdr:twoCellAnchor>
    <xdr:from>
      <xdr:col>17</xdr:col>
      <xdr:colOff>91440</xdr:colOff>
      <xdr:row>38</xdr:row>
      <xdr:rowOff>137160</xdr:rowOff>
    </xdr:from>
    <xdr:to>
      <xdr:col>18</xdr:col>
      <xdr:colOff>53340</xdr:colOff>
      <xdr:row>38</xdr:row>
      <xdr:rowOff>137160</xdr:rowOff>
    </xdr:to>
    <xdr:cxnSp macro="">
      <xdr:nvCxnSpPr>
        <xdr:cNvPr id="133" name="Connecteur droit avec flèche 132">
          <a:extLst>
            <a:ext uri="{FF2B5EF4-FFF2-40B4-BE49-F238E27FC236}">
              <a16:creationId xmlns:a16="http://schemas.microsoft.com/office/drawing/2014/main" id="{00000000-0008-0000-0500-000085000000}"/>
            </a:ext>
          </a:extLst>
        </xdr:cNvPr>
        <xdr:cNvCxnSpPr/>
      </xdr:nvCxnSpPr>
      <xdr:spPr>
        <a:xfrm flipH="1">
          <a:off x="4579620" y="10347960"/>
          <a:ext cx="64008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12</xdr:col>
      <xdr:colOff>480060</xdr:colOff>
      <xdr:row>19</xdr:row>
      <xdr:rowOff>213360</xdr:rowOff>
    </xdr:from>
    <xdr:ext cx="289560" cy="277495"/>
    <xdr:pic>
      <xdr:nvPicPr>
        <xdr:cNvPr id="134" name="Image 133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5509260"/>
          <a:ext cx="289560" cy="277495"/>
        </a:xfrm>
        <a:prstGeom prst="rect">
          <a:avLst/>
        </a:prstGeom>
      </xdr:spPr>
    </xdr:pic>
    <xdr:clientData/>
  </xdr:oneCellAnchor>
  <xdr:oneCellAnchor>
    <xdr:from>
      <xdr:col>12</xdr:col>
      <xdr:colOff>457200</xdr:colOff>
      <xdr:row>22</xdr:row>
      <xdr:rowOff>2540</xdr:rowOff>
    </xdr:from>
    <xdr:ext cx="304800" cy="283210"/>
    <xdr:pic>
      <xdr:nvPicPr>
        <xdr:cNvPr id="139" name="Image 138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" y="6098540"/>
          <a:ext cx="304800" cy="283210"/>
        </a:xfrm>
        <a:prstGeom prst="rect">
          <a:avLst/>
        </a:prstGeom>
      </xdr:spPr>
    </xdr:pic>
    <xdr:clientData/>
  </xdr:oneCellAnchor>
  <xdr:oneCellAnchor>
    <xdr:from>
      <xdr:col>12</xdr:col>
      <xdr:colOff>503555</xdr:colOff>
      <xdr:row>24</xdr:row>
      <xdr:rowOff>257810</xdr:rowOff>
    </xdr:from>
    <xdr:ext cx="250825" cy="263525"/>
    <xdr:pic>
      <xdr:nvPicPr>
        <xdr:cNvPr id="140" name="Image 139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7395" y="6887210"/>
          <a:ext cx="250825" cy="263525"/>
        </a:xfrm>
        <a:prstGeom prst="rect">
          <a:avLst/>
        </a:prstGeom>
        <a:noFill/>
      </xdr:spPr>
    </xdr:pic>
    <xdr:clientData/>
  </xdr:oneCellAnchor>
  <xdr:oneCellAnchor>
    <xdr:from>
      <xdr:col>12</xdr:col>
      <xdr:colOff>463550</xdr:colOff>
      <xdr:row>27</xdr:row>
      <xdr:rowOff>54610</xdr:rowOff>
    </xdr:from>
    <xdr:ext cx="283210" cy="243840"/>
    <xdr:pic>
      <xdr:nvPicPr>
        <xdr:cNvPr id="141" name="Image 140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390" y="7484110"/>
          <a:ext cx="283210" cy="243840"/>
        </a:xfrm>
        <a:prstGeom prst="rect">
          <a:avLst/>
        </a:prstGeom>
      </xdr:spPr>
    </xdr:pic>
    <xdr:clientData/>
  </xdr:oneCellAnchor>
  <xdr:twoCellAnchor>
    <xdr:from>
      <xdr:col>28</xdr:col>
      <xdr:colOff>91440</xdr:colOff>
      <xdr:row>38</xdr:row>
      <xdr:rowOff>137160</xdr:rowOff>
    </xdr:from>
    <xdr:to>
      <xdr:col>29</xdr:col>
      <xdr:colOff>53340</xdr:colOff>
      <xdr:row>38</xdr:row>
      <xdr:rowOff>137160</xdr:rowOff>
    </xdr:to>
    <xdr:cxnSp macro="">
      <xdr:nvCxnSpPr>
        <xdr:cNvPr id="142" name="Connecteur droit avec flèche 141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CxnSpPr/>
      </xdr:nvCxnSpPr>
      <xdr:spPr>
        <a:xfrm flipH="1">
          <a:off x="12573000" y="10378440"/>
          <a:ext cx="64008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23</xdr:col>
      <xdr:colOff>480060</xdr:colOff>
      <xdr:row>19</xdr:row>
      <xdr:rowOff>213360</xdr:rowOff>
    </xdr:from>
    <xdr:ext cx="289560" cy="277495"/>
    <xdr:pic>
      <xdr:nvPicPr>
        <xdr:cNvPr id="145" name="Image 144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17280" y="5509260"/>
          <a:ext cx="289560" cy="277495"/>
        </a:xfrm>
        <a:prstGeom prst="rect">
          <a:avLst/>
        </a:prstGeom>
      </xdr:spPr>
    </xdr:pic>
    <xdr:clientData/>
  </xdr:oneCellAnchor>
  <xdr:oneCellAnchor>
    <xdr:from>
      <xdr:col>23</xdr:col>
      <xdr:colOff>457200</xdr:colOff>
      <xdr:row>22</xdr:row>
      <xdr:rowOff>2540</xdr:rowOff>
    </xdr:from>
    <xdr:ext cx="304800" cy="283210"/>
    <xdr:pic>
      <xdr:nvPicPr>
        <xdr:cNvPr id="148" name="Image 147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94420" y="6098540"/>
          <a:ext cx="304800" cy="283210"/>
        </a:xfrm>
        <a:prstGeom prst="rect">
          <a:avLst/>
        </a:prstGeom>
      </xdr:spPr>
    </xdr:pic>
    <xdr:clientData/>
  </xdr:oneCellAnchor>
  <xdr:oneCellAnchor>
    <xdr:from>
      <xdr:col>23</xdr:col>
      <xdr:colOff>503555</xdr:colOff>
      <xdr:row>24</xdr:row>
      <xdr:rowOff>257810</xdr:rowOff>
    </xdr:from>
    <xdr:ext cx="250825" cy="263525"/>
    <xdr:pic>
      <xdr:nvPicPr>
        <xdr:cNvPr id="163" name="Image 162">
          <a:extLst>
            <a:ext uri="{FF2B5EF4-FFF2-40B4-BE49-F238E27FC236}">
              <a16:creationId xmlns:a16="http://schemas.microsoft.com/office/drawing/2014/main" id="{00000000-0008-0000-0500-0000A3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0775" y="6887210"/>
          <a:ext cx="250825" cy="263525"/>
        </a:xfrm>
        <a:prstGeom prst="rect">
          <a:avLst/>
        </a:prstGeom>
        <a:noFill/>
      </xdr:spPr>
    </xdr:pic>
    <xdr:clientData/>
  </xdr:oneCellAnchor>
  <xdr:oneCellAnchor>
    <xdr:from>
      <xdr:col>23</xdr:col>
      <xdr:colOff>463550</xdr:colOff>
      <xdr:row>27</xdr:row>
      <xdr:rowOff>54610</xdr:rowOff>
    </xdr:from>
    <xdr:ext cx="283210" cy="243840"/>
    <xdr:pic>
      <xdr:nvPicPr>
        <xdr:cNvPr id="164" name="Image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00770" y="7484110"/>
          <a:ext cx="283210" cy="243840"/>
        </a:xfrm>
        <a:prstGeom prst="rect">
          <a:avLst/>
        </a:prstGeom>
      </xdr:spPr>
    </xdr:pic>
    <xdr:clientData/>
  </xdr:oneCellAnchor>
  <xdr:twoCellAnchor>
    <xdr:from>
      <xdr:col>30</xdr:col>
      <xdr:colOff>76200</xdr:colOff>
      <xdr:row>2</xdr:row>
      <xdr:rowOff>144780</xdr:rowOff>
    </xdr:from>
    <xdr:to>
      <xdr:col>30</xdr:col>
      <xdr:colOff>434340</xdr:colOff>
      <xdr:row>2</xdr:row>
      <xdr:rowOff>144780</xdr:rowOff>
    </xdr:to>
    <xdr:cxnSp macro="">
      <xdr:nvCxnSpPr>
        <xdr:cNvPr id="165" name="Connecteur droit avec flèche 164">
          <a:extLst>
            <a:ext uri="{FF2B5EF4-FFF2-40B4-BE49-F238E27FC236}">
              <a16:creationId xmlns:a16="http://schemas.microsoft.com/office/drawing/2014/main" id="{00000000-0008-0000-0500-0000A5000000}"/>
            </a:ext>
          </a:extLst>
        </xdr:cNvPr>
        <xdr:cNvCxnSpPr/>
      </xdr:nvCxnSpPr>
      <xdr:spPr>
        <a:xfrm flipH="1">
          <a:off x="21846540" y="701040"/>
          <a:ext cx="35814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91440</xdr:colOff>
      <xdr:row>38</xdr:row>
      <xdr:rowOff>137160</xdr:rowOff>
    </xdr:from>
    <xdr:to>
      <xdr:col>40</xdr:col>
      <xdr:colOff>53340</xdr:colOff>
      <xdr:row>38</xdr:row>
      <xdr:rowOff>137160</xdr:rowOff>
    </xdr:to>
    <xdr:cxnSp macro="">
      <xdr:nvCxnSpPr>
        <xdr:cNvPr id="166" name="Connecteur droit avec flèche 165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CxnSpPr/>
      </xdr:nvCxnSpPr>
      <xdr:spPr>
        <a:xfrm flipH="1">
          <a:off x="20391120" y="10378440"/>
          <a:ext cx="64008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34</xdr:col>
      <xdr:colOff>480060</xdr:colOff>
      <xdr:row>19</xdr:row>
      <xdr:rowOff>213360</xdr:rowOff>
    </xdr:from>
    <xdr:ext cx="289560" cy="277495"/>
    <xdr:pic>
      <xdr:nvPicPr>
        <xdr:cNvPr id="168" name="Image 167">
          <a:extLst>
            <a:ext uri="{FF2B5EF4-FFF2-40B4-BE49-F238E27FC236}">
              <a16:creationId xmlns:a16="http://schemas.microsoft.com/office/drawing/2014/main" id="{00000000-0008-0000-0500-0000A8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35400" y="5509260"/>
          <a:ext cx="289560" cy="277495"/>
        </a:xfrm>
        <a:prstGeom prst="rect">
          <a:avLst/>
        </a:prstGeom>
      </xdr:spPr>
    </xdr:pic>
    <xdr:clientData/>
  </xdr:oneCellAnchor>
  <xdr:oneCellAnchor>
    <xdr:from>
      <xdr:col>34</xdr:col>
      <xdr:colOff>457200</xdr:colOff>
      <xdr:row>22</xdr:row>
      <xdr:rowOff>2540</xdr:rowOff>
    </xdr:from>
    <xdr:ext cx="304800" cy="283210"/>
    <xdr:pic>
      <xdr:nvPicPr>
        <xdr:cNvPr id="169" name="Image 168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12540" y="6098540"/>
          <a:ext cx="304800" cy="283210"/>
        </a:xfrm>
        <a:prstGeom prst="rect">
          <a:avLst/>
        </a:prstGeom>
      </xdr:spPr>
    </xdr:pic>
    <xdr:clientData/>
  </xdr:oneCellAnchor>
  <xdr:oneCellAnchor>
    <xdr:from>
      <xdr:col>34</xdr:col>
      <xdr:colOff>503555</xdr:colOff>
      <xdr:row>24</xdr:row>
      <xdr:rowOff>257810</xdr:rowOff>
    </xdr:from>
    <xdr:ext cx="250825" cy="263525"/>
    <xdr:pic>
      <xdr:nvPicPr>
        <xdr:cNvPr id="170" name="Image 169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58895" y="6887210"/>
          <a:ext cx="250825" cy="263525"/>
        </a:xfrm>
        <a:prstGeom prst="rect">
          <a:avLst/>
        </a:prstGeom>
        <a:noFill/>
      </xdr:spPr>
    </xdr:pic>
    <xdr:clientData/>
  </xdr:oneCellAnchor>
  <xdr:oneCellAnchor>
    <xdr:from>
      <xdr:col>34</xdr:col>
      <xdr:colOff>463550</xdr:colOff>
      <xdr:row>27</xdr:row>
      <xdr:rowOff>54610</xdr:rowOff>
    </xdr:from>
    <xdr:ext cx="283210" cy="243840"/>
    <xdr:pic>
      <xdr:nvPicPr>
        <xdr:cNvPr id="171" name="Image 170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18890" y="7484110"/>
          <a:ext cx="283210" cy="243840"/>
        </a:xfrm>
        <a:prstGeom prst="rect">
          <a:avLst/>
        </a:prstGeom>
      </xdr:spPr>
    </xdr:pic>
    <xdr:clientData/>
  </xdr:oneCellAnchor>
  <xdr:twoCellAnchor>
    <xdr:from>
      <xdr:col>50</xdr:col>
      <xdr:colOff>91440</xdr:colOff>
      <xdr:row>38</xdr:row>
      <xdr:rowOff>137160</xdr:rowOff>
    </xdr:from>
    <xdr:to>
      <xdr:col>51</xdr:col>
      <xdr:colOff>53340</xdr:colOff>
      <xdr:row>38</xdr:row>
      <xdr:rowOff>137160</xdr:rowOff>
    </xdr:to>
    <xdr:cxnSp macro="">
      <xdr:nvCxnSpPr>
        <xdr:cNvPr id="172" name="Connecteur droit avec flèche 171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CxnSpPr/>
      </xdr:nvCxnSpPr>
      <xdr:spPr>
        <a:xfrm flipH="1">
          <a:off x="28194000" y="10378440"/>
          <a:ext cx="64008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45</xdr:col>
      <xdr:colOff>480060</xdr:colOff>
      <xdr:row>19</xdr:row>
      <xdr:rowOff>213360</xdr:rowOff>
    </xdr:from>
    <xdr:ext cx="289560" cy="277495"/>
    <xdr:pic>
      <xdr:nvPicPr>
        <xdr:cNvPr id="173" name="Image 172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38280" y="5509260"/>
          <a:ext cx="289560" cy="277495"/>
        </a:xfrm>
        <a:prstGeom prst="rect">
          <a:avLst/>
        </a:prstGeom>
      </xdr:spPr>
    </xdr:pic>
    <xdr:clientData/>
  </xdr:oneCellAnchor>
  <xdr:oneCellAnchor>
    <xdr:from>
      <xdr:col>45</xdr:col>
      <xdr:colOff>457200</xdr:colOff>
      <xdr:row>22</xdr:row>
      <xdr:rowOff>2540</xdr:rowOff>
    </xdr:from>
    <xdr:ext cx="304800" cy="283210"/>
    <xdr:pic>
      <xdr:nvPicPr>
        <xdr:cNvPr id="174" name="Image 173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15420" y="6098540"/>
          <a:ext cx="304800" cy="283210"/>
        </a:xfrm>
        <a:prstGeom prst="rect">
          <a:avLst/>
        </a:prstGeom>
      </xdr:spPr>
    </xdr:pic>
    <xdr:clientData/>
  </xdr:oneCellAnchor>
  <xdr:oneCellAnchor>
    <xdr:from>
      <xdr:col>45</xdr:col>
      <xdr:colOff>503555</xdr:colOff>
      <xdr:row>24</xdr:row>
      <xdr:rowOff>257810</xdr:rowOff>
    </xdr:from>
    <xdr:ext cx="250825" cy="263525"/>
    <xdr:pic>
      <xdr:nvPicPr>
        <xdr:cNvPr id="175" name="Image 174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61775" y="6887210"/>
          <a:ext cx="250825" cy="263525"/>
        </a:xfrm>
        <a:prstGeom prst="rect">
          <a:avLst/>
        </a:prstGeom>
        <a:noFill/>
      </xdr:spPr>
    </xdr:pic>
    <xdr:clientData/>
  </xdr:oneCellAnchor>
  <xdr:oneCellAnchor>
    <xdr:from>
      <xdr:col>45</xdr:col>
      <xdr:colOff>463550</xdr:colOff>
      <xdr:row>27</xdr:row>
      <xdr:rowOff>54610</xdr:rowOff>
    </xdr:from>
    <xdr:ext cx="283210" cy="243840"/>
    <xdr:pic>
      <xdr:nvPicPr>
        <xdr:cNvPr id="176" name="Image 175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21770" y="7484110"/>
          <a:ext cx="283210" cy="24384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83820</xdr:colOff>
          <xdr:row>6</xdr:row>
          <xdr:rowOff>38100</xdr:rowOff>
        </xdr:from>
        <xdr:to>
          <xdr:col>9</xdr:col>
          <xdr:colOff>647700</xdr:colOff>
          <xdr:row>7</xdr:row>
          <xdr:rowOff>213360</xdr:rowOff>
        </xdr:to>
        <xdr:sp macro="" textlink="">
          <xdr:nvSpPr>
            <xdr:cNvPr id="12289" name="Bou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654989</xdr:colOff>
      <xdr:row>5</xdr:row>
      <xdr:rowOff>13251</xdr:rowOff>
    </xdr:from>
    <xdr:to>
      <xdr:col>23</xdr:col>
      <xdr:colOff>37769</xdr:colOff>
      <xdr:row>14</xdr:row>
      <xdr:rowOff>258416</xdr:rowOff>
    </xdr:to>
    <xdr:graphicFrame macro="">
      <xdr:nvGraphicFramePr>
        <xdr:cNvPr id="18" name="Graphique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480060</xdr:colOff>
      <xdr:row>7</xdr:row>
      <xdr:rowOff>83820</xdr:rowOff>
    </xdr:from>
    <xdr:to>
      <xdr:col>11</xdr:col>
      <xdr:colOff>38100</xdr:colOff>
      <xdr:row>17</xdr:row>
      <xdr:rowOff>83820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472440</xdr:colOff>
      <xdr:row>0</xdr:row>
      <xdr:rowOff>19878</xdr:rowOff>
    </xdr:from>
    <xdr:to>
      <xdr:col>11</xdr:col>
      <xdr:colOff>49095</xdr:colOff>
      <xdr:row>7</xdr:row>
      <xdr:rowOff>80838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91440</xdr:colOff>
      <xdr:row>0</xdr:row>
      <xdr:rowOff>0</xdr:rowOff>
    </xdr:from>
    <xdr:to>
      <xdr:col>16</xdr:col>
      <xdr:colOff>64335</xdr:colOff>
      <xdr:row>7</xdr:row>
      <xdr:rowOff>265043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79181</xdr:colOff>
      <xdr:row>8</xdr:row>
      <xdr:rowOff>59635</xdr:rowOff>
    </xdr:from>
    <xdr:to>
      <xdr:col>16</xdr:col>
      <xdr:colOff>52076</xdr:colOff>
      <xdr:row>17</xdr:row>
      <xdr:rowOff>105355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134179</xdr:colOff>
      <xdr:row>17</xdr:row>
      <xdr:rowOff>172609</xdr:rowOff>
    </xdr:from>
    <xdr:to>
      <xdr:col>16</xdr:col>
      <xdr:colOff>19879</xdr:colOff>
      <xdr:row>26</xdr:row>
      <xdr:rowOff>72886</xdr:rowOff>
    </xdr:to>
    <xdr:graphicFrame macro="">
      <xdr:nvGraphicFramePr>
        <xdr:cNvPr id="21" name="Graphique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324678</xdr:colOff>
      <xdr:row>36</xdr:row>
      <xdr:rowOff>138202</xdr:rowOff>
    </xdr:from>
    <xdr:to>
      <xdr:col>6</xdr:col>
      <xdr:colOff>874643</xdr:colOff>
      <xdr:row>47</xdr:row>
      <xdr:rowOff>39757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496956</xdr:colOff>
      <xdr:row>17</xdr:row>
      <xdr:rowOff>172278</xdr:rowOff>
    </xdr:from>
    <xdr:to>
      <xdr:col>11</xdr:col>
      <xdr:colOff>86139</xdr:colOff>
      <xdr:row>26</xdr:row>
      <xdr:rowOff>72887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112641</xdr:colOff>
      <xdr:row>39</xdr:row>
      <xdr:rowOff>185529</xdr:rowOff>
    </xdr:from>
    <xdr:to>
      <xdr:col>13</xdr:col>
      <xdr:colOff>987286</xdr:colOff>
      <xdr:row>47</xdr:row>
      <xdr:rowOff>159028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523460</xdr:colOff>
      <xdr:row>8</xdr:row>
      <xdr:rowOff>185530</xdr:rowOff>
    </xdr:from>
    <xdr:to>
      <xdr:col>8</xdr:col>
      <xdr:colOff>523460</xdr:colOff>
      <xdr:row>16</xdr:row>
      <xdr:rowOff>19878</xdr:rowOff>
    </xdr:to>
    <xdr:cxnSp macro="">
      <xdr:nvCxnSpPr>
        <xdr:cNvPr id="5" name="Connecteur droit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>
          <a:off x="8978347" y="2623930"/>
          <a:ext cx="0" cy="227274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0.02134</cdr:x>
      <cdr:y>0.76495</cdr:y>
    </cdr:from>
    <cdr:to>
      <cdr:x>0.95993</cdr:x>
      <cdr:y>0.76495</cdr:y>
    </cdr:to>
    <cdr:cxnSp macro="">
      <cdr:nvCxnSpPr>
        <cdr:cNvPr id="3" name="Connecteur droit 2">
          <a:extLst xmlns:a="http://schemas.openxmlformats.org/drawingml/2006/main">
            <a:ext uri="{FF2B5EF4-FFF2-40B4-BE49-F238E27FC236}">
              <a16:creationId xmlns:a16="http://schemas.microsoft.com/office/drawing/2014/main" id="{3DF3D8F7-A35E-4156-8E04-4912C5D2F715}"/>
            </a:ext>
          </a:extLst>
        </cdr:cNvPr>
        <cdr:cNvCxnSpPr/>
      </cdr:nvCxnSpPr>
      <cdr:spPr>
        <a:xfrm xmlns:a="http://schemas.openxmlformats.org/drawingml/2006/main">
          <a:off x="100482" y="3555639"/>
          <a:ext cx="4419970" cy="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0.2642</cdr:x>
      <cdr:y>0.15097</cdr:y>
    </cdr:from>
    <cdr:to>
      <cdr:x>0.2642</cdr:x>
      <cdr:y>0.91184</cdr:y>
    </cdr:to>
    <cdr:cxnSp macro="">
      <cdr:nvCxnSpPr>
        <cdr:cNvPr id="3" name="Connecteur droit 2">
          <a:extLst xmlns:a="http://schemas.openxmlformats.org/drawingml/2006/main">
            <a:ext uri="{FF2B5EF4-FFF2-40B4-BE49-F238E27FC236}">
              <a16:creationId xmlns:a16="http://schemas.microsoft.com/office/drawing/2014/main" id="{EF52F7F2-D0A5-4344-9204-1898880FB095}"/>
            </a:ext>
          </a:extLst>
        </cdr:cNvPr>
        <cdr:cNvCxnSpPr/>
      </cdr:nvCxnSpPr>
      <cdr:spPr>
        <a:xfrm xmlns:a="http://schemas.openxmlformats.org/drawingml/2006/main">
          <a:off x="1038308" y="331304"/>
          <a:ext cx="0" cy="1669774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0.25228</cdr:x>
      <cdr:y>0.16186</cdr:y>
    </cdr:from>
    <cdr:to>
      <cdr:x>0.25228</cdr:x>
      <cdr:y>0.82328</cdr:y>
    </cdr:to>
    <cdr:cxnSp macro="">
      <cdr:nvCxnSpPr>
        <cdr:cNvPr id="2" name="Connecteur droit 1">
          <a:extLst xmlns:a="http://schemas.openxmlformats.org/drawingml/2006/main">
            <a:ext uri="{FF2B5EF4-FFF2-40B4-BE49-F238E27FC236}">
              <a16:creationId xmlns:a16="http://schemas.microsoft.com/office/drawing/2014/main" id="{E3D50040-8F39-4F81-9B58-A6F96E1D18D3}"/>
            </a:ext>
          </a:extLst>
        </cdr:cNvPr>
        <cdr:cNvCxnSpPr/>
      </cdr:nvCxnSpPr>
      <cdr:spPr>
        <a:xfrm xmlns:a="http://schemas.openxmlformats.org/drawingml/2006/main">
          <a:off x="1201747" y="408617"/>
          <a:ext cx="0" cy="1669775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0.24393</cdr:x>
      <cdr:y>0.15171</cdr:y>
    </cdr:from>
    <cdr:to>
      <cdr:x>0.24393</cdr:x>
      <cdr:y>0.9672</cdr:y>
    </cdr:to>
    <cdr:cxnSp macro="">
      <cdr:nvCxnSpPr>
        <cdr:cNvPr id="2" name="Connecteur droit 1">
          <a:extLst xmlns:a="http://schemas.openxmlformats.org/drawingml/2006/main">
            <a:ext uri="{FF2B5EF4-FFF2-40B4-BE49-F238E27FC236}">
              <a16:creationId xmlns:a16="http://schemas.microsoft.com/office/drawing/2014/main" id="{E3D50040-8F39-4F81-9B58-A6F96E1D18D3}"/>
            </a:ext>
          </a:extLst>
        </cdr:cNvPr>
        <cdr:cNvCxnSpPr/>
      </cdr:nvCxnSpPr>
      <cdr:spPr>
        <a:xfrm xmlns:a="http://schemas.openxmlformats.org/drawingml/2006/main">
          <a:off x="1161974" y="395362"/>
          <a:ext cx="0" cy="2125201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0.31408</cdr:x>
      <cdr:y>0.13368</cdr:y>
    </cdr:from>
    <cdr:to>
      <cdr:x>0.31408</cdr:x>
      <cdr:y>0.93158</cdr:y>
    </cdr:to>
    <cdr:cxnSp macro="">
      <cdr:nvCxnSpPr>
        <cdr:cNvPr id="2" name="Connecteur droit 1">
          <a:extLst xmlns:a="http://schemas.openxmlformats.org/drawingml/2006/main">
            <a:ext uri="{FF2B5EF4-FFF2-40B4-BE49-F238E27FC236}">
              <a16:creationId xmlns:a16="http://schemas.microsoft.com/office/drawing/2014/main" id="{64F05222-30D7-42BA-96F1-3CEEB72A2A3D}"/>
            </a:ext>
          </a:extLst>
        </cdr:cNvPr>
        <cdr:cNvCxnSpPr/>
      </cdr:nvCxnSpPr>
      <cdr:spPr>
        <a:xfrm xmlns:a="http://schemas.openxmlformats.org/drawingml/2006/main">
          <a:off x="1468769" y="366718"/>
          <a:ext cx="0" cy="2188783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0.26696</cdr:x>
      <cdr:y>0.11178</cdr:y>
    </cdr:from>
    <cdr:to>
      <cdr:x>0.26696</cdr:x>
      <cdr:y>0.91833</cdr:y>
    </cdr:to>
    <cdr:cxnSp macro="">
      <cdr:nvCxnSpPr>
        <cdr:cNvPr id="2" name="Connecteur droit 1">
          <a:extLst xmlns:a="http://schemas.openxmlformats.org/drawingml/2006/main">
            <a:ext uri="{FF2B5EF4-FFF2-40B4-BE49-F238E27FC236}">
              <a16:creationId xmlns:a16="http://schemas.microsoft.com/office/drawing/2014/main" id="{6D72DA43-27D8-4E8E-96EF-8EB92E15B7C1}"/>
            </a:ext>
          </a:extLst>
        </cdr:cNvPr>
        <cdr:cNvCxnSpPr/>
      </cdr:nvCxnSpPr>
      <cdr:spPr>
        <a:xfrm xmlns:a="http://schemas.openxmlformats.org/drawingml/2006/main">
          <a:off x="1661008" y="348959"/>
          <a:ext cx="0" cy="2517915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0.30924</cdr:x>
      <cdr:y>0.122</cdr:y>
    </cdr:from>
    <cdr:to>
      <cdr:x>0.30924</cdr:x>
      <cdr:y>0.94989</cdr:y>
    </cdr:to>
    <cdr:cxnSp macro="">
      <cdr:nvCxnSpPr>
        <cdr:cNvPr id="3" name="Connecteur droit 2">
          <a:extLst xmlns:a="http://schemas.openxmlformats.org/drawingml/2006/main">
            <a:ext uri="{FF2B5EF4-FFF2-40B4-BE49-F238E27FC236}">
              <a16:creationId xmlns:a16="http://schemas.microsoft.com/office/drawing/2014/main" id="{493457C8-C915-473D-A0F3-3397218B091B}"/>
            </a:ext>
          </a:extLst>
        </cdr:cNvPr>
        <cdr:cNvCxnSpPr/>
      </cdr:nvCxnSpPr>
      <cdr:spPr>
        <a:xfrm xmlns:a="http://schemas.openxmlformats.org/drawingml/2006/main">
          <a:off x="1219199" y="371061"/>
          <a:ext cx="0" cy="2517913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0.25868</cdr:x>
      <cdr:y>0.03381</cdr:y>
    </cdr:from>
    <cdr:to>
      <cdr:x>0.25868</cdr:x>
      <cdr:y>0.95169</cdr:y>
    </cdr:to>
    <cdr:cxnSp macro="">
      <cdr:nvCxnSpPr>
        <cdr:cNvPr id="2" name="Connecteur droit 1">
          <a:extLst xmlns:a="http://schemas.openxmlformats.org/drawingml/2006/main">
            <a:ext uri="{FF2B5EF4-FFF2-40B4-BE49-F238E27FC236}">
              <a16:creationId xmlns:a16="http://schemas.microsoft.com/office/drawing/2014/main" id="{6D72DA43-27D8-4E8E-96EF-8EB92E15B7C1}"/>
            </a:ext>
          </a:extLst>
        </cdr:cNvPr>
        <cdr:cNvCxnSpPr/>
      </cdr:nvCxnSpPr>
      <cdr:spPr>
        <a:xfrm xmlns:a="http://schemas.openxmlformats.org/drawingml/2006/main">
          <a:off x="1316368" y="92756"/>
          <a:ext cx="0" cy="2517922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533400</xdr:colOff>
      <xdr:row>0</xdr:row>
      <xdr:rowOff>0</xdr:rowOff>
    </xdr:from>
    <xdr:to>
      <xdr:col>31</xdr:col>
      <xdr:colOff>100385</xdr:colOff>
      <xdr:row>14</xdr:row>
      <xdr:rowOff>38100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419100</xdr:colOff>
      <xdr:row>17</xdr:row>
      <xdr:rowOff>83820</xdr:rowOff>
    </xdr:from>
    <xdr:ext cx="289560" cy="277495"/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708660"/>
          <a:ext cx="289560" cy="277495"/>
        </a:xfrm>
        <a:prstGeom prst="rect">
          <a:avLst/>
        </a:prstGeom>
      </xdr:spPr>
    </xdr:pic>
    <xdr:clientData/>
  </xdr:oneCellAnchor>
  <xdr:oneCellAnchor>
    <xdr:from>
      <xdr:col>0</xdr:col>
      <xdr:colOff>388620</xdr:colOff>
      <xdr:row>18</xdr:row>
      <xdr:rowOff>86360</xdr:rowOff>
    </xdr:from>
    <xdr:ext cx="304800" cy="283210"/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620" y="886460"/>
          <a:ext cx="304800" cy="283210"/>
        </a:xfrm>
        <a:prstGeom prst="rect">
          <a:avLst/>
        </a:prstGeom>
      </xdr:spPr>
    </xdr:pic>
    <xdr:clientData/>
  </xdr:oneCellAnchor>
  <xdr:oneCellAnchor>
    <xdr:from>
      <xdr:col>0</xdr:col>
      <xdr:colOff>434975</xdr:colOff>
      <xdr:row>19</xdr:row>
      <xdr:rowOff>67310</xdr:rowOff>
    </xdr:from>
    <xdr:ext cx="250825" cy="263525"/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" y="1042670"/>
          <a:ext cx="250825" cy="263525"/>
        </a:xfrm>
        <a:prstGeom prst="rect">
          <a:avLst/>
        </a:prstGeom>
        <a:noFill/>
      </xdr:spPr>
    </xdr:pic>
    <xdr:clientData/>
  </xdr:oneCellAnchor>
  <xdr:oneCellAnchor>
    <xdr:from>
      <xdr:col>0</xdr:col>
      <xdr:colOff>417830</xdr:colOff>
      <xdr:row>20</xdr:row>
      <xdr:rowOff>92710</xdr:rowOff>
    </xdr:from>
    <xdr:ext cx="283210" cy="243840"/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/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7830" y="1243330"/>
          <a:ext cx="283210" cy="243840"/>
        </a:xfrm>
        <a:prstGeom prst="rect">
          <a:avLst/>
        </a:prstGeom>
      </xdr:spPr>
    </xdr:pic>
    <xdr:clientData/>
  </xdr:oneCellAnchor>
  <xdr:twoCellAnchor>
    <xdr:from>
      <xdr:col>13</xdr:col>
      <xdr:colOff>320040</xdr:colOff>
      <xdr:row>14</xdr:row>
      <xdr:rowOff>137160</xdr:rowOff>
    </xdr:from>
    <xdr:to>
      <xdr:col>18</xdr:col>
      <xdr:colOff>731520</xdr:colOff>
      <xdr:row>22</xdr:row>
      <xdr:rowOff>76200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175260</xdr:colOff>
      <xdr:row>14</xdr:row>
      <xdr:rowOff>114300</xdr:rowOff>
    </xdr:from>
    <xdr:to>
      <xdr:col>24</xdr:col>
      <xdr:colOff>784860</xdr:colOff>
      <xdr:row>22</xdr:row>
      <xdr:rowOff>76200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121920</xdr:colOff>
      <xdr:row>14</xdr:row>
      <xdr:rowOff>0</xdr:rowOff>
    </xdr:from>
    <xdr:to>
      <xdr:col>30</xdr:col>
      <xdr:colOff>731520</xdr:colOff>
      <xdr:row>21</xdr:row>
      <xdr:rowOff>160020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708660</xdr:colOff>
      <xdr:row>23</xdr:row>
      <xdr:rowOff>53340</xdr:rowOff>
    </xdr:from>
    <xdr:to>
      <xdr:col>21</xdr:col>
      <xdr:colOff>91440</xdr:colOff>
      <xdr:row>33</xdr:row>
      <xdr:rowOff>266700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274320</xdr:colOff>
      <xdr:row>22</xdr:row>
      <xdr:rowOff>167640</xdr:rowOff>
    </xdr:from>
    <xdr:to>
      <xdr:col>11</xdr:col>
      <xdr:colOff>638092</xdr:colOff>
      <xdr:row>33</xdr:row>
      <xdr:rowOff>103367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24</xdr:row>
      <xdr:rowOff>0</xdr:rowOff>
    </xdr:from>
    <xdr:to>
      <xdr:col>16</xdr:col>
      <xdr:colOff>478072</xdr:colOff>
      <xdr:row>33</xdr:row>
      <xdr:rowOff>217667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0.03318</cdr:x>
      <cdr:y>0.31579</cdr:y>
    </cdr:from>
    <cdr:to>
      <cdr:x>0.98104</cdr:x>
      <cdr:y>0.31579</cdr:y>
    </cdr:to>
    <cdr:cxnSp macro="">
      <cdr:nvCxnSpPr>
        <cdr:cNvPr id="3" name="Connecteur droit 2">
          <a:extLst xmlns:a="http://schemas.openxmlformats.org/drawingml/2006/main">
            <a:ext uri="{FF2B5EF4-FFF2-40B4-BE49-F238E27FC236}">
              <a16:creationId xmlns:a16="http://schemas.microsoft.com/office/drawing/2014/main" id="{3AC3CDF3-56EF-41E4-9416-046EF1397D1C}"/>
            </a:ext>
          </a:extLst>
        </cdr:cNvPr>
        <cdr:cNvCxnSpPr/>
      </cdr:nvCxnSpPr>
      <cdr:spPr>
        <a:xfrm xmlns:a="http://schemas.openxmlformats.org/drawingml/2006/main">
          <a:off x="169694" y="1090054"/>
          <a:ext cx="4847683" cy="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0.04712</cdr:x>
      <cdr:y>0.55654</cdr:y>
    </cdr:from>
    <cdr:to>
      <cdr:x>0.99499</cdr:x>
      <cdr:y>0.55654</cdr:y>
    </cdr:to>
    <cdr:cxnSp macro="">
      <cdr:nvCxnSpPr>
        <cdr:cNvPr id="4" name="Connecteur droit 3">
          <a:extLst xmlns:a="http://schemas.openxmlformats.org/drawingml/2006/main">
            <a:ext uri="{FF2B5EF4-FFF2-40B4-BE49-F238E27FC236}">
              <a16:creationId xmlns:a16="http://schemas.microsoft.com/office/drawing/2014/main" id="{2207AF99-855F-4CE8-8E54-DBA010025D92}"/>
            </a:ext>
          </a:extLst>
        </cdr:cNvPr>
        <cdr:cNvCxnSpPr/>
      </cdr:nvCxnSpPr>
      <cdr:spPr>
        <a:xfrm xmlns:a="http://schemas.openxmlformats.org/drawingml/2006/main">
          <a:off x="240987" y="1921115"/>
          <a:ext cx="4847734" cy="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0.04107</cdr:x>
      <cdr:y>0.71863</cdr:y>
    </cdr:from>
    <cdr:to>
      <cdr:x>0.98894</cdr:x>
      <cdr:y>0.71863</cdr:y>
    </cdr:to>
    <cdr:cxnSp macro="">
      <cdr:nvCxnSpPr>
        <cdr:cNvPr id="5" name="Connecteur droit 4">
          <a:extLst xmlns:a="http://schemas.openxmlformats.org/drawingml/2006/main">
            <a:ext uri="{FF2B5EF4-FFF2-40B4-BE49-F238E27FC236}">
              <a16:creationId xmlns:a16="http://schemas.microsoft.com/office/drawing/2014/main" id="{C032DC1F-DFA1-4876-B07C-B5A5A1A908E9}"/>
            </a:ext>
          </a:extLst>
        </cdr:cNvPr>
        <cdr:cNvCxnSpPr/>
      </cdr:nvCxnSpPr>
      <cdr:spPr>
        <a:xfrm xmlns:a="http://schemas.openxmlformats.org/drawingml/2006/main">
          <a:off x="210046" y="2480610"/>
          <a:ext cx="4847734" cy="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0.8667</cdr:x>
      <cdr:y>0.16392</cdr:y>
    </cdr:from>
    <cdr:to>
      <cdr:x>0.97017</cdr:x>
      <cdr:y>0.30041</cdr:y>
    </cdr:to>
    <cdr:pic>
      <cdr:nvPicPr>
        <cdr:cNvPr id="6" name="Image 5">
          <a:extLst xmlns:a="http://schemas.openxmlformats.org/drawingml/2006/main">
            <a:ext uri="{FF2B5EF4-FFF2-40B4-BE49-F238E27FC236}">
              <a16:creationId xmlns:a16="http://schemas.microsoft.com/office/drawing/2014/main" id="{00000000-0008-0000-0600-000007000000}"/>
            </a:ext>
          </a:extLst>
        </cdr:cNvPr>
        <cdr:cNvPicPr/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4418262" y="607060"/>
          <a:ext cx="527437" cy="50546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0.86398</cdr:x>
      <cdr:y>0.37449</cdr:y>
    </cdr:from>
    <cdr:to>
      <cdr:x>0.97289</cdr:x>
      <cdr:y>0.51378</cdr:y>
    </cdr:to>
    <cdr:pic>
      <cdr:nvPicPr>
        <cdr:cNvPr id="7" name="Image 6">
          <a:extLst xmlns:a="http://schemas.openxmlformats.org/drawingml/2006/main">
            <a:ext uri="{FF2B5EF4-FFF2-40B4-BE49-F238E27FC236}">
              <a16:creationId xmlns:a16="http://schemas.microsoft.com/office/drawing/2014/main" id="{00000000-0008-0000-0600-000008000000}"/>
            </a:ext>
          </a:extLst>
        </cdr:cNvPr>
        <cdr:cNvPicPr/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4404382" y="1386840"/>
          <a:ext cx="555196" cy="51587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0.87362</cdr:x>
      <cdr:y>0.58539</cdr:y>
    </cdr:from>
    <cdr:to>
      <cdr:x>0.96325</cdr:x>
      <cdr:y>0.71501</cdr:y>
    </cdr:to>
    <cdr:pic>
      <cdr:nvPicPr>
        <cdr:cNvPr id="8" name="Image 7">
          <a:extLst xmlns:a="http://schemas.openxmlformats.org/drawingml/2006/main">
            <a:ext uri="{FF2B5EF4-FFF2-40B4-BE49-F238E27FC236}">
              <a16:creationId xmlns:a16="http://schemas.microsoft.com/office/drawing/2014/main" id="{00000000-0008-0000-0600-000009000000}"/>
            </a:ext>
          </a:extLst>
        </cdr:cNvPr>
        <cdr:cNvPicPr/>
      </cdr:nvPicPr>
      <cdr:blipFill>
        <a:blip xmlns:a="http://schemas.openxmlformats.org/drawingml/2006/main"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4453540" y="2167890"/>
          <a:ext cx="456880" cy="480013"/>
        </a:xfrm>
        <a:prstGeom xmlns:a="http://schemas.openxmlformats.org/drawingml/2006/main" prst="rect">
          <a:avLst/>
        </a:prstGeom>
        <a:noFill xmlns:a="http://schemas.openxmlformats.org/drawingml/2006/main"/>
      </cdr:spPr>
    </cdr:pic>
  </cdr:relSizeAnchor>
  <cdr:relSizeAnchor xmlns:cdr="http://schemas.openxmlformats.org/drawingml/2006/chartDrawing">
    <cdr:from>
      <cdr:x>0.86784</cdr:x>
      <cdr:y>0.78155</cdr:y>
    </cdr:from>
    <cdr:to>
      <cdr:x>0.96903</cdr:x>
      <cdr:y>0.90148</cdr:y>
    </cdr:to>
    <cdr:pic>
      <cdr:nvPicPr>
        <cdr:cNvPr id="9" name="Image 8">
          <a:extLst xmlns:a="http://schemas.openxmlformats.org/drawingml/2006/main">
            <a:ext uri="{FF2B5EF4-FFF2-40B4-BE49-F238E27FC236}">
              <a16:creationId xmlns:a16="http://schemas.microsoft.com/office/drawing/2014/main" id="{00000000-0008-0000-0600-00000A000000}"/>
            </a:ext>
          </a:extLst>
        </cdr:cNvPr>
        <cdr:cNvPicPr/>
      </cdr:nvPicPr>
      <cdr:blipFill>
        <a:blip xmlns:a="http://schemas.openxmlformats.org/drawingml/2006/main"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4424045" y="2894330"/>
          <a:ext cx="515870" cy="444157"/>
        </a:xfrm>
        <a:prstGeom xmlns:a="http://schemas.openxmlformats.org/drawingml/2006/main" prst="rect">
          <a:avLst/>
        </a:prstGeom>
      </cdr:spPr>
    </cdr:pic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0.02134</cdr:x>
      <cdr:y>0.76495</cdr:y>
    </cdr:from>
    <cdr:to>
      <cdr:x>0.95993</cdr:x>
      <cdr:y>0.76495</cdr:y>
    </cdr:to>
    <cdr:cxnSp macro="">
      <cdr:nvCxnSpPr>
        <cdr:cNvPr id="3" name="Connecteur droit 2">
          <a:extLst xmlns:a="http://schemas.openxmlformats.org/drawingml/2006/main">
            <a:ext uri="{FF2B5EF4-FFF2-40B4-BE49-F238E27FC236}">
              <a16:creationId xmlns:a16="http://schemas.microsoft.com/office/drawing/2014/main" id="{3DF3D8F7-A35E-4156-8E04-4912C5D2F715}"/>
            </a:ext>
          </a:extLst>
        </cdr:cNvPr>
        <cdr:cNvCxnSpPr/>
      </cdr:nvCxnSpPr>
      <cdr:spPr>
        <a:xfrm xmlns:a="http://schemas.openxmlformats.org/drawingml/2006/main">
          <a:off x="100482" y="3555639"/>
          <a:ext cx="4419970" cy="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0.02781</cdr:x>
      <cdr:y>0.81413</cdr:y>
    </cdr:from>
    <cdr:to>
      <cdr:x>0.9664</cdr:x>
      <cdr:y>0.81413</cdr:y>
    </cdr:to>
    <cdr:cxnSp macro="">
      <cdr:nvCxnSpPr>
        <cdr:cNvPr id="3" name="Connecteur droit 2">
          <a:extLst xmlns:a="http://schemas.openxmlformats.org/drawingml/2006/main">
            <a:ext uri="{FF2B5EF4-FFF2-40B4-BE49-F238E27FC236}">
              <a16:creationId xmlns:a16="http://schemas.microsoft.com/office/drawing/2014/main" id="{3DF3D8F7-A35E-4156-8E04-4912C5D2F715}"/>
            </a:ext>
          </a:extLst>
        </cdr:cNvPr>
        <cdr:cNvCxnSpPr/>
      </cdr:nvCxnSpPr>
      <cdr:spPr>
        <a:xfrm xmlns:a="http://schemas.openxmlformats.org/drawingml/2006/main">
          <a:off x="182880" y="3337557"/>
          <a:ext cx="6172224" cy="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0.02134</cdr:x>
      <cdr:y>0.76495</cdr:y>
    </cdr:from>
    <cdr:to>
      <cdr:x>0.95993</cdr:x>
      <cdr:y>0.76495</cdr:y>
    </cdr:to>
    <cdr:cxnSp macro="">
      <cdr:nvCxnSpPr>
        <cdr:cNvPr id="3" name="Connecteur droit 2">
          <a:extLst xmlns:a="http://schemas.openxmlformats.org/drawingml/2006/main">
            <a:ext uri="{FF2B5EF4-FFF2-40B4-BE49-F238E27FC236}">
              <a16:creationId xmlns:a16="http://schemas.microsoft.com/office/drawing/2014/main" id="{3DF3D8F7-A35E-4156-8E04-4912C5D2F715}"/>
            </a:ext>
          </a:extLst>
        </cdr:cNvPr>
        <cdr:cNvCxnSpPr/>
      </cdr:nvCxnSpPr>
      <cdr:spPr>
        <a:xfrm xmlns:a="http://schemas.openxmlformats.org/drawingml/2006/main">
          <a:off x="100482" y="3555639"/>
          <a:ext cx="4419970" cy="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</xdr:colOff>
      <xdr:row>2</xdr:row>
      <xdr:rowOff>15241</xdr:rowOff>
    </xdr:from>
    <xdr:to>
      <xdr:col>7</xdr:col>
      <xdr:colOff>678180</xdr:colOff>
      <xdr:row>2</xdr:row>
      <xdr:rowOff>2103120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0.02336</cdr:x>
      <cdr:y>0.71863</cdr:y>
    </cdr:from>
    <cdr:to>
      <cdr:x>0.96195</cdr:x>
      <cdr:y>0.71863</cdr:y>
    </cdr:to>
    <cdr:cxnSp macro="">
      <cdr:nvCxnSpPr>
        <cdr:cNvPr id="3" name="Connecteur droit 2">
          <a:extLst xmlns:a="http://schemas.openxmlformats.org/drawingml/2006/main">
            <a:ext uri="{FF2B5EF4-FFF2-40B4-BE49-F238E27FC236}">
              <a16:creationId xmlns:a16="http://schemas.microsoft.com/office/drawing/2014/main" id="{3DF3D8F7-A35E-4156-8E04-4912C5D2F715}"/>
            </a:ext>
          </a:extLst>
        </cdr:cNvPr>
        <cdr:cNvCxnSpPr/>
      </cdr:nvCxnSpPr>
      <cdr:spPr>
        <a:xfrm xmlns:a="http://schemas.openxmlformats.org/drawingml/2006/main">
          <a:off x="88070" y="2127755"/>
          <a:ext cx="3538402" cy="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99060</xdr:colOff>
      <xdr:row>2</xdr:row>
      <xdr:rowOff>144780</xdr:rowOff>
    </xdr:from>
    <xdr:to>
      <xdr:col>8</xdr:col>
      <xdr:colOff>457200</xdr:colOff>
      <xdr:row>2</xdr:row>
      <xdr:rowOff>144780</xdr:rowOff>
    </xdr:to>
    <xdr:cxnSp macro="">
      <xdr:nvCxnSpPr>
        <xdr:cNvPr id="142" name="Connecteur droit avec flèche 141">
          <a:extLst>
            <a:ext uri="{FF2B5EF4-FFF2-40B4-BE49-F238E27FC236}">
              <a16:creationId xmlns:a16="http://schemas.microsoft.com/office/drawing/2014/main" id="{00000000-0008-0000-0A00-00008E000000}"/>
            </a:ext>
          </a:extLst>
        </xdr:cNvPr>
        <xdr:cNvCxnSpPr/>
      </xdr:nvCxnSpPr>
      <xdr:spPr>
        <a:xfrm flipH="1">
          <a:off x="14051280" y="701040"/>
          <a:ext cx="35814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91440</xdr:colOff>
      <xdr:row>44</xdr:row>
      <xdr:rowOff>144780</xdr:rowOff>
    </xdr:from>
    <xdr:to>
      <xdr:col>4</xdr:col>
      <xdr:colOff>381000</xdr:colOff>
      <xdr:row>44</xdr:row>
      <xdr:rowOff>152400</xdr:rowOff>
    </xdr:to>
    <xdr:cxnSp macro="">
      <xdr:nvCxnSpPr>
        <xdr:cNvPr id="143" name="Connecteur droit avec flèche 142">
          <a:extLst>
            <a:ext uri="{FF2B5EF4-FFF2-40B4-BE49-F238E27FC236}">
              <a16:creationId xmlns:a16="http://schemas.microsoft.com/office/drawing/2014/main" id="{00000000-0008-0000-0A00-00008F000000}"/>
            </a:ext>
          </a:extLst>
        </xdr:cNvPr>
        <xdr:cNvCxnSpPr/>
      </xdr:nvCxnSpPr>
      <xdr:spPr>
        <a:xfrm flipH="1" flipV="1">
          <a:off x="11216640" y="12108180"/>
          <a:ext cx="289560" cy="762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373380</xdr:colOff>
      <xdr:row>56</xdr:row>
      <xdr:rowOff>53340</xdr:rowOff>
    </xdr:from>
    <xdr:to>
      <xdr:col>3</xdr:col>
      <xdr:colOff>373380</xdr:colOff>
      <xdr:row>56</xdr:row>
      <xdr:rowOff>236220</xdr:rowOff>
    </xdr:to>
    <xdr:cxnSp macro="">
      <xdr:nvCxnSpPr>
        <xdr:cNvPr id="144" name="Connecteur droit avec flèche 143">
          <a:extLst>
            <a:ext uri="{FF2B5EF4-FFF2-40B4-BE49-F238E27FC236}">
              <a16:creationId xmlns:a16="http://schemas.microsoft.com/office/drawing/2014/main" id="{00000000-0008-0000-0A00-000090000000}"/>
            </a:ext>
          </a:extLst>
        </xdr:cNvPr>
        <xdr:cNvCxnSpPr/>
      </xdr:nvCxnSpPr>
      <xdr:spPr>
        <a:xfrm>
          <a:off x="10820400" y="15491460"/>
          <a:ext cx="0" cy="12192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91440</xdr:colOff>
      <xdr:row>60</xdr:row>
      <xdr:rowOff>144780</xdr:rowOff>
    </xdr:from>
    <xdr:to>
      <xdr:col>4</xdr:col>
      <xdr:colOff>381000</xdr:colOff>
      <xdr:row>60</xdr:row>
      <xdr:rowOff>152400</xdr:rowOff>
    </xdr:to>
    <xdr:cxnSp macro="">
      <xdr:nvCxnSpPr>
        <xdr:cNvPr id="145" name="Connecteur droit avec flèche 144">
          <a:extLst>
            <a:ext uri="{FF2B5EF4-FFF2-40B4-BE49-F238E27FC236}">
              <a16:creationId xmlns:a16="http://schemas.microsoft.com/office/drawing/2014/main" id="{00000000-0008-0000-0A00-000091000000}"/>
            </a:ext>
          </a:extLst>
        </xdr:cNvPr>
        <xdr:cNvCxnSpPr/>
      </xdr:nvCxnSpPr>
      <xdr:spPr>
        <a:xfrm flipH="1" flipV="1">
          <a:off x="11216640" y="16626840"/>
          <a:ext cx="289560" cy="762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373380</xdr:colOff>
      <xdr:row>72</xdr:row>
      <xdr:rowOff>53340</xdr:rowOff>
    </xdr:from>
    <xdr:to>
      <xdr:col>3</xdr:col>
      <xdr:colOff>373380</xdr:colOff>
      <xdr:row>72</xdr:row>
      <xdr:rowOff>236220</xdr:rowOff>
    </xdr:to>
    <xdr:cxnSp macro="">
      <xdr:nvCxnSpPr>
        <xdr:cNvPr id="146" name="Connecteur droit avec flèche 145">
          <a:extLst>
            <a:ext uri="{FF2B5EF4-FFF2-40B4-BE49-F238E27FC236}">
              <a16:creationId xmlns:a16="http://schemas.microsoft.com/office/drawing/2014/main" id="{00000000-0008-0000-0A00-000092000000}"/>
            </a:ext>
          </a:extLst>
        </xdr:cNvPr>
        <xdr:cNvCxnSpPr/>
      </xdr:nvCxnSpPr>
      <xdr:spPr>
        <a:xfrm>
          <a:off x="10820400" y="20010120"/>
          <a:ext cx="0" cy="12954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91440</xdr:colOff>
      <xdr:row>76</xdr:row>
      <xdr:rowOff>144780</xdr:rowOff>
    </xdr:from>
    <xdr:to>
      <xdr:col>4</xdr:col>
      <xdr:colOff>381000</xdr:colOff>
      <xdr:row>76</xdr:row>
      <xdr:rowOff>152400</xdr:rowOff>
    </xdr:to>
    <xdr:cxnSp macro="">
      <xdr:nvCxnSpPr>
        <xdr:cNvPr id="147" name="Connecteur droit avec flèche 146">
          <a:extLst>
            <a:ext uri="{FF2B5EF4-FFF2-40B4-BE49-F238E27FC236}">
              <a16:creationId xmlns:a16="http://schemas.microsoft.com/office/drawing/2014/main" id="{00000000-0008-0000-0A00-000093000000}"/>
            </a:ext>
          </a:extLst>
        </xdr:cNvPr>
        <xdr:cNvCxnSpPr/>
      </xdr:nvCxnSpPr>
      <xdr:spPr>
        <a:xfrm flipH="1" flipV="1">
          <a:off x="11216640" y="21153120"/>
          <a:ext cx="289560" cy="762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373380</xdr:colOff>
      <xdr:row>88</xdr:row>
      <xdr:rowOff>53340</xdr:rowOff>
    </xdr:from>
    <xdr:to>
      <xdr:col>3</xdr:col>
      <xdr:colOff>373380</xdr:colOff>
      <xdr:row>88</xdr:row>
      <xdr:rowOff>236220</xdr:rowOff>
    </xdr:to>
    <xdr:cxnSp macro="">
      <xdr:nvCxnSpPr>
        <xdr:cNvPr id="148" name="Connecteur droit avec flèche 147">
          <a:extLst>
            <a:ext uri="{FF2B5EF4-FFF2-40B4-BE49-F238E27FC236}">
              <a16:creationId xmlns:a16="http://schemas.microsoft.com/office/drawing/2014/main" id="{00000000-0008-0000-0A00-000094000000}"/>
            </a:ext>
          </a:extLst>
        </xdr:cNvPr>
        <xdr:cNvCxnSpPr/>
      </xdr:nvCxnSpPr>
      <xdr:spPr>
        <a:xfrm>
          <a:off x="10820400" y="24536400"/>
          <a:ext cx="0" cy="12954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228600</xdr:colOff>
      <xdr:row>46</xdr:row>
      <xdr:rowOff>259080</xdr:rowOff>
    </xdr:from>
    <xdr:ext cx="289560" cy="277495"/>
    <xdr:pic>
      <xdr:nvPicPr>
        <xdr:cNvPr id="149" name="Image 148">
          <a:extLst>
            <a:ext uri="{FF2B5EF4-FFF2-40B4-BE49-F238E27FC236}">
              <a16:creationId xmlns:a16="http://schemas.microsoft.com/office/drawing/2014/main" id="{00000000-0008-0000-0A00-000095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5820" y="12801600"/>
          <a:ext cx="289560" cy="277495"/>
        </a:xfrm>
        <a:prstGeom prst="rect">
          <a:avLst/>
        </a:prstGeom>
      </xdr:spPr>
    </xdr:pic>
    <xdr:clientData/>
  </xdr:oneCellAnchor>
  <xdr:oneCellAnchor>
    <xdr:from>
      <xdr:col>1</xdr:col>
      <xdr:colOff>228600</xdr:colOff>
      <xdr:row>49</xdr:row>
      <xdr:rowOff>162560</xdr:rowOff>
    </xdr:from>
    <xdr:ext cx="304800" cy="283210"/>
    <xdr:pic>
      <xdr:nvPicPr>
        <xdr:cNvPr id="150" name="Image 149">
          <a:extLst>
            <a:ext uri="{FF2B5EF4-FFF2-40B4-BE49-F238E27FC236}">
              <a16:creationId xmlns:a16="http://schemas.microsoft.com/office/drawing/2014/main" id="{00000000-0008-0000-0A00-000096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5820" y="13573760"/>
          <a:ext cx="304800" cy="283210"/>
        </a:xfrm>
        <a:prstGeom prst="rect">
          <a:avLst/>
        </a:prstGeom>
      </xdr:spPr>
    </xdr:pic>
    <xdr:clientData/>
  </xdr:oneCellAnchor>
  <xdr:oneCellAnchor>
    <xdr:from>
      <xdr:col>1</xdr:col>
      <xdr:colOff>236220</xdr:colOff>
      <xdr:row>51</xdr:row>
      <xdr:rowOff>288290</xdr:rowOff>
    </xdr:from>
    <xdr:ext cx="250825" cy="263525"/>
    <xdr:pic>
      <xdr:nvPicPr>
        <xdr:cNvPr id="151" name="Image 150">
          <a:extLst>
            <a:ext uri="{FF2B5EF4-FFF2-40B4-BE49-F238E27FC236}">
              <a16:creationId xmlns:a16="http://schemas.microsoft.com/office/drawing/2014/main" id="{00000000-0008-0000-0A00-000097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3440" y="14278610"/>
          <a:ext cx="250825" cy="263525"/>
        </a:xfrm>
        <a:prstGeom prst="rect">
          <a:avLst/>
        </a:prstGeom>
        <a:noFill/>
      </xdr:spPr>
    </xdr:pic>
    <xdr:clientData/>
  </xdr:oneCellAnchor>
  <xdr:oneCellAnchor>
    <xdr:from>
      <xdr:col>1</xdr:col>
      <xdr:colOff>228600</xdr:colOff>
      <xdr:row>54</xdr:row>
      <xdr:rowOff>146050</xdr:rowOff>
    </xdr:from>
    <xdr:ext cx="283210" cy="243840"/>
    <xdr:pic>
      <xdr:nvPicPr>
        <xdr:cNvPr id="152" name="Image 151">
          <a:extLst>
            <a:ext uri="{FF2B5EF4-FFF2-40B4-BE49-F238E27FC236}">
              <a16:creationId xmlns:a16="http://schemas.microsoft.com/office/drawing/2014/main" id="{00000000-0008-0000-0A00-000098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5820" y="15005050"/>
          <a:ext cx="283210" cy="243840"/>
        </a:xfrm>
        <a:prstGeom prst="rect">
          <a:avLst/>
        </a:prstGeom>
      </xdr:spPr>
    </xdr:pic>
    <xdr:clientData/>
  </xdr:oneCellAnchor>
  <xdr:oneCellAnchor>
    <xdr:from>
      <xdr:col>1</xdr:col>
      <xdr:colOff>228600</xdr:colOff>
      <xdr:row>62</xdr:row>
      <xdr:rowOff>274320</xdr:rowOff>
    </xdr:from>
    <xdr:ext cx="289560" cy="277495"/>
    <xdr:pic>
      <xdr:nvPicPr>
        <xdr:cNvPr id="153" name="Image 152">
          <a:extLst>
            <a:ext uri="{FF2B5EF4-FFF2-40B4-BE49-F238E27FC236}">
              <a16:creationId xmlns:a16="http://schemas.microsoft.com/office/drawing/2014/main" id="{00000000-0008-0000-0A00-000099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5820" y="17335500"/>
          <a:ext cx="289560" cy="277495"/>
        </a:xfrm>
        <a:prstGeom prst="rect">
          <a:avLst/>
        </a:prstGeom>
      </xdr:spPr>
    </xdr:pic>
    <xdr:clientData/>
  </xdr:oneCellAnchor>
  <xdr:oneCellAnchor>
    <xdr:from>
      <xdr:col>1</xdr:col>
      <xdr:colOff>228600</xdr:colOff>
      <xdr:row>65</xdr:row>
      <xdr:rowOff>177800</xdr:rowOff>
    </xdr:from>
    <xdr:ext cx="304800" cy="283210"/>
    <xdr:pic>
      <xdr:nvPicPr>
        <xdr:cNvPr id="154" name="Image 153">
          <a:extLst>
            <a:ext uri="{FF2B5EF4-FFF2-40B4-BE49-F238E27FC236}">
              <a16:creationId xmlns:a16="http://schemas.microsoft.com/office/drawing/2014/main" id="{00000000-0008-0000-0A00-00009A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5820" y="18107660"/>
          <a:ext cx="304800" cy="283210"/>
        </a:xfrm>
        <a:prstGeom prst="rect">
          <a:avLst/>
        </a:prstGeom>
      </xdr:spPr>
    </xdr:pic>
    <xdr:clientData/>
  </xdr:oneCellAnchor>
  <xdr:oneCellAnchor>
    <xdr:from>
      <xdr:col>1</xdr:col>
      <xdr:colOff>236220</xdr:colOff>
      <xdr:row>68</xdr:row>
      <xdr:rowOff>13970</xdr:rowOff>
    </xdr:from>
    <xdr:ext cx="250825" cy="263525"/>
    <xdr:pic>
      <xdr:nvPicPr>
        <xdr:cNvPr id="155" name="Image 154">
          <a:extLst>
            <a:ext uri="{FF2B5EF4-FFF2-40B4-BE49-F238E27FC236}">
              <a16:creationId xmlns:a16="http://schemas.microsoft.com/office/drawing/2014/main" id="{00000000-0008-0000-0A00-00009B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3440" y="18812510"/>
          <a:ext cx="250825" cy="263525"/>
        </a:xfrm>
        <a:prstGeom prst="rect">
          <a:avLst/>
        </a:prstGeom>
        <a:noFill/>
      </xdr:spPr>
    </xdr:pic>
    <xdr:clientData/>
  </xdr:oneCellAnchor>
  <xdr:oneCellAnchor>
    <xdr:from>
      <xdr:col>1</xdr:col>
      <xdr:colOff>228600</xdr:colOff>
      <xdr:row>70</xdr:row>
      <xdr:rowOff>100330</xdr:rowOff>
    </xdr:from>
    <xdr:ext cx="283210" cy="243840"/>
    <xdr:pic>
      <xdr:nvPicPr>
        <xdr:cNvPr id="156" name="Image 155">
          <a:extLst>
            <a:ext uri="{FF2B5EF4-FFF2-40B4-BE49-F238E27FC236}">
              <a16:creationId xmlns:a16="http://schemas.microsoft.com/office/drawing/2014/main" id="{00000000-0008-0000-0A00-00009C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5820" y="19477990"/>
          <a:ext cx="283210" cy="243840"/>
        </a:xfrm>
        <a:prstGeom prst="rect">
          <a:avLst/>
        </a:prstGeom>
      </xdr:spPr>
    </xdr:pic>
    <xdr:clientData/>
  </xdr:oneCellAnchor>
  <xdr:oneCellAnchor>
    <xdr:from>
      <xdr:col>1</xdr:col>
      <xdr:colOff>205740</xdr:colOff>
      <xdr:row>78</xdr:row>
      <xdr:rowOff>281940</xdr:rowOff>
    </xdr:from>
    <xdr:ext cx="289560" cy="277495"/>
    <xdr:pic>
      <xdr:nvPicPr>
        <xdr:cNvPr id="157" name="Image 156">
          <a:extLst>
            <a:ext uri="{FF2B5EF4-FFF2-40B4-BE49-F238E27FC236}">
              <a16:creationId xmlns:a16="http://schemas.microsoft.com/office/drawing/2014/main" id="{00000000-0008-0000-0A00-00009D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42960" y="21869400"/>
          <a:ext cx="289560" cy="277495"/>
        </a:xfrm>
        <a:prstGeom prst="rect">
          <a:avLst/>
        </a:prstGeom>
      </xdr:spPr>
    </xdr:pic>
    <xdr:clientData/>
  </xdr:oneCellAnchor>
  <xdr:oneCellAnchor>
    <xdr:from>
      <xdr:col>1</xdr:col>
      <xdr:colOff>205740</xdr:colOff>
      <xdr:row>81</xdr:row>
      <xdr:rowOff>185420</xdr:rowOff>
    </xdr:from>
    <xdr:ext cx="304800" cy="283210"/>
    <xdr:pic>
      <xdr:nvPicPr>
        <xdr:cNvPr id="158" name="Image 157">
          <a:extLst>
            <a:ext uri="{FF2B5EF4-FFF2-40B4-BE49-F238E27FC236}">
              <a16:creationId xmlns:a16="http://schemas.microsoft.com/office/drawing/2014/main" id="{00000000-0008-0000-0A00-00009E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42960" y="22641560"/>
          <a:ext cx="304800" cy="283210"/>
        </a:xfrm>
        <a:prstGeom prst="rect">
          <a:avLst/>
        </a:prstGeom>
      </xdr:spPr>
    </xdr:pic>
    <xdr:clientData/>
  </xdr:oneCellAnchor>
  <xdr:oneCellAnchor>
    <xdr:from>
      <xdr:col>1</xdr:col>
      <xdr:colOff>213360</xdr:colOff>
      <xdr:row>84</xdr:row>
      <xdr:rowOff>21590</xdr:rowOff>
    </xdr:from>
    <xdr:ext cx="250825" cy="263525"/>
    <xdr:pic>
      <xdr:nvPicPr>
        <xdr:cNvPr id="159" name="Image 158">
          <a:extLst>
            <a:ext uri="{FF2B5EF4-FFF2-40B4-BE49-F238E27FC236}">
              <a16:creationId xmlns:a16="http://schemas.microsoft.com/office/drawing/2014/main" id="{00000000-0008-0000-0A00-00009F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580" y="23346410"/>
          <a:ext cx="250825" cy="263525"/>
        </a:xfrm>
        <a:prstGeom prst="rect">
          <a:avLst/>
        </a:prstGeom>
        <a:noFill/>
      </xdr:spPr>
    </xdr:pic>
    <xdr:clientData/>
  </xdr:oneCellAnchor>
  <xdr:oneCellAnchor>
    <xdr:from>
      <xdr:col>1</xdr:col>
      <xdr:colOff>205740</xdr:colOff>
      <xdr:row>86</xdr:row>
      <xdr:rowOff>168910</xdr:rowOff>
    </xdr:from>
    <xdr:ext cx="283210" cy="243840"/>
    <xdr:pic>
      <xdr:nvPicPr>
        <xdr:cNvPr id="160" name="Image 159">
          <a:extLst>
            <a:ext uri="{FF2B5EF4-FFF2-40B4-BE49-F238E27FC236}">
              <a16:creationId xmlns:a16="http://schemas.microsoft.com/office/drawing/2014/main" id="{00000000-0008-0000-0A00-0000A0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42960" y="24072850"/>
          <a:ext cx="283210" cy="243840"/>
        </a:xfrm>
        <a:prstGeom prst="rect">
          <a:avLst/>
        </a:prstGeom>
      </xdr:spPr>
    </xdr:pic>
    <xdr:clientData/>
  </xdr:oneCellAnchor>
  <xdr:twoCellAnchor>
    <xdr:from>
      <xdr:col>15</xdr:col>
      <xdr:colOff>91440</xdr:colOff>
      <xdr:row>44</xdr:row>
      <xdr:rowOff>144780</xdr:rowOff>
    </xdr:from>
    <xdr:to>
      <xdr:col>15</xdr:col>
      <xdr:colOff>381000</xdr:colOff>
      <xdr:row>44</xdr:row>
      <xdr:rowOff>152400</xdr:rowOff>
    </xdr:to>
    <xdr:cxnSp macro="">
      <xdr:nvCxnSpPr>
        <xdr:cNvPr id="161" name="Connecteur droit avec flèche 160">
          <a:extLst>
            <a:ext uri="{FF2B5EF4-FFF2-40B4-BE49-F238E27FC236}">
              <a16:creationId xmlns:a16="http://schemas.microsoft.com/office/drawing/2014/main" id="{00000000-0008-0000-0A00-0000A1000000}"/>
            </a:ext>
          </a:extLst>
        </xdr:cNvPr>
        <xdr:cNvCxnSpPr/>
      </xdr:nvCxnSpPr>
      <xdr:spPr>
        <a:xfrm flipH="1" flipV="1">
          <a:off x="19034760" y="12108180"/>
          <a:ext cx="289560" cy="762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373380</xdr:colOff>
      <xdr:row>56</xdr:row>
      <xdr:rowOff>53340</xdr:rowOff>
    </xdr:from>
    <xdr:to>
      <xdr:col>14</xdr:col>
      <xdr:colOff>373380</xdr:colOff>
      <xdr:row>56</xdr:row>
      <xdr:rowOff>236220</xdr:rowOff>
    </xdr:to>
    <xdr:cxnSp macro="">
      <xdr:nvCxnSpPr>
        <xdr:cNvPr id="162" name="Connecteur droit avec flèche 161">
          <a:extLst>
            <a:ext uri="{FF2B5EF4-FFF2-40B4-BE49-F238E27FC236}">
              <a16:creationId xmlns:a16="http://schemas.microsoft.com/office/drawing/2014/main" id="{00000000-0008-0000-0A00-0000A2000000}"/>
            </a:ext>
          </a:extLst>
        </xdr:cNvPr>
        <xdr:cNvCxnSpPr/>
      </xdr:nvCxnSpPr>
      <xdr:spPr>
        <a:xfrm>
          <a:off x="18638520" y="15491460"/>
          <a:ext cx="0" cy="12192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91440</xdr:colOff>
      <xdr:row>60</xdr:row>
      <xdr:rowOff>144780</xdr:rowOff>
    </xdr:from>
    <xdr:to>
      <xdr:col>15</xdr:col>
      <xdr:colOff>381000</xdr:colOff>
      <xdr:row>60</xdr:row>
      <xdr:rowOff>152400</xdr:rowOff>
    </xdr:to>
    <xdr:cxnSp macro="">
      <xdr:nvCxnSpPr>
        <xdr:cNvPr id="163" name="Connecteur droit avec flèche 162">
          <a:extLst>
            <a:ext uri="{FF2B5EF4-FFF2-40B4-BE49-F238E27FC236}">
              <a16:creationId xmlns:a16="http://schemas.microsoft.com/office/drawing/2014/main" id="{00000000-0008-0000-0A00-0000A3000000}"/>
            </a:ext>
          </a:extLst>
        </xdr:cNvPr>
        <xdr:cNvCxnSpPr/>
      </xdr:nvCxnSpPr>
      <xdr:spPr>
        <a:xfrm flipH="1" flipV="1">
          <a:off x="19034760" y="16626840"/>
          <a:ext cx="289560" cy="762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373380</xdr:colOff>
      <xdr:row>72</xdr:row>
      <xdr:rowOff>53340</xdr:rowOff>
    </xdr:from>
    <xdr:to>
      <xdr:col>14</xdr:col>
      <xdr:colOff>373380</xdr:colOff>
      <xdr:row>72</xdr:row>
      <xdr:rowOff>236220</xdr:rowOff>
    </xdr:to>
    <xdr:cxnSp macro="">
      <xdr:nvCxnSpPr>
        <xdr:cNvPr id="164" name="Connecteur droit avec flèche 163">
          <a:extLst>
            <a:ext uri="{FF2B5EF4-FFF2-40B4-BE49-F238E27FC236}">
              <a16:creationId xmlns:a16="http://schemas.microsoft.com/office/drawing/2014/main" id="{00000000-0008-0000-0A00-0000A4000000}"/>
            </a:ext>
          </a:extLst>
        </xdr:cNvPr>
        <xdr:cNvCxnSpPr/>
      </xdr:nvCxnSpPr>
      <xdr:spPr>
        <a:xfrm>
          <a:off x="18638520" y="20010120"/>
          <a:ext cx="0" cy="12954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91440</xdr:colOff>
      <xdr:row>76</xdr:row>
      <xdr:rowOff>144780</xdr:rowOff>
    </xdr:from>
    <xdr:to>
      <xdr:col>15</xdr:col>
      <xdr:colOff>381000</xdr:colOff>
      <xdr:row>76</xdr:row>
      <xdr:rowOff>152400</xdr:rowOff>
    </xdr:to>
    <xdr:cxnSp macro="">
      <xdr:nvCxnSpPr>
        <xdr:cNvPr id="165" name="Connecteur droit avec flèche 164">
          <a:extLst>
            <a:ext uri="{FF2B5EF4-FFF2-40B4-BE49-F238E27FC236}">
              <a16:creationId xmlns:a16="http://schemas.microsoft.com/office/drawing/2014/main" id="{00000000-0008-0000-0A00-0000A5000000}"/>
            </a:ext>
          </a:extLst>
        </xdr:cNvPr>
        <xdr:cNvCxnSpPr/>
      </xdr:nvCxnSpPr>
      <xdr:spPr>
        <a:xfrm flipH="1" flipV="1">
          <a:off x="19034760" y="21153120"/>
          <a:ext cx="289560" cy="762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373380</xdr:colOff>
      <xdr:row>88</xdr:row>
      <xdr:rowOff>53340</xdr:rowOff>
    </xdr:from>
    <xdr:to>
      <xdr:col>14</xdr:col>
      <xdr:colOff>373380</xdr:colOff>
      <xdr:row>88</xdr:row>
      <xdr:rowOff>236220</xdr:rowOff>
    </xdr:to>
    <xdr:cxnSp macro="">
      <xdr:nvCxnSpPr>
        <xdr:cNvPr id="166" name="Connecteur droit avec flèche 165">
          <a:extLst>
            <a:ext uri="{FF2B5EF4-FFF2-40B4-BE49-F238E27FC236}">
              <a16:creationId xmlns:a16="http://schemas.microsoft.com/office/drawing/2014/main" id="{00000000-0008-0000-0A00-0000A6000000}"/>
            </a:ext>
          </a:extLst>
        </xdr:cNvPr>
        <xdr:cNvCxnSpPr/>
      </xdr:nvCxnSpPr>
      <xdr:spPr>
        <a:xfrm>
          <a:off x="18638520" y="24536400"/>
          <a:ext cx="0" cy="12954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12</xdr:col>
      <xdr:colOff>228600</xdr:colOff>
      <xdr:row>46</xdr:row>
      <xdr:rowOff>259080</xdr:rowOff>
    </xdr:from>
    <xdr:ext cx="289560" cy="277495"/>
    <xdr:pic>
      <xdr:nvPicPr>
        <xdr:cNvPr id="167" name="Image 166">
          <a:extLst>
            <a:ext uri="{FF2B5EF4-FFF2-40B4-BE49-F238E27FC236}">
              <a16:creationId xmlns:a16="http://schemas.microsoft.com/office/drawing/2014/main" id="{00000000-0008-0000-0A00-0000A7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3940" y="12801600"/>
          <a:ext cx="289560" cy="277495"/>
        </a:xfrm>
        <a:prstGeom prst="rect">
          <a:avLst/>
        </a:prstGeom>
      </xdr:spPr>
    </xdr:pic>
    <xdr:clientData/>
  </xdr:oneCellAnchor>
  <xdr:oneCellAnchor>
    <xdr:from>
      <xdr:col>12</xdr:col>
      <xdr:colOff>228600</xdr:colOff>
      <xdr:row>49</xdr:row>
      <xdr:rowOff>162560</xdr:rowOff>
    </xdr:from>
    <xdr:ext cx="304800" cy="283210"/>
    <xdr:pic>
      <xdr:nvPicPr>
        <xdr:cNvPr id="168" name="Image 167">
          <a:extLst>
            <a:ext uri="{FF2B5EF4-FFF2-40B4-BE49-F238E27FC236}">
              <a16:creationId xmlns:a16="http://schemas.microsoft.com/office/drawing/2014/main" id="{00000000-0008-0000-0A00-0000A8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3940" y="13573760"/>
          <a:ext cx="304800" cy="283210"/>
        </a:xfrm>
        <a:prstGeom prst="rect">
          <a:avLst/>
        </a:prstGeom>
      </xdr:spPr>
    </xdr:pic>
    <xdr:clientData/>
  </xdr:oneCellAnchor>
  <xdr:oneCellAnchor>
    <xdr:from>
      <xdr:col>12</xdr:col>
      <xdr:colOff>236220</xdr:colOff>
      <xdr:row>51</xdr:row>
      <xdr:rowOff>288290</xdr:rowOff>
    </xdr:from>
    <xdr:ext cx="250825" cy="263525"/>
    <xdr:pic>
      <xdr:nvPicPr>
        <xdr:cNvPr id="169" name="Image 168">
          <a:extLst>
            <a:ext uri="{FF2B5EF4-FFF2-40B4-BE49-F238E27FC236}">
              <a16:creationId xmlns:a16="http://schemas.microsoft.com/office/drawing/2014/main" id="{00000000-0008-0000-0A00-0000A9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91560" y="14278610"/>
          <a:ext cx="250825" cy="263525"/>
        </a:xfrm>
        <a:prstGeom prst="rect">
          <a:avLst/>
        </a:prstGeom>
        <a:noFill/>
      </xdr:spPr>
    </xdr:pic>
    <xdr:clientData/>
  </xdr:oneCellAnchor>
  <xdr:oneCellAnchor>
    <xdr:from>
      <xdr:col>12</xdr:col>
      <xdr:colOff>228600</xdr:colOff>
      <xdr:row>54</xdr:row>
      <xdr:rowOff>146050</xdr:rowOff>
    </xdr:from>
    <xdr:ext cx="283210" cy="243840"/>
    <xdr:pic>
      <xdr:nvPicPr>
        <xdr:cNvPr id="170" name="Image 169">
          <a:extLst>
            <a:ext uri="{FF2B5EF4-FFF2-40B4-BE49-F238E27FC236}">
              <a16:creationId xmlns:a16="http://schemas.microsoft.com/office/drawing/2014/main" id="{00000000-0008-0000-0A00-0000AA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3940" y="15005050"/>
          <a:ext cx="283210" cy="243840"/>
        </a:xfrm>
        <a:prstGeom prst="rect">
          <a:avLst/>
        </a:prstGeom>
      </xdr:spPr>
    </xdr:pic>
    <xdr:clientData/>
  </xdr:oneCellAnchor>
  <xdr:oneCellAnchor>
    <xdr:from>
      <xdr:col>12</xdr:col>
      <xdr:colOff>228600</xdr:colOff>
      <xdr:row>62</xdr:row>
      <xdr:rowOff>274320</xdr:rowOff>
    </xdr:from>
    <xdr:ext cx="289560" cy="277495"/>
    <xdr:pic>
      <xdr:nvPicPr>
        <xdr:cNvPr id="171" name="Image 170">
          <a:extLst>
            <a:ext uri="{FF2B5EF4-FFF2-40B4-BE49-F238E27FC236}">
              <a16:creationId xmlns:a16="http://schemas.microsoft.com/office/drawing/2014/main" id="{00000000-0008-0000-0A00-0000AB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3940" y="17335500"/>
          <a:ext cx="289560" cy="277495"/>
        </a:xfrm>
        <a:prstGeom prst="rect">
          <a:avLst/>
        </a:prstGeom>
      </xdr:spPr>
    </xdr:pic>
    <xdr:clientData/>
  </xdr:oneCellAnchor>
  <xdr:oneCellAnchor>
    <xdr:from>
      <xdr:col>12</xdr:col>
      <xdr:colOff>228600</xdr:colOff>
      <xdr:row>65</xdr:row>
      <xdr:rowOff>177800</xdr:rowOff>
    </xdr:from>
    <xdr:ext cx="304800" cy="283210"/>
    <xdr:pic>
      <xdr:nvPicPr>
        <xdr:cNvPr id="172" name="Image 171">
          <a:extLst>
            <a:ext uri="{FF2B5EF4-FFF2-40B4-BE49-F238E27FC236}">
              <a16:creationId xmlns:a16="http://schemas.microsoft.com/office/drawing/2014/main" id="{00000000-0008-0000-0A00-0000AC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3940" y="18107660"/>
          <a:ext cx="304800" cy="283210"/>
        </a:xfrm>
        <a:prstGeom prst="rect">
          <a:avLst/>
        </a:prstGeom>
      </xdr:spPr>
    </xdr:pic>
    <xdr:clientData/>
  </xdr:oneCellAnchor>
  <xdr:oneCellAnchor>
    <xdr:from>
      <xdr:col>12</xdr:col>
      <xdr:colOff>236220</xdr:colOff>
      <xdr:row>68</xdr:row>
      <xdr:rowOff>13970</xdr:rowOff>
    </xdr:from>
    <xdr:ext cx="250825" cy="263525"/>
    <xdr:pic>
      <xdr:nvPicPr>
        <xdr:cNvPr id="173" name="Image 172">
          <a:extLst>
            <a:ext uri="{FF2B5EF4-FFF2-40B4-BE49-F238E27FC236}">
              <a16:creationId xmlns:a16="http://schemas.microsoft.com/office/drawing/2014/main" id="{00000000-0008-0000-0A00-0000AD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91560" y="18812510"/>
          <a:ext cx="250825" cy="263525"/>
        </a:xfrm>
        <a:prstGeom prst="rect">
          <a:avLst/>
        </a:prstGeom>
        <a:noFill/>
      </xdr:spPr>
    </xdr:pic>
    <xdr:clientData/>
  </xdr:oneCellAnchor>
  <xdr:oneCellAnchor>
    <xdr:from>
      <xdr:col>12</xdr:col>
      <xdr:colOff>228600</xdr:colOff>
      <xdr:row>70</xdr:row>
      <xdr:rowOff>100330</xdr:rowOff>
    </xdr:from>
    <xdr:ext cx="283210" cy="243840"/>
    <xdr:pic>
      <xdr:nvPicPr>
        <xdr:cNvPr id="174" name="Image 173">
          <a:extLst>
            <a:ext uri="{FF2B5EF4-FFF2-40B4-BE49-F238E27FC236}">
              <a16:creationId xmlns:a16="http://schemas.microsoft.com/office/drawing/2014/main" id="{00000000-0008-0000-0A00-0000AE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3940" y="19477990"/>
          <a:ext cx="283210" cy="243840"/>
        </a:xfrm>
        <a:prstGeom prst="rect">
          <a:avLst/>
        </a:prstGeom>
      </xdr:spPr>
    </xdr:pic>
    <xdr:clientData/>
  </xdr:oneCellAnchor>
  <xdr:oneCellAnchor>
    <xdr:from>
      <xdr:col>12</xdr:col>
      <xdr:colOff>205740</xdr:colOff>
      <xdr:row>78</xdr:row>
      <xdr:rowOff>281940</xdr:rowOff>
    </xdr:from>
    <xdr:ext cx="289560" cy="277495"/>
    <xdr:pic>
      <xdr:nvPicPr>
        <xdr:cNvPr id="175" name="Image 174">
          <a:extLst>
            <a:ext uri="{FF2B5EF4-FFF2-40B4-BE49-F238E27FC236}">
              <a16:creationId xmlns:a16="http://schemas.microsoft.com/office/drawing/2014/main" id="{00000000-0008-0000-0A00-0000AF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61080" y="21869400"/>
          <a:ext cx="289560" cy="277495"/>
        </a:xfrm>
        <a:prstGeom prst="rect">
          <a:avLst/>
        </a:prstGeom>
      </xdr:spPr>
    </xdr:pic>
    <xdr:clientData/>
  </xdr:oneCellAnchor>
  <xdr:oneCellAnchor>
    <xdr:from>
      <xdr:col>12</xdr:col>
      <xdr:colOff>205740</xdr:colOff>
      <xdr:row>81</xdr:row>
      <xdr:rowOff>185420</xdr:rowOff>
    </xdr:from>
    <xdr:ext cx="304800" cy="283210"/>
    <xdr:pic>
      <xdr:nvPicPr>
        <xdr:cNvPr id="176" name="Image 175">
          <a:extLst>
            <a:ext uri="{FF2B5EF4-FFF2-40B4-BE49-F238E27FC236}">
              <a16:creationId xmlns:a16="http://schemas.microsoft.com/office/drawing/2014/main" id="{00000000-0008-0000-0A00-0000B0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61080" y="22641560"/>
          <a:ext cx="304800" cy="283210"/>
        </a:xfrm>
        <a:prstGeom prst="rect">
          <a:avLst/>
        </a:prstGeom>
      </xdr:spPr>
    </xdr:pic>
    <xdr:clientData/>
  </xdr:oneCellAnchor>
  <xdr:oneCellAnchor>
    <xdr:from>
      <xdr:col>12</xdr:col>
      <xdr:colOff>213360</xdr:colOff>
      <xdr:row>84</xdr:row>
      <xdr:rowOff>21590</xdr:rowOff>
    </xdr:from>
    <xdr:ext cx="250825" cy="263525"/>
    <xdr:pic>
      <xdr:nvPicPr>
        <xdr:cNvPr id="177" name="Image 176">
          <a:extLst>
            <a:ext uri="{FF2B5EF4-FFF2-40B4-BE49-F238E27FC236}">
              <a16:creationId xmlns:a16="http://schemas.microsoft.com/office/drawing/2014/main" id="{00000000-0008-0000-0A00-0000B1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68700" y="23346410"/>
          <a:ext cx="250825" cy="263525"/>
        </a:xfrm>
        <a:prstGeom prst="rect">
          <a:avLst/>
        </a:prstGeom>
        <a:noFill/>
      </xdr:spPr>
    </xdr:pic>
    <xdr:clientData/>
  </xdr:oneCellAnchor>
  <xdr:oneCellAnchor>
    <xdr:from>
      <xdr:col>12</xdr:col>
      <xdr:colOff>205740</xdr:colOff>
      <xdr:row>86</xdr:row>
      <xdr:rowOff>168910</xdr:rowOff>
    </xdr:from>
    <xdr:ext cx="283210" cy="243840"/>
    <xdr:pic>
      <xdr:nvPicPr>
        <xdr:cNvPr id="178" name="Image 177">
          <a:extLst>
            <a:ext uri="{FF2B5EF4-FFF2-40B4-BE49-F238E27FC236}">
              <a16:creationId xmlns:a16="http://schemas.microsoft.com/office/drawing/2014/main" id="{00000000-0008-0000-0A00-0000B2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61080" y="24072850"/>
          <a:ext cx="283210" cy="243840"/>
        </a:xfrm>
        <a:prstGeom prst="rect">
          <a:avLst/>
        </a:prstGeom>
      </xdr:spPr>
    </xdr:pic>
    <xdr:clientData/>
  </xdr:oneCellAnchor>
  <xdr:twoCellAnchor>
    <xdr:from>
      <xdr:col>30</xdr:col>
      <xdr:colOff>99060</xdr:colOff>
      <xdr:row>2</xdr:row>
      <xdr:rowOff>144780</xdr:rowOff>
    </xdr:from>
    <xdr:to>
      <xdr:col>30</xdr:col>
      <xdr:colOff>457200</xdr:colOff>
      <xdr:row>2</xdr:row>
      <xdr:rowOff>144780</xdr:rowOff>
    </xdr:to>
    <xdr:cxnSp macro="">
      <xdr:nvCxnSpPr>
        <xdr:cNvPr id="179" name="Connecteur droit avec flèche 178">
          <a:extLst>
            <a:ext uri="{FF2B5EF4-FFF2-40B4-BE49-F238E27FC236}">
              <a16:creationId xmlns:a16="http://schemas.microsoft.com/office/drawing/2014/main" id="{00000000-0008-0000-0A00-0000B3000000}"/>
            </a:ext>
          </a:extLst>
        </xdr:cNvPr>
        <xdr:cNvCxnSpPr/>
      </xdr:nvCxnSpPr>
      <xdr:spPr>
        <a:xfrm flipH="1">
          <a:off x="29672280" y="701040"/>
          <a:ext cx="35814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91440</xdr:colOff>
      <xdr:row>44</xdr:row>
      <xdr:rowOff>144780</xdr:rowOff>
    </xdr:from>
    <xdr:to>
      <xdr:col>26</xdr:col>
      <xdr:colOff>381000</xdr:colOff>
      <xdr:row>44</xdr:row>
      <xdr:rowOff>152400</xdr:rowOff>
    </xdr:to>
    <xdr:cxnSp macro="">
      <xdr:nvCxnSpPr>
        <xdr:cNvPr id="180" name="Connecteur droit avec flèche 179">
          <a:extLst>
            <a:ext uri="{FF2B5EF4-FFF2-40B4-BE49-F238E27FC236}">
              <a16:creationId xmlns:a16="http://schemas.microsoft.com/office/drawing/2014/main" id="{00000000-0008-0000-0A00-0000B4000000}"/>
            </a:ext>
          </a:extLst>
        </xdr:cNvPr>
        <xdr:cNvCxnSpPr/>
      </xdr:nvCxnSpPr>
      <xdr:spPr>
        <a:xfrm flipH="1" flipV="1">
          <a:off x="26837640" y="12108180"/>
          <a:ext cx="289560" cy="762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373380</xdr:colOff>
      <xdr:row>56</xdr:row>
      <xdr:rowOff>53340</xdr:rowOff>
    </xdr:from>
    <xdr:to>
      <xdr:col>25</xdr:col>
      <xdr:colOff>373380</xdr:colOff>
      <xdr:row>56</xdr:row>
      <xdr:rowOff>236220</xdr:rowOff>
    </xdr:to>
    <xdr:cxnSp macro="">
      <xdr:nvCxnSpPr>
        <xdr:cNvPr id="181" name="Connecteur droit avec flèche 180">
          <a:extLst>
            <a:ext uri="{FF2B5EF4-FFF2-40B4-BE49-F238E27FC236}">
              <a16:creationId xmlns:a16="http://schemas.microsoft.com/office/drawing/2014/main" id="{00000000-0008-0000-0A00-0000B5000000}"/>
            </a:ext>
          </a:extLst>
        </xdr:cNvPr>
        <xdr:cNvCxnSpPr/>
      </xdr:nvCxnSpPr>
      <xdr:spPr>
        <a:xfrm>
          <a:off x="26441400" y="15491460"/>
          <a:ext cx="0" cy="12192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91440</xdr:colOff>
      <xdr:row>60</xdr:row>
      <xdr:rowOff>144780</xdr:rowOff>
    </xdr:from>
    <xdr:to>
      <xdr:col>26</xdr:col>
      <xdr:colOff>381000</xdr:colOff>
      <xdr:row>60</xdr:row>
      <xdr:rowOff>152400</xdr:rowOff>
    </xdr:to>
    <xdr:cxnSp macro="">
      <xdr:nvCxnSpPr>
        <xdr:cNvPr id="182" name="Connecteur droit avec flèche 181">
          <a:extLst>
            <a:ext uri="{FF2B5EF4-FFF2-40B4-BE49-F238E27FC236}">
              <a16:creationId xmlns:a16="http://schemas.microsoft.com/office/drawing/2014/main" id="{00000000-0008-0000-0A00-0000B6000000}"/>
            </a:ext>
          </a:extLst>
        </xdr:cNvPr>
        <xdr:cNvCxnSpPr/>
      </xdr:nvCxnSpPr>
      <xdr:spPr>
        <a:xfrm flipH="1" flipV="1">
          <a:off x="26837640" y="16626840"/>
          <a:ext cx="289560" cy="762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373380</xdr:colOff>
      <xdr:row>72</xdr:row>
      <xdr:rowOff>53340</xdr:rowOff>
    </xdr:from>
    <xdr:to>
      <xdr:col>25</xdr:col>
      <xdr:colOff>373380</xdr:colOff>
      <xdr:row>72</xdr:row>
      <xdr:rowOff>236220</xdr:rowOff>
    </xdr:to>
    <xdr:cxnSp macro="">
      <xdr:nvCxnSpPr>
        <xdr:cNvPr id="183" name="Connecteur droit avec flèche 182">
          <a:extLst>
            <a:ext uri="{FF2B5EF4-FFF2-40B4-BE49-F238E27FC236}">
              <a16:creationId xmlns:a16="http://schemas.microsoft.com/office/drawing/2014/main" id="{00000000-0008-0000-0A00-0000B7000000}"/>
            </a:ext>
          </a:extLst>
        </xdr:cNvPr>
        <xdr:cNvCxnSpPr/>
      </xdr:nvCxnSpPr>
      <xdr:spPr>
        <a:xfrm>
          <a:off x="26441400" y="20010120"/>
          <a:ext cx="0" cy="12954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91440</xdr:colOff>
      <xdr:row>76</xdr:row>
      <xdr:rowOff>144780</xdr:rowOff>
    </xdr:from>
    <xdr:to>
      <xdr:col>26</xdr:col>
      <xdr:colOff>381000</xdr:colOff>
      <xdr:row>76</xdr:row>
      <xdr:rowOff>152400</xdr:rowOff>
    </xdr:to>
    <xdr:cxnSp macro="">
      <xdr:nvCxnSpPr>
        <xdr:cNvPr id="184" name="Connecteur droit avec flèche 183">
          <a:extLst>
            <a:ext uri="{FF2B5EF4-FFF2-40B4-BE49-F238E27FC236}">
              <a16:creationId xmlns:a16="http://schemas.microsoft.com/office/drawing/2014/main" id="{00000000-0008-0000-0A00-0000B8000000}"/>
            </a:ext>
          </a:extLst>
        </xdr:cNvPr>
        <xdr:cNvCxnSpPr/>
      </xdr:nvCxnSpPr>
      <xdr:spPr>
        <a:xfrm flipH="1" flipV="1">
          <a:off x="26837640" y="21153120"/>
          <a:ext cx="289560" cy="762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373380</xdr:colOff>
      <xdr:row>88</xdr:row>
      <xdr:rowOff>53340</xdr:rowOff>
    </xdr:from>
    <xdr:to>
      <xdr:col>25</xdr:col>
      <xdr:colOff>373380</xdr:colOff>
      <xdr:row>88</xdr:row>
      <xdr:rowOff>236220</xdr:rowOff>
    </xdr:to>
    <xdr:cxnSp macro="">
      <xdr:nvCxnSpPr>
        <xdr:cNvPr id="185" name="Connecteur droit avec flèche 184">
          <a:extLst>
            <a:ext uri="{FF2B5EF4-FFF2-40B4-BE49-F238E27FC236}">
              <a16:creationId xmlns:a16="http://schemas.microsoft.com/office/drawing/2014/main" id="{00000000-0008-0000-0A00-0000B9000000}"/>
            </a:ext>
          </a:extLst>
        </xdr:cNvPr>
        <xdr:cNvCxnSpPr/>
      </xdr:nvCxnSpPr>
      <xdr:spPr>
        <a:xfrm>
          <a:off x="26441400" y="24536400"/>
          <a:ext cx="0" cy="12954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23</xdr:col>
      <xdr:colOff>228600</xdr:colOff>
      <xdr:row>46</xdr:row>
      <xdr:rowOff>259080</xdr:rowOff>
    </xdr:from>
    <xdr:ext cx="289560" cy="277495"/>
    <xdr:pic>
      <xdr:nvPicPr>
        <xdr:cNvPr id="186" name="Image 185">
          <a:extLst>
            <a:ext uri="{FF2B5EF4-FFF2-40B4-BE49-F238E27FC236}">
              <a16:creationId xmlns:a16="http://schemas.microsoft.com/office/drawing/2014/main" id="{00000000-0008-0000-0A00-0000BA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86820" y="12801600"/>
          <a:ext cx="289560" cy="277495"/>
        </a:xfrm>
        <a:prstGeom prst="rect">
          <a:avLst/>
        </a:prstGeom>
      </xdr:spPr>
    </xdr:pic>
    <xdr:clientData/>
  </xdr:oneCellAnchor>
  <xdr:oneCellAnchor>
    <xdr:from>
      <xdr:col>23</xdr:col>
      <xdr:colOff>228600</xdr:colOff>
      <xdr:row>49</xdr:row>
      <xdr:rowOff>162560</xdr:rowOff>
    </xdr:from>
    <xdr:ext cx="304800" cy="283210"/>
    <xdr:pic>
      <xdr:nvPicPr>
        <xdr:cNvPr id="187" name="Image 186">
          <a:extLst>
            <a:ext uri="{FF2B5EF4-FFF2-40B4-BE49-F238E27FC236}">
              <a16:creationId xmlns:a16="http://schemas.microsoft.com/office/drawing/2014/main" id="{00000000-0008-0000-0A00-0000BB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86820" y="13573760"/>
          <a:ext cx="304800" cy="283210"/>
        </a:xfrm>
        <a:prstGeom prst="rect">
          <a:avLst/>
        </a:prstGeom>
      </xdr:spPr>
    </xdr:pic>
    <xdr:clientData/>
  </xdr:oneCellAnchor>
  <xdr:oneCellAnchor>
    <xdr:from>
      <xdr:col>23</xdr:col>
      <xdr:colOff>236220</xdr:colOff>
      <xdr:row>51</xdr:row>
      <xdr:rowOff>288290</xdr:rowOff>
    </xdr:from>
    <xdr:ext cx="250825" cy="263525"/>
    <xdr:pic>
      <xdr:nvPicPr>
        <xdr:cNvPr id="188" name="Image 187">
          <a:extLst>
            <a:ext uri="{FF2B5EF4-FFF2-40B4-BE49-F238E27FC236}">
              <a16:creationId xmlns:a16="http://schemas.microsoft.com/office/drawing/2014/main" id="{00000000-0008-0000-0A00-0000BC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094440" y="14278610"/>
          <a:ext cx="250825" cy="263525"/>
        </a:xfrm>
        <a:prstGeom prst="rect">
          <a:avLst/>
        </a:prstGeom>
        <a:noFill/>
      </xdr:spPr>
    </xdr:pic>
    <xdr:clientData/>
  </xdr:oneCellAnchor>
  <xdr:oneCellAnchor>
    <xdr:from>
      <xdr:col>23</xdr:col>
      <xdr:colOff>228600</xdr:colOff>
      <xdr:row>54</xdr:row>
      <xdr:rowOff>146050</xdr:rowOff>
    </xdr:from>
    <xdr:ext cx="283210" cy="243840"/>
    <xdr:pic>
      <xdr:nvPicPr>
        <xdr:cNvPr id="189" name="Image 188">
          <a:extLst>
            <a:ext uri="{FF2B5EF4-FFF2-40B4-BE49-F238E27FC236}">
              <a16:creationId xmlns:a16="http://schemas.microsoft.com/office/drawing/2014/main" id="{00000000-0008-0000-0A00-0000BD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86820" y="15005050"/>
          <a:ext cx="283210" cy="243840"/>
        </a:xfrm>
        <a:prstGeom prst="rect">
          <a:avLst/>
        </a:prstGeom>
      </xdr:spPr>
    </xdr:pic>
    <xdr:clientData/>
  </xdr:oneCellAnchor>
  <xdr:oneCellAnchor>
    <xdr:from>
      <xdr:col>23</xdr:col>
      <xdr:colOff>228600</xdr:colOff>
      <xdr:row>62</xdr:row>
      <xdr:rowOff>274320</xdr:rowOff>
    </xdr:from>
    <xdr:ext cx="289560" cy="277495"/>
    <xdr:pic>
      <xdr:nvPicPr>
        <xdr:cNvPr id="190" name="Image 189">
          <a:extLst>
            <a:ext uri="{FF2B5EF4-FFF2-40B4-BE49-F238E27FC236}">
              <a16:creationId xmlns:a16="http://schemas.microsoft.com/office/drawing/2014/main" id="{00000000-0008-0000-0A00-0000BE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86820" y="17335500"/>
          <a:ext cx="289560" cy="277495"/>
        </a:xfrm>
        <a:prstGeom prst="rect">
          <a:avLst/>
        </a:prstGeom>
      </xdr:spPr>
    </xdr:pic>
    <xdr:clientData/>
  </xdr:oneCellAnchor>
  <xdr:oneCellAnchor>
    <xdr:from>
      <xdr:col>23</xdr:col>
      <xdr:colOff>228600</xdr:colOff>
      <xdr:row>65</xdr:row>
      <xdr:rowOff>177800</xdr:rowOff>
    </xdr:from>
    <xdr:ext cx="304800" cy="283210"/>
    <xdr:pic>
      <xdr:nvPicPr>
        <xdr:cNvPr id="191" name="Image 190">
          <a:extLst>
            <a:ext uri="{FF2B5EF4-FFF2-40B4-BE49-F238E27FC236}">
              <a16:creationId xmlns:a16="http://schemas.microsoft.com/office/drawing/2014/main" id="{00000000-0008-0000-0A00-0000BF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86820" y="18107660"/>
          <a:ext cx="304800" cy="283210"/>
        </a:xfrm>
        <a:prstGeom prst="rect">
          <a:avLst/>
        </a:prstGeom>
      </xdr:spPr>
    </xdr:pic>
    <xdr:clientData/>
  </xdr:oneCellAnchor>
  <xdr:oneCellAnchor>
    <xdr:from>
      <xdr:col>23</xdr:col>
      <xdr:colOff>236220</xdr:colOff>
      <xdr:row>68</xdr:row>
      <xdr:rowOff>13970</xdr:rowOff>
    </xdr:from>
    <xdr:ext cx="250825" cy="263525"/>
    <xdr:pic>
      <xdr:nvPicPr>
        <xdr:cNvPr id="192" name="Image 191">
          <a:extLst>
            <a:ext uri="{FF2B5EF4-FFF2-40B4-BE49-F238E27FC236}">
              <a16:creationId xmlns:a16="http://schemas.microsoft.com/office/drawing/2014/main" id="{00000000-0008-0000-0A00-0000C0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094440" y="18812510"/>
          <a:ext cx="250825" cy="263525"/>
        </a:xfrm>
        <a:prstGeom prst="rect">
          <a:avLst/>
        </a:prstGeom>
        <a:noFill/>
      </xdr:spPr>
    </xdr:pic>
    <xdr:clientData/>
  </xdr:oneCellAnchor>
  <xdr:oneCellAnchor>
    <xdr:from>
      <xdr:col>23</xdr:col>
      <xdr:colOff>228600</xdr:colOff>
      <xdr:row>70</xdr:row>
      <xdr:rowOff>100330</xdr:rowOff>
    </xdr:from>
    <xdr:ext cx="283210" cy="243840"/>
    <xdr:pic>
      <xdr:nvPicPr>
        <xdr:cNvPr id="193" name="Image 192">
          <a:extLst>
            <a:ext uri="{FF2B5EF4-FFF2-40B4-BE49-F238E27FC236}">
              <a16:creationId xmlns:a16="http://schemas.microsoft.com/office/drawing/2014/main" id="{00000000-0008-0000-0A00-0000C1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86820" y="19477990"/>
          <a:ext cx="283210" cy="243840"/>
        </a:xfrm>
        <a:prstGeom prst="rect">
          <a:avLst/>
        </a:prstGeom>
      </xdr:spPr>
    </xdr:pic>
    <xdr:clientData/>
  </xdr:oneCellAnchor>
  <xdr:oneCellAnchor>
    <xdr:from>
      <xdr:col>23</xdr:col>
      <xdr:colOff>205740</xdr:colOff>
      <xdr:row>78</xdr:row>
      <xdr:rowOff>281940</xdr:rowOff>
    </xdr:from>
    <xdr:ext cx="289560" cy="277495"/>
    <xdr:pic>
      <xdr:nvPicPr>
        <xdr:cNvPr id="194" name="Image 193">
          <a:extLst>
            <a:ext uri="{FF2B5EF4-FFF2-40B4-BE49-F238E27FC236}">
              <a16:creationId xmlns:a16="http://schemas.microsoft.com/office/drawing/2014/main" id="{00000000-0008-0000-0A00-0000C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63960" y="21869400"/>
          <a:ext cx="289560" cy="277495"/>
        </a:xfrm>
        <a:prstGeom prst="rect">
          <a:avLst/>
        </a:prstGeom>
      </xdr:spPr>
    </xdr:pic>
    <xdr:clientData/>
  </xdr:oneCellAnchor>
  <xdr:oneCellAnchor>
    <xdr:from>
      <xdr:col>23</xdr:col>
      <xdr:colOff>205740</xdr:colOff>
      <xdr:row>81</xdr:row>
      <xdr:rowOff>185420</xdr:rowOff>
    </xdr:from>
    <xdr:ext cx="304800" cy="283210"/>
    <xdr:pic>
      <xdr:nvPicPr>
        <xdr:cNvPr id="195" name="Image 194">
          <a:extLst>
            <a:ext uri="{FF2B5EF4-FFF2-40B4-BE49-F238E27FC236}">
              <a16:creationId xmlns:a16="http://schemas.microsoft.com/office/drawing/2014/main" id="{00000000-0008-0000-0A00-0000C3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63960" y="22641560"/>
          <a:ext cx="304800" cy="283210"/>
        </a:xfrm>
        <a:prstGeom prst="rect">
          <a:avLst/>
        </a:prstGeom>
      </xdr:spPr>
    </xdr:pic>
    <xdr:clientData/>
  </xdr:oneCellAnchor>
  <xdr:oneCellAnchor>
    <xdr:from>
      <xdr:col>23</xdr:col>
      <xdr:colOff>213360</xdr:colOff>
      <xdr:row>84</xdr:row>
      <xdr:rowOff>21590</xdr:rowOff>
    </xdr:from>
    <xdr:ext cx="250825" cy="263525"/>
    <xdr:pic>
      <xdr:nvPicPr>
        <xdr:cNvPr id="196" name="Image 195">
          <a:extLst>
            <a:ext uri="{FF2B5EF4-FFF2-40B4-BE49-F238E27FC236}">
              <a16:creationId xmlns:a16="http://schemas.microsoft.com/office/drawing/2014/main" id="{00000000-0008-0000-0A00-0000C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071580" y="23346410"/>
          <a:ext cx="250825" cy="263525"/>
        </a:xfrm>
        <a:prstGeom prst="rect">
          <a:avLst/>
        </a:prstGeom>
        <a:noFill/>
      </xdr:spPr>
    </xdr:pic>
    <xdr:clientData/>
  </xdr:oneCellAnchor>
  <xdr:oneCellAnchor>
    <xdr:from>
      <xdr:col>23</xdr:col>
      <xdr:colOff>205740</xdr:colOff>
      <xdr:row>86</xdr:row>
      <xdr:rowOff>168910</xdr:rowOff>
    </xdr:from>
    <xdr:ext cx="283210" cy="243840"/>
    <xdr:pic>
      <xdr:nvPicPr>
        <xdr:cNvPr id="197" name="Image 196">
          <a:extLst>
            <a:ext uri="{FF2B5EF4-FFF2-40B4-BE49-F238E27FC236}">
              <a16:creationId xmlns:a16="http://schemas.microsoft.com/office/drawing/2014/main" id="{00000000-0008-0000-0A00-0000C5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63960" y="24072850"/>
          <a:ext cx="283210" cy="243840"/>
        </a:xfrm>
        <a:prstGeom prst="rect">
          <a:avLst/>
        </a:prstGeom>
      </xdr:spPr>
    </xdr:pic>
    <xdr:clientData/>
  </xdr:oneCellAnchor>
  <xdr:twoCellAnchor>
    <xdr:from>
      <xdr:col>41</xdr:col>
      <xdr:colOff>99060</xdr:colOff>
      <xdr:row>2</xdr:row>
      <xdr:rowOff>144780</xdr:rowOff>
    </xdr:from>
    <xdr:to>
      <xdr:col>41</xdr:col>
      <xdr:colOff>457200</xdr:colOff>
      <xdr:row>2</xdr:row>
      <xdr:rowOff>144780</xdr:rowOff>
    </xdr:to>
    <xdr:cxnSp macro="">
      <xdr:nvCxnSpPr>
        <xdr:cNvPr id="198" name="Connecteur droit avec flèche 197">
          <a:extLst>
            <a:ext uri="{FF2B5EF4-FFF2-40B4-BE49-F238E27FC236}">
              <a16:creationId xmlns:a16="http://schemas.microsoft.com/office/drawing/2014/main" id="{00000000-0008-0000-0A00-0000C6000000}"/>
            </a:ext>
          </a:extLst>
        </xdr:cNvPr>
        <xdr:cNvCxnSpPr/>
      </xdr:nvCxnSpPr>
      <xdr:spPr>
        <a:xfrm flipH="1">
          <a:off x="37566600" y="701040"/>
          <a:ext cx="35814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91440</xdr:colOff>
      <xdr:row>44</xdr:row>
      <xdr:rowOff>144780</xdr:rowOff>
    </xdr:from>
    <xdr:to>
      <xdr:col>37</xdr:col>
      <xdr:colOff>381000</xdr:colOff>
      <xdr:row>44</xdr:row>
      <xdr:rowOff>152400</xdr:rowOff>
    </xdr:to>
    <xdr:cxnSp macro="">
      <xdr:nvCxnSpPr>
        <xdr:cNvPr id="199" name="Connecteur droit avec flèche 198">
          <a:extLst>
            <a:ext uri="{FF2B5EF4-FFF2-40B4-BE49-F238E27FC236}">
              <a16:creationId xmlns:a16="http://schemas.microsoft.com/office/drawing/2014/main" id="{00000000-0008-0000-0A00-0000C7000000}"/>
            </a:ext>
          </a:extLst>
        </xdr:cNvPr>
        <xdr:cNvCxnSpPr/>
      </xdr:nvCxnSpPr>
      <xdr:spPr>
        <a:xfrm flipH="1" flipV="1">
          <a:off x="34731960" y="12108180"/>
          <a:ext cx="289560" cy="762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373380</xdr:colOff>
      <xdr:row>56</xdr:row>
      <xdr:rowOff>53340</xdr:rowOff>
    </xdr:from>
    <xdr:to>
      <xdr:col>36</xdr:col>
      <xdr:colOff>373380</xdr:colOff>
      <xdr:row>56</xdr:row>
      <xdr:rowOff>236220</xdr:rowOff>
    </xdr:to>
    <xdr:cxnSp macro="">
      <xdr:nvCxnSpPr>
        <xdr:cNvPr id="200" name="Connecteur droit avec flèche 199">
          <a:extLst>
            <a:ext uri="{FF2B5EF4-FFF2-40B4-BE49-F238E27FC236}">
              <a16:creationId xmlns:a16="http://schemas.microsoft.com/office/drawing/2014/main" id="{00000000-0008-0000-0A00-0000C8000000}"/>
            </a:ext>
          </a:extLst>
        </xdr:cNvPr>
        <xdr:cNvCxnSpPr/>
      </xdr:nvCxnSpPr>
      <xdr:spPr>
        <a:xfrm>
          <a:off x="34335720" y="15491460"/>
          <a:ext cx="0" cy="12192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91440</xdr:colOff>
      <xdr:row>60</xdr:row>
      <xdr:rowOff>144780</xdr:rowOff>
    </xdr:from>
    <xdr:to>
      <xdr:col>37</xdr:col>
      <xdr:colOff>381000</xdr:colOff>
      <xdr:row>60</xdr:row>
      <xdr:rowOff>152400</xdr:rowOff>
    </xdr:to>
    <xdr:cxnSp macro="">
      <xdr:nvCxnSpPr>
        <xdr:cNvPr id="201" name="Connecteur droit avec flèche 200">
          <a:extLst>
            <a:ext uri="{FF2B5EF4-FFF2-40B4-BE49-F238E27FC236}">
              <a16:creationId xmlns:a16="http://schemas.microsoft.com/office/drawing/2014/main" id="{00000000-0008-0000-0A00-0000C9000000}"/>
            </a:ext>
          </a:extLst>
        </xdr:cNvPr>
        <xdr:cNvCxnSpPr/>
      </xdr:nvCxnSpPr>
      <xdr:spPr>
        <a:xfrm flipH="1" flipV="1">
          <a:off x="34731960" y="16626840"/>
          <a:ext cx="289560" cy="762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373380</xdr:colOff>
      <xdr:row>72</xdr:row>
      <xdr:rowOff>53340</xdr:rowOff>
    </xdr:from>
    <xdr:to>
      <xdr:col>36</xdr:col>
      <xdr:colOff>373380</xdr:colOff>
      <xdr:row>72</xdr:row>
      <xdr:rowOff>236220</xdr:rowOff>
    </xdr:to>
    <xdr:cxnSp macro="">
      <xdr:nvCxnSpPr>
        <xdr:cNvPr id="202" name="Connecteur droit avec flèche 201">
          <a:extLst>
            <a:ext uri="{FF2B5EF4-FFF2-40B4-BE49-F238E27FC236}">
              <a16:creationId xmlns:a16="http://schemas.microsoft.com/office/drawing/2014/main" id="{00000000-0008-0000-0A00-0000CA000000}"/>
            </a:ext>
          </a:extLst>
        </xdr:cNvPr>
        <xdr:cNvCxnSpPr/>
      </xdr:nvCxnSpPr>
      <xdr:spPr>
        <a:xfrm>
          <a:off x="34335720" y="20010120"/>
          <a:ext cx="0" cy="12954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91440</xdr:colOff>
      <xdr:row>76</xdr:row>
      <xdr:rowOff>144780</xdr:rowOff>
    </xdr:from>
    <xdr:to>
      <xdr:col>37</xdr:col>
      <xdr:colOff>381000</xdr:colOff>
      <xdr:row>76</xdr:row>
      <xdr:rowOff>152400</xdr:rowOff>
    </xdr:to>
    <xdr:cxnSp macro="">
      <xdr:nvCxnSpPr>
        <xdr:cNvPr id="203" name="Connecteur droit avec flèche 202">
          <a:extLst>
            <a:ext uri="{FF2B5EF4-FFF2-40B4-BE49-F238E27FC236}">
              <a16:creationId xmlns:a16="http://schemas.microsoft.com/office/drawing/2014/main" id="{00000000-0008-0000-0A00-0000CB000000}"/>
            </a:ext>
          </a:extLst>
        </xdr:cNvPr>
        <xdr:cNvCxnSpPr/>
      </xdr:nvCxnSpPr>
      <xdr:spPr>
        <a:xfrm flipH="1" flipV="1">
          <a:off x="34731960" y="21153120"/>
          <a:ext cx="289560" cy="762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373380</xdr:colOff>
      <xdr:row>88</xdr:row>
      <xdr:rowOff>53340</xdr:rowOff>
    </xdr:from>
    <xdr:to>
      <xdr:col>36</xdr:col>
      <xdr:colOff>373380</xdr:colOff>
      <xdr:row>88</xdr:row>
      <xdr:rowOff>236220</xdr:rowOff>
    </xdr:to>
    <xdr:cxnSp macro="">
      <xdr:nvCxnSpPr>
        <xdr:cNvPr id="204" name="Connecteur droit avec flèche 203">
          <a:extLst>
            <a:ext uri="{FF2B5EF4-FFF2-40B4-BE49-F238E27FC236}">
              <a16:creationId xmlns:a16="http://schemas.microsoft.com/office/drawing/2014/main" id="{00000000-0008-0000-0A00-0000CC000000}"/>
            </a:ext>
          </a:extLst>
        </xdr:cNvPr>
        <xdr:cNvCxnSpPr/>
      </xdr:nvCxnSpPr>
      <xdr:spPr>
        <a:xfrm>
          <a:off x="34335720" y="24536400"/>
          <a:ext cx="0" cy="12954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34</xdr:col>
      <xdr:colOff>228600</xdr:colOff>
      <xdr:row>46</xdr:row>
      <xdr:rowOff>259080</xdr:rowOff>
    </xdr:from>
    <xdr:ext cx="289560" cy="277495"/>
    <xdr:pic>
      <xdr:nvPicPr>
        <xdr:cNvPr id="205" name="Image 204">
          <a:extLst>
            <a:ext uri="{FF2B5EF4-FFF2-40B4-BE49-F238E27FC236}">
              <a16:creationId xmlns:a16="http://schemas.microsoft.com/office/drawing/2014/main" id="{00000000-0008-0000-0A00-0000CD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81140" y="12801600"/>
          <a:ext cx="289560" cy="277495"/>
        </a:xfrm>
        <a:prstGeom prst="rect">
          <a:avLst/>
        </a:prstGeom>
      </xdr:spPr>
    </xdr:pic>
    <xdr:clientData/>
  </xdr:oneCellAnchor>
  <xdr:oneCellAnchor>
    <xdr:from>
      <xdr:col>34</xdr:col>
      <xdr:colOff>228600</xdr:colOff>
      <xdr:row>49</xdr:row>
      <xdr:rowOff>162560</xdr:rowOff>
    </xdr:from>
    <xdr:ext cx="304800" cy="283210"/>
    <xdr:pic>
      <xdr:nvPicPr>
        <xdr:cNvPr id="206" name="Image 205">
          <a:extLst>
            <a:ext uri="{FF2B5EF4-FFF2-40B4-BE49-F238E27FC236}">
              <a16:creationId xmlns:a16="http://schemas.microsoft.com/office/drawing/2014/main" id="{00000000-0008-0000-0A00-0000CE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81140" y="13573760"/>
          <a:ext cx="304800" cy="283210"/>
        </a:xfrm>
        <a:prstGeom prst="rect">
          <a:avLst/>
        </a:prstGeom>
      </xdr:spPr>
    </xdr:pic>
    <xdr:clientData/>
  </xdr:oneCellAnchor>
  <xdr:oneCellAnchor>
    <xdr:from>
      <xdr:col>34</xdr:col>
      <xdr:colOff>236220</xdr:colOff>
      <xdr:row>51</xdr:row>
      <xdr:rowOff>288290</xdr:rowOff>
    </xdr:from>
    <xdr:ext cx="250825" cy="263525"/>
    <xdr:pic>
      <xdr:nvPicPr>
        <xdr:cNvPr id="207" name="Image 206">
          <a:extLst>
            <a:ext uri="{FF2B5EF4-FFF2-40B4-BE49-F238E27FC236}">
              <a16:creationId xmlns:a16="http://schemas.microsoft.com/office/drawing/2014/main" id="{00000000-0008-0000-0A00-0000CF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988760" y="14278610"/>
          <a:ext cx="250825" cy="263525"/>
        </a:xfrm>
        <a:prstGeom prst="rect">
          <a:avLst/>
        </a:prstGeom>
        <a:noFill/>
      </xdr:spPr>
    </xdr:pic>
    <xdr:clientData/>
  </xdr:oneCellAnchor>
  <xdr:oneCellAnchor>
    <xdr:from>
      <xdr:col>34</xdr:col>
      <xdr:colOff>228600</xdr:colOff>
      <xdr:row>54</xdr:row>
      <xdr:rowOff>146050</xdr:rowOff>
    </xdr:from>
    <xdr:ext cx="283210" cy="243840"/>
    <xdr:pic>
      <xdr:nvPicPr>
        <xdr:cNvPr id="208" name="Image 207">
          <a:extLst>
            <a:ext uri="{FF2B5EF4-FFF2-40B4-BE49-F238E27FC236}">
              <a16:creationId xmlns:a16="http://schemas.microsoft.com/office/drawing/2014/main" id="{00000000-0008-0000-0A00-0000D0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81140" y="15005050"/>
          <a:ext cx="283210" cy="243840"/>
        </a:xfrm>
        <a:prstGeom prst="rect">
          <a:avLst/>
        </a:prstGeom>
      </xdr:spPr>
    </xdr:pic>
    <xdr:clientData/>
  </xdr:oneCellAnchor>
  <xdr:oneCellAnchor>
    <xdr:from>
      <xdr:col>34</xdr:col>
      <xdr:colOff>228600</xdr:colOff>
      <xdr:row>62</xdr:row>
      <xdr:rowOff>274320</xdr:rowOff>
    </xdr:from>
    <xdr:ext cx="289560" cy="277495"/>
    <xdr:pic>
      <xdr:nvPicPr>
        <xdr:cNvPr id="209" name="Image 208">
          <a:extLst>
            <a:ext uri="{FF2B5EF4-FFF2-40B4-BE49-F238E27FC236}">
              <a16:creationId xmlns:a16="http://schemas.microsoft.com/office/drawing/2014/main" id="{00000000-0008-0000-0A00-0000D1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81140" y="17335500"/>
          <a:ext cx="289560" cy="277495"/>
        </a:xfrm>
        <a:prstGeom prst="rect">
          <a:avLst/>
        </a:prstGeom>
      </xdr:spPr>
    </xdr:pic>
    <xdr:clientData/>
  </xdr:oneCellAnchor>
  <xdr:oneCellAnchor>
    <xdr:from>
      <xdr:col>34</xdr:col>
      <xdr:colOff>228600</xdr:colOff>
      <xdr:row>65</xdr:row>
      <xdr:rowOff>177800</xdr:rowOff>
    </xdr:from>
    <xdr:ext cx="304800" cy="283210"/>
    <xdr:pic>
      <xdr:nvPicPr>
        <xdr:cNvPr id="210" name="Image 209">
          <a:extLst>
            <a:ext uri="{FF2B5EF4-FFF2-40B4-BE49-F238E27FC236}">
              <a16:creationId xmlns:a16="http://schemas.microsoft.com/office/drawing/2014/main" id="{00000000-0008-0000-0A00-0000D2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81140" y="18107660"/>
          <a:ext cx="304800" cy="283210"/>
        </a:xfrm>
        <a:prstGeom prst="rect">
          <a:avLst/>
        </a:prstGeom>
      </xdr:spPr>
    </xdr:pic>
    <xdr:clientData/>
  </xdr:oneCellAnchor>
  <xdr:oneCellAnchor>
    <xdr:from>
      <xdr:col>34</xdr:col>
      <xdr:colOff>236220</xdr:colOff>
      <xdr:row>68</xdr:row>
      <xdr:rowOff>13970</xdr:rowOff>
    </xdr:from>
    <xdr:ext cx="250825" cy="263525"/>
    <xdr:pic>
      <xdr:nvPicPr>
        <xdr:cNvPr id="211" name="Image 210">
          <a:extLst>
            <a:ext uri="{FF2B5EF4-FFF2-40B4-BE49-F238E27FC236}">
              <a16:creationId xmlns:a16="http://schemas.microsoft.com/office/drawing/2014/main" id="{00000000-0008-0000-0A00-0000D3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988760" y="18812510"/>
          <a:ext cx="250825" cy="263525"/>
        </a:xfrm>
        <a:prstGeom prst="rect">
          <a:avLst/>
        </a:prstGeom>
        <a:noFill/>
      </xdr:spPr>
    </xdr:pic>
    <xdr:clientData/>
  </xdr:oneCellAnchor>
  <xdr:oneCellAnchor>
    <xdr:from>
      <xdr:col>34</xdr:col>
      <xdr:colOff>228600</xdr:colOff>
      <xdr:row>70</xdr:row>
      <xdr:rowOff>100330</xdr:rowOff>
    </xdr:from>
    <xdr:ext cx="283210" cy="243840"/>
    <xdr:pic>
      <xdr:nvPicPr>
        <xdr:cNvPr id="212" name="Image 211">
          <a:extLst>
            <a:ext uri="{FF2B5EF4-FFF2-40B4-BE49-F238E27FC236}">
              <a16:creationId xmlns:a16="http://schemas.microsoft.com/office/drawing/2014/main" id="{00000000-0008-0000-0A00-0000D4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81140" y="19477990"/>
          <a:ext cx="283210" cy="243840"/>
        </a:xfrm>
        <a:prstGeom prst="rect">
          <a:avLst/>
        </a:prstGeom>
      </xdr:spPr>
    </xdr:pic>
    <xdr:clientData/>
  </xdr:oneCellAnchor>
  <xdr:oneCellAnchor>
    <xdr:from>
      <xdr:col>34</xdr:col>
      <xdr:colOff>205740</xdr:colOff>
      <xdr:row>78</xdr:row>
      <xdr:rowOff>281940</xdr:rowOff>
    </xdr:from>
    <xdr:ext cx="289560" cy="277495"/>
    <xdr:pic>
      <xdr:nvPicPr>
        <xdr:cNvPr id="213" name="Image 212">
          <a:extLst>
            <a:ext uri="{FF2B5EF4-FFF2-40B4-BE49-F238E27FC236}">
              <a16:creationId xmlns:a16="http://schemas.microsoft.com/office/drawing/2014/main" id="{00000000-0008-0000-0A00-0000D5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58280" y="21869400"/>
          <a:ext cx="289560" cy="277495"/>
        </a:xfrm>
        <a:prstGeom prst="rect">
          <a:avLst/>
        </a:prstGeom>
      </xdr:spPr>
    </xdr:pic>
    <xdr:clientData/>
  </xdr:oneCellAnchor>
  <xdr:oneCellAnchor>
    <xdr:from>
      <xdr:col>34</xdr:col>
      <xdr:colOff>205740</xdr:colOff>
      <xdr:row>81</xdr:row>
      <xdr:rowOff>185420</xdr:rowOff>
    </xdr:from>
    <xdr:ext cx="304800" cy="283210"/>
    <xdr:pic>
      <xdr:nvPicPr>
        <xdr:cNvPr id="214" name="Image 213">
          <a:extLst>
            <a:ext uri="{FF2B5EF4-FFF2-40B4-BE49-F238E27FC236}">
              <a16:creationId xmlns:a16="http://schemas.microsoft.com/office/drawing/2014/main" id="{00000000-0008-0000-0A00-0000D6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58280" y="22641560"/>
          <a:ext cx="304800" cy="283210"/>
        </a:xfrm>
        <a:prstGeom prst="rect">
          <a:avLst/>
        </a:prstGeom>
      </xdr:spPr>
    </xdr:pic>
    <xdr:clientData/>
  </xdr:oneCellAnchor>
  <xdr:oneCellAnchor>
    <xdr:from>
      <xdr:col>34</xdr:col>
      <xdr:colOff>213360</xdr:colOff>
      <xdr:row>84</xdr:row>
      <xdr:rowOff>21590</xdr:rowOff>
    </xdr:from>
    <xdr:ext cx="250825" cy="263525"/>
    <xdr:pic>
      <xdr:nvPicPr>
        <xdr:cNvPr id="215" name="Image 214">
          <a:extLst>
            <a:ext uri="{FF2B5EF4-FFF2-40B4-BE49-F238E27FC236}">
              <a16:creationId xmlns:a16="http://schemas.microsoft.com/office/drawing/2014/main" id="{00000000-0008-0000-0A00-0000D7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965900" y="23346410"/>
          <a:ext cx="250825" cy="263525"/>
        </a:xfrm>
        <a:prstGeom prst="rect">
          <a:avLst/>
        </a:prstGeom>
        <a:noFill/>
      </xdr:spPr>
    </xdr:pic>
    <xdr:clientData/>
  </xdr:oneCellAnchor>
  <xdr:oneCellAnchor>
    <xdr:from>
      <xdr:col>34</xdr:col>
      <xdr:colOff>205740</xdr:colOff>
      <xdr:row>86</xdr:row>
      <xdr:rowOff>168910</xdr:rowOff>
    </xdr:from>
    <xdr:ext cx="283210" cy="243840"/>
    <xdr:pic>
      <xdr:nvPicPr>
        <xdr:cNvPr id="216" name="Image 215">
          <a:extLst>
            <a:ext uri="{FF2B5EF4-FFF2-40B4-BE49-F238E27FC236}">
              <a16:creationId xmlns:a16="http://schemas.microsoft.com/office/drawing/2014/main" id="{00000000-0008-0000-0A00-0000D8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58280" y="24072850"/>
          <a:ext cx="283210" cy="243840"/>
        </a:xfrm>
        <a:prstGeom prst="rect">
          <a:avLst/>
        </a:prstGeom>
      </xdr:spPr>
    </xdr:pic>
    <xdr:clientData/>
  </xdr:oneCellAnchor>
  <xdr:twoCellAnchor>
    <xdr:from>
      <xdr:col>6</xdr:col>
      <xdr:colOff>91440</xdr:colOff>
      <xdr:row>38</xdr:row>
      <xdr:rowOff>137160</xdr:rowOff>
    </xdr:from>
    <xdr:to>
      <xdr:col>7</xdr:col>
      <xdr:colOff>53340</xdr:colOff>
      <xdr:row>38</xdr:row>
      <xdr:rowOff>137160</xdr:rowOff>
    </xdr:to>
    <xdr:cxnSp macro="">
      <xdr:nvCxnSpPr>
        <xdr:cNvPr id="217" name="Connecteur droit avec flèche 216">
          <a:extLst>
            <a:ext uri="{FF2B5EF4-FFF2-40B4-BE49-F238E27FC236}">
              <a16:creationId xmlns:a16="http://schemas.microsoft.com/office/drawing/2014/main" id="{00000000-0008-0000-0A00-0000D9000000}"/>
            </a:ext>
          </a:extLst>
        </xdr:cNvPr>
        <xdr:cNvCxnSpPr/>
      </xdr:nvCxnSpPr>
      <xdr:spPr>
        <a:xfrm flipH="1">
          <a:off x="12573000" y="10378440"/>
          <a:ext cx="64008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480060</xdr:colOff>
      <xdr:row>19</xdr:row>
      <xdr:rowOff>213360</xdr:rowOff>
    </xdr:from>
    <xdr:ext cx="289560" cy="277495"/>
    <xdr:pic>
      <xdr:nvPicPr>
        <xdr:cNvPr id="218" name="Image 217">
          <a:extLst>
            <a:ext uri="{FF2B5EF4-FFF2-40B4-BE49-F238E27FC236}">
              <a16:creationId xmlns:a16="http://schemas.microsoft.com/office/drawing/2014/main" id="{00000000-0008-0000-0A00-0000DA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17280" y="5509260"/>
          <a:ext cx="289560" cy="277495"/>
        </a:xfrm>
        <a:prstGeom prst="rect">
          <a:avLst/>
        </a:prstGeom>
      </xdr:spPr>
    </xdr:pic>
    <xdr:clientData/>
  </xdr:oneCellAnchor>
  <xdr:oneCellAnchor>
    <xdr:from>
      <xdr:col>1</xdr:col>
      <xdr:colOff>457200</xdr:colOff>
      <xdr:row>22</xdr:row>
      <xdr:rowOff>2540</xdr:rowOff>
    </xdr:from>
    <xdr:ext cx="304800" cy="283210"/>
    <xdr:pic>
      <xdr:nvPicPr>
        <xdr:cNvPr id="219" name="Image 218">
          <a:extLst>
            <a:ext uri="{FF2B5EF4-FFF2-40B4-BE49-F238E27FC236}">
              <a16:creationId xmlns:a16="http://schemas.microsoft.com/office/drawing/2014/main" id="{00000000-0008-0000-0A00-0000DB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94420" y="6098540"/>
          <a:ext cx="304800" cy="283210"/>
        </a:xfrm>
        <a:prstGeom prst="rect">
          <a:avLst/>
        </a:prstGeom>
      </xdr:spPr>
    </xdr:pic>
    <xdr:clientData/>
  </xdr:oneCellAnchor>
  <xdr:oneCellAnchor>
    <xdr:from>
      <xdr:col>1</xdr:col>
      <xdr:colOff>503555</xdr:colOff>
      <xdr:row>24</xdr:row>
      <xdr:rowOff>257810</xdr:rowOff>
    </xdr:from>
    <xdr:ext cx="250825" cy="263525"/>
    <xdr:pic>
      <xdr:nvPicPr>
        <xdr:cNvPr id="220" name="Image 219">
          <a:extLst>
            <a:ext uri="{FF2B5EF4-FFF2-40B4-BE49-F238E27FC236}">
              <a16:creationId xmlns:a16="http://schemas.microsoft.com/office/drawing/2014/main" id="{00000000-0008-0000-0A00-0000DC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0775" y="6887210"/>
          <a:ext cx="250825" cy="263525"/>
        </a:xfrm>
        <a:prstGeom prst="rect">
          <a:avLst/>
        </a:prstGeom>
        <a:noFill/>
      </xdr:spPr>
    </xdr:pic>
    <xdr:clientData/>
  </xdr:oneCellAnchor>
  <xdr:oneCellAnchor>
    <xdr:from>
      <xdr:col>1</xdr:col>
      <xdr:colOff>463550</xdr:colOff>
      <xdr:row>27</xdr:row>
      <xdr:rowOff>54610</xdr:rowOff>
    </xdr:from>
    <xdr:ext cx="283210" cy="243840"/>
    <xdr:pic>
      <xdr:nvPicPr>
        <xdr:cNvPr id="221" name="Image 220">
          <a:extLst>
            <a:ext uri="{FF2B5EF4-FFF2-40B4-BE49-F238E27FC236}">
              <a16:creationId xmlns:a16="http://schemas.microsoft.com/office/drawing/2014/main" id="{00000000-0008-0000-0A00-0000DD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00770" y="7484110"/>
          <a:ext cx="283210" cy="243840"/>
        </a:xfrm>
        <a:prstGeom prst="rect">
          <a:avLst/>
        </a:prstGeom>
      </xdr:spPr>
    </xdr:pic>
    <xdr:clientData/>
  </xdr:oneCellAnchor>
  <xdr:twoCellAnchor>
    <xdr:from>
      <xdr:col>17</xdr:col>
      <xdr:colOff>91440</xdr:colOff>
      <xdr:row>38</xdr:row>
      <xdr:rowOff>137160</xdr:rowOff>
    </xdr:from>
    <xdr:to>
      <xdr:col>18</xdr:col>
      <xdr:colOff>53340</xdr:colOff>
      <xdr:row>38</xdr:row>
      <xdr:rowOff>137160</xdr:rowOff>
    </xdr:to>
    <xdr:cxnSp macro="">
      <xdr:nvCxnSpPr>
        <xdr:cNvPr id="222" name="Connecteur droit avec flèche 221">
          <a:extLst>
            <a:ext uri="{FF2B5EF4-FFF2-40B4-BE49-F238E27FC236}">
              <a16:creationId xmlns:a16="http://schemas.microsoft.com/office/drawing/2014/main" id="{00000000-0008-0000-0A00-0000DE000000}"/>
            </a:ext>
          </a:extLst>
        </xdr:cNvPr>
        <xdr:cNvCxnSpPr/>
      </xdr:nvCxnSpPr>
      <xdr:spPr>
        <a:xfrm flipH="1">
          <a:off x="20391120" y="10378440"/>
          <a:ext cx="64008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12</xdr:col>
      <xdr:colOff>480060</xdr:colOff>
      <xdr:row>19</xdr:row>
      <xdr:rowOff>213360</xdr:rowOff>
    </xdr:from>
    <xdr:ext cx="289560" cy="277495"/>
    <xdr:pic>
      <xdr:nvPicPr>
        <xdr:cNvPr id="223" name="Image 222">
          <a:extLst>
            <a:ext uri="{FF2B5EF4-FFF2-40B4-BE49-F238E27FC236}">
              <a16:creationId xmlns:a16="http://schemas.microsoft.com/office/drawing/2014/main" id="{00000000-0008-0000-0A00-0000DF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35400" y="5509260"/>
          <a:ext cx="289560" cy="277495"/>
        </a:xfrm>
        <a:prstGeom prst="rect">
          <a:avLst/>
        </a:prstGeom>
      </xdr:spPr>
    </xdr:pic>
    <xdr:clientData/>
  </xdr:oneCellAnchor>
  <xdr:oneCellAnchor>
    <xdr:from>
      <xdr:col>12</xdr:col>
      <xdr:colOff>457200</xdr:colOff>
      <xdr:row>22</xdr:row>
      <xdr:rowOff>2540</xdr:rowOff>
    </xdr:from>
    <xdr:ext cx="304800" cy="283210"/>
    <xdr:pic>
      <xdr:nvPicPr>
        <xdr:cNvPr id="224" name="Image 223">
          <a:extLst>
            <a:ext uri="{FF2B5EF4-FFF2-40B4-BE49-F238E27FC236}">
              <a16:creationId xmlns:a16="http://schemas.microsoft.com/office/drawing/2014/main" id="{00000000-0008-0000-0A00-0000E0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12540" y="6098540"/>
          <a:ext cx="304800" cy="283210"/>
        </a:xfrm>
        <a:prstGeom prst="rect">
          <a:avLst/>
        </a:prstGeom>
      </xdr:spPr>
    </xdr:pic>
    <xdr:clientData/>
  </xdr:oneCellAnchor>
  <xdr:oneCellAnchor>
    <xdr:from>
      <xdr:col>12</xdr:col>
      <xdr:colOff>503555</xdr:colOff>
      <xdr:row>24</xdr:row>
      <xdr:rowOff>257810</xdr:rowOff>
    </xdr:from>
    <xdr:ext cx="250825" cy="263525"/>
    <xdr:pic>
      <xdr:nvPicPr>
        <xdr:cNvPr id="225" name="Image 224">
          <a:extLst>
            <a:ext uri="{FF2B5EF4-FFF2-40B4-BE49-F238E27FC236}">
              <a16:creationId xmlns:a16="http://schemas.microsoft.com/office/drawing/2014/main" id="{00000000-0008-0000-0A00-0000E1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58895" y="6887210"/>
          <a:ext cx="250825" cy="263525"/>
        </a:xfrm>
        <a:prstGeom prst="rect">
          <a:avLst/>
        </a:prstGeom>
        <a:noFill/>
      </xdr:spPr>
    </xdr:pic>
    <xdr:clientData/>
  </xdr:oneCellAnchor>
  <xdr:oneCellAnchor>
    <xdr:from>
      <xdr:col>12</xdr:col>
      <xdr:colOff>463550</xdr:colOff>
      <xdr:row>27</xdr:row>
      <xdr:rowOff>54610</xdr:rowOff>
    </xdr:from>
    <xdr:ext cx="283210" cy="243840"/>
    <xdr:pic>
      <xdr:nvPicPr>
        <xdr:cNvPr id="226" name="Image 225">
          <a:extLst>
            <a:ext uri="{FF2B5EF4-FFF2-40B4-BE49-F238E27FC236}">
              <a16:creationId xmlns:a16="http://schemas.microsoft.com/office/drawing/2014/main" id="{00000000-0008-0000-0A00-0000E2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18890" y="7484110"/>
          <a:ext cx="283210" cy="243840"/>
        </a:xfrm>
        <a:prstGeom prst="rect">
          <a:avLst/>
        </a:prstGeom>
      </xdr:spPr>
    </xdr:pic>
    <xdr:clientData/>
  </xdr:oneCellAnchor>
  <xdr:twoCellAnchor>
    <xdr:from>
      <xdr:col>19</xdr:col>
      <xdr:colOff>76200</xdr:colOff>
      <xdr:row>2</xdr:row>
      <xdr:rowOff>144780</xdr:rowOff>
    </xdr:from>
    <xdr:to>
      <xdr:col>19</xdr:col>
      <xdr:colOff>434340</xdr:colOff>
      <xdr:row>2</xdr:row>
      <xdr:rowOff>144780</xdr:rowOff>
    </xdr:to>
    <xdr:cxnSp macro="">
      <xdr:nvCxnSpPr>
        <xdr:cNvPr id="227" name="Connecteur droit avec flèche 226">
          <a:extLst>
            <a:ext uri="{FF2B5EF4-FFF2-40B4-BE49-F238E27FC236}">
              <a16:creationId xmlns:a16="http://schemas.microsoft.com/office/drawing/2014/main" id="{00000000-0008-0000-0A00-0000E3000000}"/>
            </a:ext>
          </a:extLst>
        </xdr:cNvPr>
        <xdr:cNvCxnSpPr/>
      </xdr:nvCxnSpPr>
      <xdr:spPr>
        <a:xfrm flipH="1">
          <a:off x="21846540" y="701040"/>
          <a:ext cx="35814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91440</xdr:colOff>
      <xdr:row>38</xdr:row>
      <xdr:rowOff>137160</xdr:rowOff>
    </xdr:from>
    <xdr:to>
      <xdr:col>29</xdr:col>
      <xdr:colOff>53340</xdr:colOff>
      <xdr:row>38</xdr:row>
      <xdr:rowOff>137160</xdr:rowOff>
    </xdr:to>
    <xdr:cxnSp macro="">
      <xdr:nvCxnSpPr>
        <xdr:cNvPr id="228" name="Connecteur droit avec flèche 227">
          <a:extLst>
            <a:ext uri="{FF2B5EF4-FFF2-40B4-BE49-F238E27FC236}">
              <a16:creationId xmlns:a16="http://schemas.microsoft.com/office/drawing/2014/main" id="{00000000-0008-0000-0A00-0000E4000000}"/>
            </a:ext>
          </a:extLst>
        </xdr:cNvPr>
        <xdr:cNvCxnSpPr/>
      </xdr:nvCxnSpPr>
      <xdr:spPr>
        <a:xfrm flipH="1">
          <a:off x="28194000" y="10378440"/>
          <a:ext cx="64008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23</xdr:col>
      <xdr:colOff>480060</xdr:colOff>
      <xdr:row>19</xdr:row>
      <xdr:rowOff>213360</xdr:rowOff>
    </xdr:from>
    <xdr:ext cx="289560" cy="277495"/>
    <xdr:pic>
      <xdr:nvPicPr>
        <xdr:cNvPr id="229" name="Image 228">
          <a:extLst>
            <a:ext uri="{FF2B5EF4-FFF2-40B4-BE49-F238E27FC236}">
              <a16:creationId xmlns:a16="http://schemas.microsoft.com/office/drawing/2014/main" id="{00000000-0008-0000-0A00-0000E5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38280" y="5509260"/>
          <a:ext cx="289560" cy="277495"/>
        </a:xfrm>
        <a:prstGeom prst="rect">
          <a:avLst/>
        </a:prstGeom>
      </xdr:spPr>
    </xdr:pic>
    <xdr:clientData/>
  </xdr:oneCellAnchor>
  <xdr:oneCellAnchor>
    <xdr:from>
      <xdr:col>23</xdr:col>
      <xdr:colOff>457200</xdr:colOff>
      <xdr:row>22</xdr:row>
      <xdr:rowOff>2540</xdr:rowOff>
    </xdr:from>
    <xdr:ext cx="304800" cy="283210"/>
    <xdr:pic>
      <xdr:nvPicPr>
        <xdr:cNvPr id="230" name="Image 229">
          <a:extLst>
            <a:ext uri="{FF2B5EF4-FFF2-40B4-BE49-F238E27FC236}">
              <a16:creationId xmlns:a16="http://schemas.microsoft.com/office/drawing/2014/main" id="{00000000-0008-0000-0A00-0000E6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15420" y="6098540"/>
          <a:ext cx="304800" cy="283210"/>
        </a:xfrm>
        <a:prstGeom prst="rect">
          <a:avLst/>
        </a:prstGeom>
      </xdr:spPr>
    </xdr:pic>
    <xdr:clientData/>
  </xdr:oneCellAnchor>
  <xdr:oneCellAnchor>
    <xdr:from>
      <xdr:col>23</xdr:col>
      <xdr:colOff>503555</xdr:colOff>
      <xdr:row>24</xdr:row>
      <xdr:rowOff>257810</xdr:rowOff>
    </xdr:from>
    <xdr:ext cx="250825" cy="263525"/>
    <xdr:pic>
      <xdr:nvPicPr>
        <xdr:cNvPr id="231" name="Image 230">
          <a:extLst>
            <a:ext uri="{FF2B5EF4-FFF2-40B4-BE49-F238E27FC236}">
              <a16:creationId xmlns:a16="http://schemas.microsoft.com/office/drawing/2014/main" id="{00000000-0008-0000-0A00-0000E7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61775" y="6887210"/>
          <a:ext cx="250825" cy="263525"/>
        </a:xfrm>
        <a:prstGeom prst="rect">
          <a:avLst/>
        </a:prstGeom>
        <a:noFill/>
      </xdr:spPr>
    </xdr:pic>
    <xdr:clientData/>
  </xdr:oneCellAnchor>
  <xdr:oneCellAnchor>
    <xdr:from>
      <xdr:col>23</xdr:col>
      <xdr:colOff>463550</xdr:colOff>
      <xdr:row>27</xdr:row>
      <xdr:rowOff>54610</xdr:rowOff>
    </xdr:from>
    <xdr:ext cx="283210" cy="243840"/>
    <xdr:pic>
      <xdr:nvPicPr>
        <xdr:cNvPr id="232" name="Image 231">
          <a:extLst>
            <a:ext uri="{FF2B5EF4-FFF2-40B4-BE49-F238E27FC236}">
              <a16:creationId xmlns:a16="http://schemas.microsoft.com/office/drawing/2014/main" id="{00000000-0008-0000-0A00-0000E8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21770" y="7484110"/>
          <a:ext cx="283210" cy="243840"/>
        </a:xfrm>
        <a:prstGeom prst="rect">
          <a:avLst/>
        </a:prstGeom>
      </xdr:spPr>
    </xdr:pic>
    <xdr:clientData/>
  </xdr:oneCellAnchor>
  <xdr:twoCellAnchor>
    <xdr:from>
      <xdr:col>39</xdr:col>
      <xdr:colOff>91440</xdr:colOff>
      <xdr:row>38</xdr:row>
      <xdr:rowOff>137160</xdr:rowOff>
    </xdr:from>
    <xdr:to>
      <xdr:col>40</xdr:col>
      <xdr:colOff>53340</xdr:colOff>
      <xdr:row>38</xdr:row>
      <xdr:rowOff>137160</xdr:rowOff>
    </xdr:to>
    <xdr:cxnSp macro="">
      <xdr:nvCxnSpPr>
        <xdr:cNvPr id="233" name="Connecteur droit avec flèche 232">
          <a:extLst>
            <a:ext uri="{FF2B5EF4-FFF2-40B4-BE49-F238E27FC236}">
              <a16:creationId xmlns:a16="http://schemas.microsoft.com/office/drawing/2014/main" id="{00000000-0008-0000-0A00-0000E9000000}"/>
            </a:ext>
          </a:extLst>
        </xdr:cNvPr>
        <xdr:cNvCxnSpPr/>
      </xdr:nvCxnSpPr>
      <xdr:spPr>
        <a:xfrm flipH="1">
          <a:off x="36088320" y="10378440"/>
          <a:ext cx="64008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34</xdr:col>
      <xdr:colOff>480060</xdr:colOff>
      <xdr:row>19</xdr:row>
      <xdr:rowOff>213360</xdr:rowOff>
    </xdr:from>
    <xdr:ext cx="289560" cy="277495"/>
    <xdr:pic>
      <xdr:nvPicPr>
        <xdr:cNvPr id="234" name="Image 233">
          <a:extLst>
            <a:ext uri="{FF2B5EF4-FFF2-40B4-BE49-F238E27FC236}">
              <a16:creationId xmlns:a16="http://schemas.microsoft.com/office/drawing/2014/main" id="{00000000-0008-0000-0A00-0000EA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32600" y="5509260"/>
          <a:ext cx="289560" cy="277495"/>
        </a:xfrm>
        <a:prstGeom prst="rect">
          <a:avLst/>
        </a:prstGeom>
      </xdr:spPr>
    </xdr:pic>
    <xdr:clientData/>
  </xdr:oneCellAnchor>
  <xdr:oneCellAnchor>
    <xdr:from>
      <xdr:col>34</xdr:col>
      <xdr:colOff>457200</xdr:colOff>
      <xdr:row>22</xdr:row>
      <xdr:rowOff>2540</xdr:rowOff>
    </xdr:from>
    <xdr:ext cx="304800" cy="283210"/>
    <xdr:pic>
      <xdr:nvPicPr>
        <xdr:cNvPr id="235" name="Image 234">
          <a:extLst>
            <a:ext uri="{FF2B5EF4-FFF2-40B4-BE49-F238E27FC236}">
              <a16:creationId xmlns:a16="http://schemas.microsoft.com/office/drawing/2014/main" id="{00000000-0008-0000-0A00-0000EB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09740" y="6098540"/>
          <a:ext cx="304800" cy="283210"/>
        </a:xfrm>
        <a:prstGeom prst="rect">
          <a:avLst/>
        </a:prstGeom>
      </xdr:spPr>
    </xdr:pic>
    <xdr:clientData/>
  </xdr:oneCellAnchor>
  <xdr:oneCellAnchor>
    <xdr:from>
      <xdr:col>34</xdr:col>
      <xdr:colOff>503555</xdr:colOff>
      <xdr:row>24</xdr:row>
      <xdr:rowOff>257810</xdr:rowOff>
    </xdr:from>
    <xdr:ext cx="250825" cy="263525"/>
    <xdr:pic>
      <xdr:nvPicPr>
        <xdr:cNvPr id="236" name="Image 235">
          <a:extLst>
            <a:ext uri="{FF2B5EF4-FFF2-40B4-BE49-F238E27FC236}">
              <a16:creationId xmlns:a16="http://schemas.microsoft.com/office/drawing/2014/main" id="{00000000-0008-0000-0A00-0000EC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256095" y="6887210"/>
          <a:ext cx="250825" cy="263525"/>
        </a:xfrm>
        <a:prstGeom prst="rect">
          <a:avLst/>
        </a:prstGeom>
        <a:noFill/>
      </xdr:spPr>
    </xdr:pic>
    <xdr:clientData/>
  </xdr:oneCellAnchor>
  <xdr:oneCellAnchor>
    <xdr:from>
      <xdr:col>34</xdr:col>
      <xdr:colOff>463550</xdr:colOff>
      <xdr:row>27</xdr:row>
      <xdr:rowOff>54610</xdr:rowOff>
    </xdr:from>
    <xdr:ext cx="283210" cy="243840"/>
    <xdr:pic>
      <xdr:nvPicPr>
        <xdr:cNvPr id="237" name="Image 236">
          <a:extLst>
            <a:ext uri="{FF2B5EF4-FFF2-40B4-BE49-F238E27FC236}">
              <a16:creationId xmlns:a16="http://schemas.microsoft.com/office/drawing/2014/main" id="{00000000-0008-0000-0A00-0000ED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16090" y="7484110"/>
          <a:ext cx="283210" cy="24384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</xdr:colOff>
          <xdr:row>8</xdr:row>
          <xdr:rowOff>175260</xdr:rowOff>
        </xdr:from>
        <xdr:to>
          <xdr:col>12</xdr:col>
          <xdr:colOff>320040</xdr:colOff>
          <xdr:row>10</xdr:row>
          <xdr:rowOff>76200</xdr:rowOff>
        </xdr:to>
        <xdr:sp macro="" textlink="">
          <xdr:nvSpPr>
            <xdr:cNvPr id="16399" name="Bou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A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83820</xdr:colOff>
          <xdr:row>6</xdr:row>
          <xdr:rowOff>121920</xdr:rowOff>
        </xdr:from>
        <xdr:to>
          <xdr:col>12</xdr:col>
          <xdr:colOff>335280</xdr:colOff>
          <xdr:row>8</xdr:row>
          <xdr:rowOff>22860</xdr:rowOff>
        </xdr:to>
        <xdr:sp macro="" textlink="">
          <xdr:nvSpPr>
            <xdr:cNvPr id="16401" name="Bou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A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10</xdr:row>
          <xdr:rowOff>243840</xdr:rowOff>
        </xdr:from>
        <xdr:to>
          <xdr:col>12</xdr:col>
          <xdr:colOff>312420</xdr:colOff>
          <xdr:row>12</xdr:row>
          <xdr:rowOff>144780</xdr:rowOff>
        </xdr:to>
        <xdr:sp macro="" textlink="">
          <xdr:nvSpPr>
            <xdr:cNvPr id="16402" name="Bouton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A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99060</xdr:colOff>
      <xdr:row>2</xdr:row>
      <xdr:rowOff>144780</xdr:rowOff>
    </xdr:from>
    <xdr:to>
      <xdr:col>8</xdr:col>
      <xdr:colOff>457200</xdr:colOff>
      <xdr:row>2</xdr:row>
      <xdr:rowOff>144780</xdr:rowOff>
    </xdr:to>
    <xdr:cxnSp macro="">
      <xdr:nvCxnSpPr>
        <xdr:cNvPr id="2" name="Connecteur droit avec flèch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CxnSpPr/>
      </xdr:nvCxnSpPr>
      <xdr:spPr>
        <a:xfrm flipH="1">
          <a:off x="6057900" y="701040"/>
          <a:ext cx="35814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91440</xdr:colOff>
      <xdr:row>44</xdr:row>
      <xdr:rowOff>144780</xdr:rowOff>
    </xdr:from>
    <xdr:to>
      <xdr:col>4</xdr:col>
      <xdr:colOff>381000</xdr:colOff>
      <xdr:row>44</xdr:row>
      <xdr:rowOff>152400</xdr:rowOff>
    </xdr:to>
    <xdr:cxnSp macro="">
      <xdr:nvCxnSpPr>
        <xdr:cNvPr id="3" name="Connecteur droit avec flèch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CxnSpPr/>
      </xdr:nvCxnSpPr>
      <xdr:spPr>
        <a:xfrm flipH="1" flipV="1">
          <a:off x="3223260" y="12519660"/>
          <a:ext cx="289560" cy="762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373380</xdr:colOff>
      <xdr:row>56</xdr:row>
      <xdr:rowOff>53340</xdr:rowOff>
    </xdr:from>
    <xdr:to>
      <xdr:col>3</xdr:col>
      <xdr:colOff>373380</xdr:colOff>
      <xdr:row>56</xdr:row>
      <xdr:rowOff>236220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CxnSpPr/>
      </xdr:nvCxnSpPr>
      <xdr:spPr>
        <a:xfrm>
          <a:off x="2827020" y="16184880"/>
          <a:ext cx="0" cy="18288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91440</xdr:colOff>
      <xdr:row>60</xdr:row>
      <xdr:rowOff>144780</xdr:rowOff>
    </xdr:from>
    <xdr:to>
      <xdr:col>4</xdr:col>
      <xdr:colOff>381000</xdr:colOff>
      <xdr:row>60</xdr:row>
      <xdr:rowOff>152400</xdr:rowOff>
    </xdr:to>
    <xdr:cxnSp macro="">
      <xdr:nvCxnSpPr>
        <xdr:cNvPr id="5" name="Connecteur droit avec flèche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CxnSpPr/>
      </xdr:nvCxnSpPr>
      <xdr:spPr>
        <a:xfrm flipH="1" flipV="1">
          <a:off x="3223260" y="17434560"/>
          <a:ext cx="289560" cy="762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373380</xdr:colOff>
      <xdr:row>72</xdr:row>
      <xdr:rowOff>53340</xdr:rowOff>
    </xdr:from>
    <xdr:to>
      <xdr:col>3</xdr:col>
      <xdr:colOff>373380</xdr:colOff>
      <xdr:row>72</xdr:row>
      <xdr:rowOff>236220</xdr:rowOff>
    </xdr:to>
    <xdr:cxnSp macro="">
      <xdr:nvCxnSpPr>
        <xdr:cNvPr id="6" name="Connecteur droit avec flèche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CxnSpPr/>
      </xdr:nvCxnSpPr>
      <xdr:spPr>
        <a:xfrm>
          <a:off x="2827020" y="21122640"/>
          <a:ext cx="0" cy="18288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91440</xdr:colOff>
      <xdr:row>76</xdr:row>
      <xdr:rowOff>144780</xdr:rowOff>
    </xdr:from>
    <xdr:to>
      <xdr:col>4</xdr:col>
      <xdr:colOff>381000</xdr:colOff>
      <xdr:row>76</xdr:row>
      <xdr:rowOff>152400</xdr:rowOff>
    </xdr:to>
    <xdr:cxnSp macro="">
      <xdr:nvCxnSpPr>
        <xdr:cNvPr id="7" name="Connecteur droit avec flèche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CxnSpPr/>
      </xdr:nvCxnSpPr>
      <xdr:spPr>
        <a:xfrm flipH="1" flipV="1">
          <a:off x="3223260" y="22372320"/>
          <a:ext cx="289560" cy="762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373380</xdr:colOff>
      <xdr:row>88</xdr:row>
      <xdr:rowOff>53340</xdr:rowOff>
    </xdr:from>
    <xdr:to>
      <xdr:col>3</xdr:col>
      <xdr:colOff>373380</xdr:colOff>
      <xdr:row>88</xdr:row>
      <xdr:rowOff>236220</xdr:rowOff>
    </xdr:to>
    <xdr:cxnSp macro="">
      <xdr:nvCxnSpPr>
        <xdr:cNvPr id="8" name="Connecteur droit avec flèche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CxnSpPr/>
      </xdr:nvCxnSpPr>
      <xdr:spPr>
        <a:xfrm>
          <a:off x="2827020" y="26060400"/>
          <a:ext cx="0" cy="18288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228600</xdr:colOff>
      <xdr:row>46</xdr:row>
      <xdr:rowOff>259080</xdr:rowOff>
    </xdr:from>
    <xdr:ext cx="289560" cy="277495"/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" y="13190220"/>
          <a:ext cx="289560" cy="277495"/>
        </a:xfrm>
        <a:prstGeom prst="rect">
          <a:avLst/>
        </a:prstGeom>
      </xdr:spPr>
    </xdr:pic>
    <xdr:clientData/>
  </xdr:oneCellAnchor>
  <xdr:oneCellAnchor>
    <xdr:from>
      <xdr:col>1</xdr:col>
      <xdr:colOff>228600</xdr:colOff>
      <xdr:row>49</xdr:row>
      <xdr:rowOff>162560</xdr:rowOff>
    </xdr:from>
    <xdr:ext cx="304800" cy="283210"/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" y="14053820"/>
          <a:ext cx="304800" cy="283210"/>
        </a:xfrm>
        <a:prstGeom prst="rect">
          <a:avLst/>
        </a:prstGeom>
      </xdr:spPr>
    </xdr:pic>
    <xdr:clientData/>
  </xdr:oneCellAnchor>
  <xdr:oneCellAnchor>
    <xdr:from>
      <xdr:col>1</xdr:col>
      <xdr:colOff>236220</xdr:colOff>
      <xdr:row>51</xdr:row>
      <xdr:rowOff>288290</xdr:rowOff>
    </xdr:from>
    <xdr:ext cx="250825" cy="263525"/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0060" y="14819630"/>
          <a:ext cx="250825" cy="263525"/>
        </a:xfrm>
        <a:prstGeom prst="rect">
          <a:avLst/>
        </a:prstGeom>
        <a:noFill/>
      </xdr:spPr>
    </xdr:pic>
    <xdr:clientData/>
  </xdr:oneCellAnchor>
  <xdr:oneCellAnchor>
    <xdr:from>
      <xdr:col>1</xdr:col>
      <xdr:colOff>228600</xdr:colOff>
      <xdr:row>54</xdr:row>
      <xdr:rowOff>146050</xdr:rowOff>
    </xdr:from>
    <xdr:ext cx="283210" cy="243840"/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" y="15637510"/>
          <a:ext cx="283210" cy="243840"/>
        </a:xfrm>
        <a:prstGeom prst="rect">
          <a:avLst/>
        </a:prstGeom>
      </xdr:spPr>
    </xdr:pic>
    <xdr:clientData/>
  </xdr:oneCellAnchor>
  <xdr:oneCellAnchor>
    <xdr:from>
      <xdr:col>1</xdr:col>
      <xdr:colOff>228600</xdr:colOff>
      <xdr:row>62</xdr:row>
      <xdr:rowOff>274320</xdr:rowOff>
    </xdr:from>
    <xdr:ext cx="289560" cy="277495"/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" y="18143220"/>
          <a:ext cx="289560" cy="277495"/>
        </a:xfrm>
        <a:prstGeom prst="rect">
          <a:avLst/>
        </a:prstGeom>
      </xdr:spPr>
    </xdr:pic>
    <xdr:clientData/>
  </xdr:oneCellAnchor>
  <xdr:oneCellAnchor>
    <xdr:from>
      <xdr:col>1</xdr:col>
      <xdr:colOff>228600</xdr:colOff>
      <xdr:row>65</xdr:row>
      <xdr:rowOff>177800</xdr:rowOff>
    </xdr:from>
    <xdr:ext cx="304800" cy="283210"/>
    <xdr:pic>
      <xdr:nvPicPr>
        <xdr:cNvPr id="14" name="Image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" y="19006820"/>
          <a:ext cx="304800" cy="283210"/>
        </a:xfrm>
        <a:prstGeom prst="rect">
          <a:avLst/>
        </a:prstGeom>
      </xdr:spPr>
    </xdr:pic>
    <xdr:clientData/>
  </xdr:oneCellAnchor>
  <xdr:oneCellAnchor>
    <xdr:from>
      <xdr:col>1</xdr:col>
      <xdr:colOff>236220</xdr:colOff>
      <xdr:row>68</xdr:row>
      <xdr:rowOff>13970</xdr:rowOff>
    </xdr:from>
    <xdr:ext cx="250825" cy="263525"/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0060" y="19803110"/>
          <a:ext cx="250825" cy="263525"/>
        </a:xfrm>
        <a:prstGeom prst="rect">
          <a:avLst/>
        </a:prstGeom>
        <a:noFill/>
      </xdr:spPr>
    </xdr:pic>
    <xdr:clientData/>
  </xdr:oneCellAnchor>
  <xdr:oneCellAnchor>
    <xdr:from>
      <xdr:col>1</xdr:col>
      <xdr:colOff>228600</xdr:colOff>
      <xdr:row>70</xdr:row>
      <xdr:rowOff>100330</xdr:rowOff>
    </xdr:from>
    <xdr:ext cx="283210" cy="243840"/>
    <xdr:pic>
      <xdr:nvPicPr>
        <xdr:cNvPr id="16" name="Image 15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" y="20529550"/>
          <a:ext cx="283210" cy="243840"/>
        </a:xfrm>
        <a:prstGeom prst="rect">
          <a:avLst/>
        </a:prstGeom>
      </xdr:spPr>
    </xdr:pic>
    <xdr:clientData/>
  </xdr:oneCellAnchor>
  <xdr:oneCellAnchor>
    <xdr:from>
      <xdr:col>1</xdr:col>
      <xdr:colOff>205740</xdr:colOff>
      <xdr:row>78</xdr:row>
      <xdr:rowOff>281940</xdr:rowOff>
    </xdr:from>
    <xdr:ext cx="289560" cy="277495"/>
    <xdr:pic>
      <xdr:nvPicPr>
        <xdr:cNvPr id="17" name="Image 16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9580" y="23088600"/>
          <a:ext cx="289560" cy="277495"/>
        </a:xfrm>
        <a:prstGeom prst="rect">
          <a:avLst/>
        </a:prstGeom>
      </xdr:spPr>
    </xdr:pic>
    <xdr:clientData/>
  </xdr:oneCellAnchor>
  <xdr:oneCellAnchor>
    <xdr:from>
      <xdr:col>1</xdr:col>
      <xdr:colOff>205740</xdr:colOff>
      <xdr:row>81</xdr:row>
      <xdr:rowOff>185420</xdr:rowOff>
    </xdr:from>
    <xdr:ext cx="304800" cy="283210"/>
    <xdr:pic>
      <xdr:nvPicPr>
        <xdr:cNvPr id="18" name="Image 17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9580" y="23952200"/>
          <a:ext cx="304800" cy="283210"/>
        </a:xfrm>
        <a:prstGeom prst="rect">
          <a:avLst/>
        </a:prstGeom>
      </xdr:spPr>
    </xdr:pic>
    <xdr:clientData/>
  </xdr:oneCellAnchor>
  <xdr:oneCellAnchor>
    <xdr:from>
      <xdr:col>1</xdr:col>
      <xdr:colOff>213360</xdr:colOff>
      <xdr:row>84</xdr:row>
      <xdr:rowOff>21590</xdr:rowOff>
    </xdr:from>
    <xdr:ext cx="250825" cy="263525"/>
    <xdr:pic>
      <xdr:nvPicPr>
        <xdr:cNvPr id="19" name="Image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" y="24748490"/>
          <a:ext cx="250825" cy="263525"/>
        </a:xfrm>
        <a:prstGeom prst="rect">
          <a:avLst/>
        </a:prstGeom>
        <a:noFill/>
      </xdr:spPr>
    </xdr:pic>
    <xdr:clientData/>
  </xdr:oneCellAnchor>
  <xdr:oneCellAnchor>
    <xdr:from>
      <xdr:col>1</xdr:col>
      <xdr:colOff>205740</xdr:colOff>
      <xdr:row>86</xdr:row>
      <xdr:rowOff>168910</xdr:rowOff>
    </xdr:from>
    <xdr:ext cx="283210" cy="243840"/>
    <xdr:pic>
      <xdr:nvPicPr>
        <xdr:cNvPr id="20" name="Image 19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9580" y="25535890"/>
          <a:ext cx="283210" cy="243840"/>
        </a:xfrm>
        <a:prstGeom prst="rect">
          <a:avLst/>
        </a:prstGeom>
      </xdr:spPr>
    </xdr:pic>
    <xdr:clientData/>
  </xdr:oneCellAnchor>
  <xdr:twoCellAnchor>
    <xdr:from>
      <xdr:col>15</xdr:col>
      <xdr:colOff>91440</xdr:colOff>
      <xdr:row>44</xdr:row>
      <xdr:rowOff>144780</xdr:rowOff>
    </xdr:from>
    <xdr:to>
      <xdr:col>15</xdr:col>
      <xdr:colOff>381000</xdr:colOff>
      <xdr:row>44</xdr:row>
      <xdr:rowOff>152400</xdr:rowOff>
    </xdr:to>
    <xdr:cxnSp macro="">
      <xdr:nvCxnSpPr>
        <xdr:cNvPr id="21" name="Connecteur droit avec flèche 20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CxnSpPr/>
      </xdr:nvCxnSpPr>
      <xdr:spPr>
        <a:xfrm flipH="1" flipV="1">
          <a:off x="11041380" y="12519660"/>
          <a:ext cx="289560" cy="762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373380</xdr:colOff>
      <xdr:row>56</xdr:row>
      <xdr:rowOff>53340</xdr:rowOff>
    </xdr:from>
    <xdr:to>
      <xdr:col>14</xdr:col>
      <xdr:colOff>373380</xdr:colOff>
      <xdr:row>56</xdr:row>
      <xdr:rowOff>236220</xdr:rowOff>
    </xdr:to>
    <xdr:cxnSp macro="">
      <xdr:nvCxnSpPr>
        <xdr:cNvPr id="22" name="Connecteur droit avec flèche 21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CxnSpPr/>
      </xdr:nvCxnSpPr>
      <xdr:spPr>
        <a:xfrm>
          <a:off x="10645140" y="16184880"/>
          <a:ext cx="0" cy="18288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91440</xdr:colOff>
      <xdr:row>60</xdr:row>
      <xdr:rowOff>144780</xdr:rowOff>
    </xdr:from>
    <xdr:to>
      <xdr:col>15</xdr:col>
      <xdr:colOff>381000</xdr:colOff>
      <xdr:row>60</xdr:row>
      <xdr:rowOff>152400</xdr:rowOff>
    </xdr:to>
    <xdr:cxnSp macro="">
      <xdr:nvCxnSpPr>
        <xdr:cNvPr id="23" name="Connecteur droit avec flèche 22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CxnSpPr/>
      </xdr:nvCxnSpPr>
      <xdr:spPr>
        <a:xfrm flipH="1" flipV="1">
          <a:off x="11041380" y="17434560"/>
          <a:ext cx="289560" cy="762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373380</xdr:colOff>
      <xdr:row>72</xdr:row>
      <xdr:rowOff>53340</xdr:rowOff>
    </xdr:from>
    <xdr:to>
      <xdr:col>14</xdr:col>
      <xdr:colOff>373380</xdr:colOff>
      <xdr:row>72</xdr:row>
      <xdr:rowOff>236220</xdr:rowOff>
    </xdr:to>
    <xdr:cxnSp macro="">
      <xdr:nvCxnSpPr>
        <xdr:cNvPr id="24" name="Connecteur droit avec flèche 23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CxnSpPr/>
      </xdr:nvCxnSpPr>
      <xdr:spPr>
        <a:xfrm>
          <a:off x="10645140" y="21122640"/>
          <a:ext cx="0" cy="18288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91440</xdr:colOff>
      <xdr:row>76</xdr:row>
      <xdr:rowOff>144780</xdr:rowOff>
    </xdr:from>
    <xdr:to>
      <xdr:col>15</xdr:col>
      <xdr:colOff>381000</xdr:colOff>
      <xdr:row>76</xdr:row>
      <xdr:rowOff>152400</xdr:rowOff>
    </xdr:to>
    <xdr:cxnSp macro="">
      <xdr:nvCxnSpPr>
        <xdr:cNvPr id="25" name="Connecteur droit avec flèche 24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CxnSpPr/>
      </xdr:nvCxnSpPr>
      <xdr:spPr>
        <a:xfrm flipH="1" flipV="1">
          <a:off x="11041380" y="22372320"/>
          <a:ext cx="289560" cy="762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373380</xdr:colOff>
      <xdr:row>88</xdr:row>
      <xdr:rowOff>53340</xdr:rowOff>
    </xdr:from>
    <xdr:to>
      <xdr:col>14</xdr:col>
      <xdr:colOff>373380</xdr:colOff>
      <xdr:row>88</xdr:row>
      <xdr:rowOff>236220</xdr:rowOff>
    </xdr:to>
    <xdr:cxnSp macro="">
      <xdr:nvCxnSpPr>
        <xdr:cNvPr id="26" name="Connecteur droit avec flèche 25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CxnSpPr/>
      </xdr:nvCxnSpPr>
      <xdr:spPr>
        <a:xfrm>
          <a:off x="10645140" y="26060400"/>
          <a:ext cx="0" cy="18288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12</xdr:col>
      <xdr:colOff>228600</xdr:colOff>
      <xdr:row>46</xdr:row>
      <xdr:rowOff>259080</xdr:rowOff>
    </xdr:from>
    <xdr:ext cx="289560" cy="277495"/>
    <xdr:pic>
      <xdr:nvPicPr>
        <xdr:cNvPr id="27" name="Image 26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90560" y="13190220"/>
          <a:ext cx="289560" cy="277495"/>
        </a:xfrm>
        <a:prstGeom prst="rect">
          <a:avLst/>
        </a:prstGeom>
      </xdr:spPr>
    </xdr:pic>
    <xdr:clientData/>
  </xdr:oneCellAnchor>
  <xdr:oneCellAnchor>
    <xdr:from>
      <xdr:col>12</xdr:col>
      <xdr:colOff>228600</xdr:colOff>
      <xdr:row>49</xdr:row>
      <xdr:rowOff>162560</xdr:rowOff>
    </xdr:from>
    <xdr:ext cx="304800" cy="283210"/>
    <xdr:pic>
      <xdr:nvPicPr>
        <xdr:cNvPr id="28" name="Image 27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90560" y="14053820"/>
          <a:ext cx="304800" cy="283210"/>
        </a:xfrm>
        <a:prstGeom prst="rect">
          <a:avLst/>
        </a:prstGeom>
      </xdr:spPr>
    </xdr:pic>
    <xdr:clientData/>
  </xdr:oneCellAnchor>
  <xdr:oneCellAnchor>
    <xdr:from>
      <xdr:col>12</xdr:col>
      <xdr:colOff>236220</xdr:colOff>
      <xdr:row>51</xdr:row>
      <xdr:rowOff>288290</xdr:rowOff>
    </xdr:from>
    <xdr:ext cx="250825" cy="263525"/>
    <xdr:pic>
      <xdr:nvPicPr>
        <xdr:cNvPr id="29" name="Image 28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8180" y="14819630"/>
          <a:ext cx="250825" cy="263525"/>
        </a:xfrm>
        <a:prstGeom prst="rect">
          <a:avLst/>
        </a:prstGeom>
        <a:noFill/>
      </xdr:spPr>
    </xdr:pic>
    <xdr:clientData/>
  </xdr:oneCellAnchor>
  <xdr:oneCellAnchor>
    <xdr:from>
      <xdr:col>12</xdr:col>
      <xdr:colOff>228600</xdr:colOff>
      <xdr:row>54</xdr:row>
      <xdr:rowOff>146050</xdr:rowOff>
    </xdr:from>
    <xdr:ext cx="283210" cy="243840"/>
    <xdr:pic>
      <xdr:nvPicPr>
        <xdr:cNvPr id="30" name="Image 29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90560" y="15637510"/>
          <a:ext cx="283210" cy="243840"/>
        </a:xfrm>
        <a:prstGeom prst="rect">
          <a:avLst/>
        </a:prstGeom>
      </xdr:spPr>
    </xdr:pic>
    <xdr:clientData/>
  </xdr:oneCellAnchor>
  <xdr:oneCellAnchor>
    <xdr:from>
      <xdr:col>12</xdr:col>
      <xdr:colOff>228600</xdr:colOff>
      <xdr:row>62</xdr:row>
      <xdr:rowOff>274320</xdr:rowOff>
    </xdr:from>
    <xdr:ext cx="289560" cy="277495"/>
    <xdr:pic>
      <xdr:nvPicPr>
        <xdr:cNvPr id="31" name="Image 30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90560" y="18143220"/>
          <a:ext cx="289560" cy="277495"/>
        </a:xfrm>
        <a:prstGeom prst="rect">
          <a:avLst/>
        </a:prstGeom>
      </xdr:spPr>
    </xdr:pic>
    <xdr:clientData/>
  </xdr:oneCellAnchor>
  <xdr:oneCellAnchor>
    <xdr:from>
      <xdr:col>12</xdr:col>
      <xdr:colOff>228600</xdr:colOff>
      <xdr:row>65</xdr:row>
      <xdr:rowOff>177800</xdr:rowOff>
    </xdr:from>
    <xdr:ext cx="304800" cy="283210"/>
    <xdr:pic>
      <xdr:nvPicPr>
        <xdr:cNvPr id="32" name="Image 31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90560" y="19006820"/>
          <a:ext cx="304800" cy="283210"/>
        </a:xfrm>
        <a:prstGeom prst="rect">
          <a:avLst/>
        </a:prstGeom>
      </xdr:spPr>
    </xdr:pic>
    <xdr:clientData/>
  </xdr:oneCellAnchor>
  <xdr:oneCellAnchor>
    <xdr:from>
      <xdr:col>12</xdr:col>
      <xdr:colOff>236220</xdr:colOff>
      <xdr:row>68</xdr:row>
      <xdr:rowOff>13970</xdr:rowOff>
    </xdr:from>
    <xdr:ext cx="250825" cy="263525"/>
    <xdr:pic>
      <xdr:nvPicPr>
        <xdr:cNvPr id="33" name="Image 32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8180" y="19803110"/>
          <a:ext cx="250825" cy="263525"/>
        </a:xfrm>
        <a:prstGeom prst="rect">
          <a:avLst/>
        </a:prstGeom>
        <a:noFill/>
      </xdr:spPr>
    </xdr:pic>
    <xdr:clientData/>
  </xdr:oneCellAnchor>
  <xdr:oneCellAnchor>
    <xdr:from>
      <xdr:col>12</xdr:col>
      <xdr:colOff>228600</xdr:colOff>
      <xdr:row>70</xdr:row>
      <xdr:rowOff>100330</xdr:rowOff>
    </xdr:from>
    <xdr:ext cx="283210" cy="243840"/>
    <xdr:pic>
      <xdr:nvPicPr>
        <xdr:cNvPr id="34" name="Image 33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90560" y="20529550"/>
          <a:ext cx="283210" cy="243840"/>
        </a:xfrm>
        <a:prstGeom prst="rect">
          <a:avLst/>
        </a:prstGeom>
      </xdr:spPr>
    </xdr:pic>
    <xdr:clientData/>
  </xdr:oneCellAnchor>
  <xdr:oneCellAnchor>
    <xdr:from>
      <xdr:col>12</xdr:col>
      <xdr:colOff>205740</xdr:colOff>
      <xdr:row>78</xdr:row>
      <xdr:rowOff>281940</xdr:rowOff>
    </xdr:from>
    <xdr:ext cx="289560" cy="277495"/>
    <xdr:pic>
      <xdr:nvPicPr>
        <xdr:cNvPr id="35" name="Image 34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23088600"/>
          <a:ext cx="289560" cy="277495"/>
        </a:xfrm>
        <a:prstGeom prst="rect">
          <a:avLst/>
        </a:prstGeom>
      </xdr:spPr>
    </xdr:pic>
    <xdr:clientData/>
  </xdr:oneCellAnchor>
  <xdr:oneCellAnchor>
    <xdr:from>
      <xdr:col>12</xdr:col>
      <xdr:colOff>205740</xdr:colOff>
      <xdr:row>81</xdr:row>
      <xdr:rowOff>185420</xdr:rowOff>
    </xdr:from>
    <xdr:ext cx="304800" cy="283210"/>
    <xdr:pic>
      <xdr:nvPicPr>
        <xdr:cNvPr id="36" name="Image 35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23952200"/>
          <a:ext cx="304800" cy="283210"/>
        </a:xfrm>
        <a:prstGeom prst="rect">
          <a:avLst/>
        </a:prstGeom>
      </xdr:spPr>
    </xdr:pic>
    <xdr:clientData/>
  </xdr:oneCellAnchor>
  <xdr:oneCellAnchor>
    <xdr:from>
      <xdr:col>12</xdr:col>
      <xdr:colOff>213360</xdr:colOff>
      <xdr:row>84</xdr:row>
      <xdr:rowOff>21590</xdr:rowOff>
    </xdr:from>
    <xdr:ext cx="250825" cy="263525"/>
    <xdr:pic>
      <xdr:nvPicPr>
        <xdr:cNvPr id="37" name="Image 36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5320" y="24748490"/>
          <a:ext cx="250825" cy="263525"/>
        </a:xfrm>
        <a:prstGeom prst="rect">
          <a:avLst/>
        </a:prstGeom>
        <a:noFill/>
      </xdr:spPr>
    </xdr:pic>
    <xdr:clientData/>
  </xdr:oneCellAnchor>
  <xdr:oneCellAnchor>
    <xdr:from>
      <xdr:col>12</xdr:col>
      <xdr:colOff>205740</xdr:colOff>
      <xdr:row>86</xdr:row>
      <xdr:rowOff>168910</xdr:rowOff>
    </xdr:from>
    <xdr:ext cx="283210" cy="243840"/>
    <xdr:pic>
      <xdr:nvPicPr>
        <xdr:cNvPr id="38" name="Image 37"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25535890"/>
          <a:ext cx="283210" cy="243840"/>
        </a:xfrm>
        <a:prstGeom prst="rect">
          <a:avLst/>
        </a:prstGeom>
      </xdr:spPr>
    </xdr:pic>
    <xdr:clientData/>
  </xdr:oneCellAnchor>
  <xdr:twoCellAnchor>
    <xdr:from>
      <xdr:col>30</xdr:col>
      <xdr:colOff>99060</xdr:colOff>
      <xdr:row>2</xdr:row>
      <xdr:rowOff>144780</xdr:rowOff>
    </xdr:from>
    <xdr:to>
      <xdr:col>30</xdr:col>
      <xdr:colOff>457200</xdr:colOff>
      <xdr:row>2</xdr:row>
      <xdr:rowOff>144780</xdr:rowOff>
    </xdr:to>
    <xdr:cxnSp macro="">
      <xdr:nvCxnSpPr>
        <xdr:cNvPr id="39" name="Connecteur droit avec flèche 38">
          <a:extLst>
            <a:ext uri="{FF2B5EF4-FFF2-40B4-BE49-F238E27FC236}">
              <a16:creationId xmlns:a16="http://schemas.microsoft.com/office/drawing/2014/main" id="{00000000-0008-0000-0B00-000027000000}"/>
            </a:ext>
          </a:extLst>
        </xdr:cNvPr>
        <xdr:cNvCxnSpPr/>
      </xdr:nvCxnSpPr>
      <xdr:spPr>
        <a:xfrm flipH="1">
          <a:off x="21678900" y="701040"/>
          <a:ext cx="35814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91440</xdr:colOff>
      <xdr:row>44</xdr:row>
      <xdr:rowOff>144780</xdr:rowOff>
    </xdr:from>
    <xdr:to>
      <xdr:col>26</xdr:col>
      <xdr:colOff>381000</xdr:colOff>
      <xdr:row>44</xdr:row>
      <xdr:rowOff>152400</xdr:rowOff>
    </xdr:to>
    <xdr:cxnSp macro="">
      <xdr:nvCxnSpPr>
        <xdr:cNvPr id="40" name="Connecteur droit avec flèche 39"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CxnSpPr/>
      </xdr:nvCxnSpPr>
      <xdr:spPr>
        <a:xfrm flipH="1" flipV="1">
          <a:off x="18844260" y="12519660"/>
          <a:ext cx="289560" cy="762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373380</xdr:colOff>
      <xdr:row>56</xdr:row>
      <xdr:rowOff>53340</xdr:rowOff>
    </xdr:from>
    <xdr:to>
      <xdr:col>25</xdr:col>
      <xdr:colOff>373380</xdr:colOff>
      <xdr:row>56</xdr:row>
      <xdr:rowOff>236220</xdr:rowOff>
    </xdr:to>
    <xdr:cxnSp macro="">
      <xdr:nvCxnSpPr>
        <xdr:cNvPr id="41" name="Connecteur droit avec flèche 40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CxnSpPr/>
      </xdr:nvCxnSpPr>
      <xdr:spPr>
        <a:xfrm>
          <a:off x="18448020" y="16184880"/>
          <a:ext cx="0" cy="18288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91440</xdr:colOff>
      <xdr:row>60</xdr:row>
      <xdr:rowOff>144780</xdr:rowOff>
    </xdr:from>
    <xdr:to>
      <xdr:col>26</xdr:col>
      <xdr:colOff>381000</xdr:colOff>
      <xdr:row>60</xdr:row>
      <xdr:rowOff>152400</xdr:rowOff>
    </xdr:to>
    <xdr:cxnSp macro="">
      <xdr:nvCxnSpPr>
        <xdr:cNvPr id="42" name="Connecteur droit avec flèche 41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CxnSpPr/>
      </xdr:nvCxnSpPr>
      <xdr:spPr>
        <a:xfrm flipH="1" flipV="1">
          <a:off x="18844260" y="17434560"/>
          <a:ext cx="289560" cy="762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373380</xdr:colOff>
      <xdr:row>72</xdr:row>
      <xdr:rowOff>53340</xdr:rowOff>
    </xdr:from>
    <xdr:to>
      <xdr:col>25</xdr:col>
      <xdr:colOff>373380</xdr:colOff>
      <xdr:row>72</xdr:row>
      <xdr:rowOff>236220</xdr:rowOff>
    </xdr:to>
    <xdr:cxnSp macro="">
      <xdr:nvCxnSpPr>
        <xdr:cNvPr id="43" name="Connecteur droit avec flèche 42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CxnSpPr/>
      </xdr:nvCxnSpPr>
      <xdr:spPr>
        <a:xfrm>
          <a:off x="18448020" y="21122640"/>
          <a:ext cx="0" cy="18288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91440</xdr:colOff>
      <xdr:row>76</xdr:row>
      <xdr:rowOff>144780</xdr:rowOff>
    </xdr:from>
    <xdr:to>
      <xdr:col>26</xdr:col>
      <xdr:colOff>381000</xdr:colOff>
      <xdr:row>76</xdr:row>
      <xdr:rowOff>152400</xdr:rowOff>
    </xdr:to>
    <xdr:cxnSp macro="">
      <xdr:nvCxnSpPr>
        <xdr:cNvPr id="44" name="Connecteur droit avec flèche 43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CxnSpPr/>
      </xdr:nvCxnSpPr>
      <xdr:spPr>
        <a:xfrm flipH="1" flipV="1">
          <a:off x="18844260" y="22372320"/>
          <a:ext cx="289560" cy="762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373380</xdr:colOff>
      <xdr:row>88</xdr:row>
      <xdr:rowOff>53340</xdr:rowOff>
    </xdr:from>
    <xdr:to>
      <xdr:col>25</xdr:col>
      <xdr:colOff>373380</xdr:colOff>
      <xdr:row>88</xdr:row>
      <xdr:rowOff>236220</xdr:rowOff>
    </xdr:to>
    <xdr:cxnSp macro="">
      <xdr:nvCxnSpPr>
        <xdr:cNvPr id="45" name="Connecteur droit avec flèche 44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CxnSpPr/>
      </xdr:nvCxnSpPr>
      <xdr:spPr>
        <a:xfrm>
          <a:off x="18448020" y="26060400"/>
          <a:ext cx="0" cy="18288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23</xdr:col>
      <xdr:colOff>228600</xdr:colOff>
      <xdr:row>46</xdr:row>
      <xdr:rowOff>259080</xdr:rowOff>
    </xdr:from>
    <xdr:ext cx="289560" cy="277495"/>
    <xdr:pic>
      <xdr:nvPicPr>
        <xdr:cNvPr id="46" name="Image 45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93440" y="13190220"/>
          <a:ext cx="289560" cy="277495"/>
        </a:xfrm>
        <a:prstGeom prst="rect">
          <a:avLst/>
        </a:prstGeom>
      </xdr:spPr>
    </xdr:pic>
    <xdr:clientData/>
  </xdr:oneCellAnchor>
  <xdr:oneCellAnchor>
    <xdr:from>
      <xdr:col>23</xdr:col>
      <xdr:colOff>228600</xdr:colOff>
      <xdr:row>49</xdr:row>
      <xdr:rowOff>162560</xdr:rowOff>
    </xdr:from>
    <xdr:ext cx="304800" cy="283210"/>
    <xdr:pic>
      <xdr:nvPicPr>
        <xdr:cNvPr id="47" name="Image 46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93440" y="14053820"/>
          <a:ext cx="304800" cy="283210"/>
        </a:xfrm>
        <a:prstGeom prst="rect">
          <a:avLst/>
        </a:prstGeom>
      </xdr:spPr>
    </xdr:pic>
    <xdr:clientData/>
  </xdr:oneCellAnchor>
  <xdr:oneCellAnchor>
    <xdr:from>
      <xdr:col>23</xdr:col>
      <xdr:colOff>236220</xdr:colOff>
      <xdr:row>51</xdr:row>
      <xdr:rowOff>288290</xdr:rowOff>
    </xdr:from>
    <xdr:ext cx="250825" cy="263525"/>
    <xdr:pic>
      <xdr:nvPicPr>
        <xdr:cNvPr id="48" name="Image 47">
          <a:extLs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01060" y="14819630"/>
          <a:ext cx="250825" cy="263525"/>
        </a:xfrm>
        <a:prstGeom prst="rect">
          <a:avLst/>
        </a:prstGeom>
        <a:noFill/>
      </xdr:spPr>
    </xdr:pic>
    <xdr:clientData/>
  </xdr:oneCellAnchor>
  <xdr:oneCellAnchor>
    <xdr:from>
      <xdr:col>23</xdr:col>
      <xdr:colOff>228600</xdr:colOff>
      <xdr:row>54</xdr:row>
      <xdr:rowOff>146050</xdr:rowOff>
    </xdr:from>
    <xdr:ext cx="283210" cy="243840"/>
    <xdr:pic>
      <xdr:nvPicPr>
        <xdr:cNvPr id="49" name="Image 48">
          <a:extLs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93440" y="15637510"/>
          <a:ext cx="283210" cy="243840"/>
        </a:xfrm>
        <a:prstGeom prst="rect">
          <a:avLst/>
        </a:prstGeom>
      </xdr:spPr>
    </xdr:pic>
    <xdr:clientData/>
  </xdr:oneCellAnchor>
  <xdr:oneCellAnchor>
    <xdr:from>
      <xdr:col>23</xdr:col>
      <xdr:colOff>228600</xdr:colOff>
      <xdr:row>62</xdr:row>
      <xdr:rowOff>274320</xdr:rowOff>
    </xdr:from>
    <xdr:ext cx="289560" cy="277495"/>
    <xdr:pic>
      <xdr:nvPicPr>
        <xdr:cNvPr id="50" name="Image 49"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93440" y="18143220"/>
          <a:ext cx="289560" cy="277495"/>
        </a:xfrm>
        <a:prstGeom prst="rect">
          <a:avLst/>
        </a:prstGeom>
      </xdr:spPr>
    </xdr:pic>
    <xdr:clientData/>
  </xdr:oneCellAnchor>
  <xdr:oneCellAnchor>
    <xdr:from>
      <xdr:col>23</xdr:col>
      <xdr:colOff>228600</xdr:colOff>
      <xdr:row>65</xdr:row>
      <xdr:rowOff>177800</xdr:rowOff>
    </xdr:from>
    <xdr:ext cx="304800" cy="283210"/>
    <xdr:pic>
      <xdr:nvPicPr>
        <xdr:cNvPr id="51" name="Image 50"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93440" y="19006820"/>
          <a:ext cx="304800" cy="283210"/>
        </a:xfrm>
        <a:prstGeom prst="rect">
          <a:avLst/>
        </a:prstGeom>
      </xdr:spPr>
    </xdr:pic>
    <xdr:clientData/>
  </xdr:oneCellAnchor>
  <xdr:oneCellAnchor>
    <xdr:from>
      <xdr:col>23</xdr:col>
      <xdr:colOff>236220</xdr:colOff>
      <xdr:row>68</xdr:row>
      <xdr:rowOff>13970</xdr:rowOff>
    </xdr:from>
    <xdr:ext cx="250825" cy="263525"/>
    <xdr:pic>
      <xdr:nvPicPr>
        <xdr:cNvPr id="52" name="Image 51">
          <a:extLs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01060" y="19803110"/>
          <a:ext cx="250825" cy="263525"/>
        </a:xfrm>
        <a:prstGeom prst="rect">
          <a:avLst/>
        </a:prstGeom>
        <a:noFill/>
      </xdr:spPr>
    </xdr:pic>
    <xdr:clientData/>
  </xdr:oneCellAnchor>
  <xdr:oneCellAnchor>
    <xdr:from>
      <xdr:col>23</xdr:col>
      <xdr:colOff>228600</xdr:colOff>
      <xdr:row>70</xdr:row>
      <xdr:rowOff>100330</xdr:rowOff>
    </xdr:from>
    <xdr:ext cx="283210" cy="243840"/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93440" y="20529550"/>
          <a:ext cx="283210" cy="243840"/>
        </a:xfrm>
        <a:prstGeom prst="rect">
          <a:avLst/>
        </a:prstGeom>
      </xdr:spPr>
    </xdr:pic>
    <xdr:clientData/>
  </xdr:oneCellAnchor>
  <xdr:oneCellAnchor>
    <xdr:from>
      <xdr:col>23</xdr:col>
      <xdr:colOff>205740</xdr:colOff>
      <xdr:row>78</xdr:row>
      <xdr:rowOff>281940</xdr:rowOff>
    </xdr:from>
    <xdr:ext cx="289560" cy="277495"/>
    <xdr:pic>
      <xdr:nvPicPr>
        <xdr:cNvPr id="54" name="Image 53">
          <a:extLs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70580" y="23088600"/>
          <a:ext cx="289560" cy="277495"/>
        </a:xfrm>
        <a:prstGeom prst="rect">
          <a:avLst/>
        </a:prstGeom>
      </xdr:spPr>
    </xdr:pic>
    <xdr:clientData/>
  </xdr:oneCellAnchor>
  <xdr:oneCellAnchor>
    <xdr:from>
      <xdr:col>23</xdr:col>
      <xdr:colOff>205740</xdr:colOff>
      <xdr:row>81</xdr:row>
      <xdr:rowOff>185420</xdr:rowOff>
    </xdr:from>
    <xdr:ext cx="304800" cy="283210"/>
    <xdr:pic>
      <xdr:nvPicPr>
        <xdr:cNvPr id="55" name="Image 54">
          <a:extLs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70580" y="23952200"/>
          <a:ext cx="304800" cy="283210"/>
        </a:xfrm>
        <a:prstGeom prst="rect">
          <a:avLst/>
        </a:prstGeom>
      </xdr:spPr>
    </xdr:pic>
    <xdr:clientData/>
  </xdr:oneCellAnchor>
  <xdr:oneCellAnchor>
    <xdr:from>
      <xdr:col>23</xdr:col>
      <xdr:colOff>213360</xdr:colOff>
      <xdr:row>84</xdr:row>
      <xdr:rowOff>21590</xdr:rowOff>
    </xdr:from>
    <xdr:ext cx="250825" cy="263525"/>
    <xdr:pic>
      <xdr:nvPicPr>
        <xdr:cNvPr id="56" name="Image 55">
          <a:extLs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78200" y="24748490"/>
          <a:ext cx="250825" cy="263525"/>
        </a:xfrm>
        <a:prstGeom prst="rect">
          <a:avLst/>
        </a:prstGeom>
        <a:noFill/>
      </xdr:spPr>
    </xdr:pic>
    <xdr:clientData/>
  </xdr:oneCellAnchor>
  <xdr:oneCellAnchor>
    <xdr:from>
      <xdr:col>23</xdr:col>
      <xdr:colOff>205740</xdr:colOff>
      <xdr:row>86</xdr:row>
      <xdr:rowOff>168910</xdr:rowOff>
    </xdr:from>
    <xdr:ext cx="283210" cy="243840"/>
    <xdr:pic>
      <xdr:nvPicPr>
        <xdr:cNvPr id="57" name="Image 56">
          <a:extLst>
            <a:ext uri="{FF2B5EF4-FFF2-40B4-BE49-F238E27FC236}">
              <a16:creationId xmlns:a16="http://schemas.microsoft.com/office/drawing/2014/main" id="{00000000-0008-0000-0B00-000039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70580" y="25535890"/>
          <a:ext cx="283210" cy="243840"/>
        </a:xfrm>
        <a:prstGeom prst="rect">
          <a:avLst/>
        </a:prstGeom>
      </xdr:spPr>
    </xdr:pic>
    <xdr:clientData/>
  </xdr:oneCellAnchor>
  <xdr:twoCellAnchor>
    <xdr:from>
      <xdr:col>41</xdr:col>
      <xdr:colOff>99060</xdr:colOff>
      <xdr:row>2</xdr:row>
      <xdr:rowOff>144780</xdr:rowOff>
    </xdr:from>
    <xdr:to>
      <xdr:col>41</xdr:col>
      <xdr:colOff>457200</xdr:colOff>
      <xdr:row>2</xdr:row>
      <xdr:rowOff>144780</xdr:rowOff>
    </xdr:to>
    <xdr:cxnSp macro="">
      <xdr:nvCxnSpPr>
        <xdr:cNvPr id="58" name="Connecteur droit avec flèche 57">
          <a:extLst>
            <a:ext uri="{FF2B5EF4-FFF2-40B4-BE49-F238E27FC236}">
              <a16:creationId xmlns:a16="http://schemas.microsoft.com/office/drawing/2014/main" id="{00000000-0008-0000-0B00-00003A000000}"/>
            </a:ext>
          </a:extLst>
        </xdr:cNvPr>
        <xdr:cNvCxnSpPr/>
      </xdr:nvCxnSpPr>
      <xdr:spPr>
        <a:xfrm flipH="1">
          <a:off x="29573220" y="701040"/>
          <a:ext cx="35814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91440</xdr:colOff>
      <xdr:row>44</xdr:row>
      <xdr:rowOff>144780</xdr:rowOff>
    </xdr:from>
    <xdr:to>
      <xdr:col>37</xdr:col>
      <xdr:colOff>381000</xdr:colOff>
      <xdr:row>44</xdr:row>
      <xdr:rowOff>152400</xdr:rowOff>
    </xdr:to>
    <xdr:cxnSp macro="">
      <xdr:nvCxnSpPr>
        <xdr:cNvPr id="59" name="Connecteur droit avec flèche 58">
          <a:extLst>
            <a:ext uri="{FF2B5EF4-FFF2-40B4-BE49-F238E27FC236}">
              <a16:creationId xmlns:a16="http://schemas.microsoft.com/office/drawing/2014/main" id="{00000000-0008-0000-0B00-00003B000000}"/>
            </a:ext>
          </a:extLst>
        </xdr:cNvPr>
        <xdr:cNvCxnSpPr/>
      </xdr:nvCxnSpPr>
      <xdr:spPr>
        <a:xfrm flipH="1" flipV="1">
          <a:off x="26738580" y="12519660"/>
          <a:ext cx="289560" cy="762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373380</xdr:colOff>
      <xdr:row>56</xdr:row>
      <xdr:rowOff>53340</xdr:rowOff>
    </xdr:from>
    <xdr:to>
      <xdr:col>36</xdr:col>
      <xdr:colOff>373380</xdr:colOff>
      <xdr:row>56</xdr:row>
      <xdr:rowOff>236220</xdr:rowOff>
    </xdr:to>
    <xdr:cxnSp macro="">
      <xdr:nvCxnSpPr>
        <xdr:cNvPr id="60" name="Connecteur droit avec flèche 59">
          <a:extLst>
            <a:ext uri="{FF2B5EF4-FFF2-40B4-BE49-F238E27FC236}">
              <a16:creationId xmlns:a16="http://schemas.microsoft.com/office/drawing/2014/main" id="{00000000-0008-0000-0B00-00003C000000}"/>
            </a:ext>
          </a:extLst>
        </xdr:cNvPr>
        <xdr:cNvCxnSpPr/>
      </xdr:nvCxnSpPr>
      <xdr:spPr>
        <a:xfrm>
          <a:off x="26342340" y="16184880"/>
          <a:ext cx="0" cy="18288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91440</xdr:colOff>
      <xdr:row>60</xdr:row>
      <xdr:rowOff>144780</xdr:rowOff>
    </xdr:from>
    <xdr:to>
      <xdr:col>37</xdr:col>
      <xdr:colOff>381000</xdr:colOff>
      <xdr:row>60</xdr:row>
      <xdr:rowOff>152400</xdr:rowOff>
    </xdr:to>
    <xdr:cxnSp macro="">
      <xdr:nvCxnSpPr>
        <xdr:cNvPr id="61" name="Connecteur droit avec flèche 60">
          <a:extLst>
            <a:ext uri="{FF2B5EF4-FFF2-40B4-BE49-F238E27FC236}">
              <a16:creationId xmlns:a16="http://schemas.microsoft.com/office/drawing/2014/main" id="{00000000-0008-0000-0B00-00003D000000}"/>
            </a:ext>
          </a:extLst>
        </xdr:cNvPr>
        <xdr:cNvCxnSpPr/>
      </xdr:nvCxnSpPr>
      <xdr:spPr>
        <a:xfrm flipH="1" flipV="1">
          <a:off x="26738580" y="17434560"/>
          <a:ext cx="289560" cy="762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373380</xdr:colOff>
      <xdr:row>72</xdr:row>
      <xdr:rowOff>53340</xdr:rowOff>
    </xdr:from>
    <xdr:to>
      <xdr:col>36</xdr:col>
      <xdr:colOff>373380</xdr:colOff>
      <xdr:row>72</xdr:row>
      <xdr:rowOff>236220</xdr:rowOff>
    </xdr:to>
    <xdr:cxnSp macro="">
      <xdr:nvCxnSpPr>
        <xdr:cNvPr id="62" name="Connecteur droit avec flèche 61">
          <a:extLst>
            <a:ext uri="{FF2B5EF4-FFF2-40B4-BE49-F238E27FC236}">
              <a16:creationId xmlns:a16="http://schemas.microsoft.com/office/drawing/2014/main" id="{00000000-0008-0000-0B00-00003E000000}"/>
            </a:ext>
          </a:extLst>
        </xdr:cNvPr>
        <xdr:cNvCxnSpPr/>
      </xdr:nvCxnSpPr>
      <xdr:spPr>
        <a:xfrm>
          <a:off x="26342340" y="21122640"/>
          <a:ext cx="0" cy="18288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91440</xdr:colOff>
      <xdr:row>76</xdr:row>
      <xdr:rowOff>144780</xdr:rowOff>
    </xdr:from>
    <xdr:to>
      <xdr:col>37</xdr:col>
      <xdr:colOff>381000</xdr:colOff>
      <xdr:row>76</xdr:row>
      <xdr:rowOff>152400</xdr:rowOff>
    </xdr:to>
    <xdr:cxnSp macro="">
      <xdr:nvCxnSpPr>
        <xdr:cNvPr id="63" name="Connecteur droit avec flèche 62">
          <a:extLst>
            <a:ext uri="{FF2B5EF4-FFF2-40B4-BE49-F238E27FC236}">
              <a16:creationId xmlns:a16="http://schemas.microsoft.com/office/drawing/2014/main" id="{00000000-0008-0000-0B00-00003F000000}"/>
            </a:ext>
          </a:extLst>
        </xdr:cNvPr>
        <xdr:cNvCxnSpPr/>
      </xdr:nvCxnSpPr>
      <xdr:spPr>
        <a:xfrm flipH="1" flipV="1">
          <a:off x="26738580" y="22372320"/>
          <a:ext cx="289560" cy="762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373380</xdr:colOff>
      <xdr:row>88</xdr:row>
      <xdr:rowOff>53340</xdr:rowOff>
    </xdr:from>
    <xdr:to>
      <xdr:col>36</xdr:col>
      <xdr:colOff>373380</xdr:colOff>
      <xdr:row>88</xdr:row>
      <xdr:rowOff>236220</xdr:rowOff>
    </xdr:to>
    <xdr:cxnSp macro="">
      <xdr:nvCxnSpPr>
        <xdr:cNvPr id="64" name="Connecteur droit avec flèche 63">
          <a:extLst>
            <a:ext uri="{FF2B5EF4-FFF2-40B4-BE49-F238E27FC236}">
              <a16:creationId xmlns:a16="http://schemas.microsoft.com/office/drawing/2014/main" id="{00000000-0008-0000-0B00-000040000000}"/>
            </a:ext>
          </a:extLst>
        </xdr:cNvPr>
        <xdr:cNvCxnSpPr/>
      </xdr:nvCxnSpPr>
      <xdr:spPr>
        <a:xfrm>
          <a:off x="26342340" y="26060400"/>
          <a:ext cx="0" cy="18288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34</xdr:col>
      <xdr:colOff>228600</xdr:colOff>
      <xdr:row>46</xdr:row>
      <xdr:rowOff>259080</xdr:rowOff>
    </xdr:from>
    <xdr:ext cx="289560" cy="277495"/>
    <xdr:pic>
      <xdr:nvPicPr>
        <xdr:cNvPr id="65" name="Image 64">
          <a:extLst>
            <a:ext uri="{FF2B5EF4-FFF2-40B4-BE49-F238E27FC236}">
              <a16:creationId xmlns:a16="http://schemas.microsoft.com/office/drawing/2014/main" id="{00000000-0008-0000-0B00-000041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987760" y="13190220"/>
          <a:ext cx="289560" cy="277495"/>
        </a:xfrm>
        <a:prstGeom prst="rect">
          <a:avLst/>
        </a:prstGeom>
      </xdr:spPr>
    </xdr:pic>
    <xdr:clientData/>
  </xdr:oneCellAnchor>
  <xdr:oneCellAnchor>
    <xdr:from>
      <xdr:col>34</xdr:col>
      <xdr:colOff>228600</xdr:colOff>
      <xdr:row>49</xdr:row>
      <xdr:rowOff>162560</xdr:rowOff>
    </xdr:from>
    <xdr:ext cx="304800" cy="283210"/>
    <xdr:pic>
      <xdr:nvPicPr>
        <xdr:cNvPr id="66" name="Image 65">
          <a:extLst>
            <a:ext uri="{FF2B5EF4-FFF2-40B4-BE49-F238E27FC236}">
              <a16:creationId xmlns:a16="http://schemas.microsoft.com/office/drawing/2014/main" id="{00000000-0008-0000-0B00-000042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987760" y="14053820"/>
          <a:ext cx="304800" cy="283210"/>
        </a:xfrm>
        <a:prstGeom prst="rect">
          <a:avLst/>
        </a:prstGeom>
      </xdr:spPr>
    </xdr:pic>
    <xdr:clientData/>
  </xdr:oneCellAnchor>
  <xdr:oneCellAnchor>
    <xdr:from>
      <xdr:col>34</xdr:col>
      <xdr:colOff>236220</xdr:colOff>
      <xdr:row>51</xdr:row>
      <xdr:rowOff>288290</xdr:rowOff>
    </xdr:from>
    <xdr:ext cx="250825" cy="263525"/>
    <xdr:pic>
      <xdr:nvPicPr>
        <xdr:cNvPr id="67" name="Image 66">
          <a:extLst>
            <a:ext uri="{FF2B5EF4-FFF2-40B4-BE49-F238E27FC236}">
              <a16:creationId xmlns:a16="http://schemas.microsoft.com/office/drawing/2014/main" id="{00000000-0008-0000-0B00-000043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995380" y="14819630"/>
          <a:ext cx="250825" cy="263525"/>
        </a:xfrm>
        <a:prstGeom prst="rect">
          <a:avLst/>
        </a:prstGeom>
        <a:noFill/>
      </xdr:spPr>
    </xdr:pic>
    <xdr:clientData/>
  </xdr:oneCellAnchor>
  <xdr:oneCellAnchor>
    <xdr:from>
      <xdr:col>34</xdr:col>
      <xdr:colOff>228600</xdr:colOff>
      <xdr:row>54</xdr:row>
      <xdr:rowOff>146050</xdr:rowOff>
    </xdr:from>
    <xdr:ext cx="283210" cy="243840"/>
    <xdr:pic>
      <xdr:nvPicPr>
        <xdr:cNvPr id="68" name="Image 67">
          <a:extLst>
            <a:ext uri="{FF2B5EF4-FFF2-40B4-BE49-F238E27FC236}">
              <a16:creationId xmlns:a16="http://schemas.microsoft.com/office/drawing/2014/main" id="{00000000-0008-0000-0B00-000044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987760" y="15637510"/>
          <a:ext cx="283210" cy="243840"/>
        </a:xfrm>
        <a:prstGeom prst="rect">
          <a:avLst/>
        </a:prstGeom>
      </xdr:spPr>
    </xdr:pic>
    <xdr:clientData/>
  </xdr:oneCellAnchor>
  <xdr:oneCellAnchor>
    <xdr:from>
      <xdr:col>34</xdr:col>
      <xdr:colOff>228600</xdr:colOff>
      <xdr:row>62</xdr:row>
      <xdr:rowOff>274320</xdr:rowOff>
    </xdr:from>
    <xdr:ext cx="289560" cy="277495"/>
    <xdr:pic>
      <xdr:nvPicPr>
        <xdr:cNvPr id="69" name="Image 68">
          <a:extLst>
            <a:ext uri="{FF2B5EF4-FFF2-40B4-BE49-F238E27FC236}">
              <a16:creationId xmlns:a16="http://schemas.microsoft.com/office/drawing/2014/main" id="{00000000-0008-0000-0B00-000045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987760" y="18143220"/>
          <a:ext cx="289560" cy="277495"/>
        </a:xfrm>
        <a:prstGeom prst="rect">
          <a:avLst/>
        </a:prstGeom>
      </xdr:spPr>
    </xdr:pic>
    <xdr:clientData/>
  </xdr:oneCellAnchor>
  <xdr:oneCellAnchor>
    <xdr:from>
      <xdr:col>34</xdr:col>
      <xdr:colOff>228600</xdr:colOff>
      <xdr:row>65</xdr:row>
      <xdr:rowOff>177800</xdr:rowOff>
    </xdr:from>
    <xdr:ext cx="304800" cy="283210"/>
    <xdr:pic>
      <xdr:nvPicPr>
        <xdr:cNvPr id="70" name="Image 69">
          <a:extLst>
            <a:ext uri="{FF2B5EF4-FFF2-40B4-BE49-F238E27FC236}">
              <a16:creationId xmlns:a16="http://schemas.microsoft.com/office/drawing/2014/main" id="{00000000-0008-0000-0B00-000046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987760" y="19006820"/>
          <a:ext cx="304800" cy="283210"/>
        </a:xfrm>
        <a:prstGeom prst="rect">
          <a:avLst/>
        </a:prstGeom>
      </xdr:spPr>
    </xdr:pic>
    <xdr:clientData/>
  </xdr:oneCellAnchor>
  <xdr:oneCellAnchor>
    <xdr:from>
      <xdr:col>34</xdr:col>
      <xdr:colOff>236220</xdr:colOff>
      <xdr:row>68</xdr:row>
      <xdr:rowOff>13970</xdr:rowOff>
    </xdr:from>
    <xdr:ext cx="250825" cy="263525"/>
    <xdr:pic>
      <xdr:nvPicPr>
        <xdr:cNvPr id="71" name="Image 70">
          <a:extLst>
            <a:ext uri="{FF2B5EF4-FFF2-40B4-BE49-F238E27FC236}">
              <a16:creationId xmlns:a16="http://schemas.microsoft.com/office/drawing/2014/main" id="{00000000-0008-0000-0B00-000047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995380" y="19803110"/>
          <a:ext cx="250825" cy="263525"/>
        </a:xfrm>
        <a:prstGeom prst="rect">
          <a:avLst/>
        </a:prstGeom>
        <a:noFill/>
      </xdr:spPr>
    </xdr:pic>
    <xdr:clientData/>
  </xdr:oneCellAnchor>
  <xdr:oneCellAnchor>
    <xdr:from>
      <xdr:col>34</xdr:col>
      <xdr:colOff>228600</xdr:colOff>
      <xdr:row>70</xdr:row>
      <xdr:rowOff>100330</xdr:rowOff>
    </xdr:from>
    <xdr:ext cx="283210" cy="243840"/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B00-000048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987760" y="20529550"/>
          <a:ext cx="283210" cy="243840"/>
        </a:xfrm>
        <a:prstGeom prst="rect">
          <a:avLst/>
        </a:prstGeom>
      </xdr:spPr>
    </xdr:pic>
    <xdr:clientData/>
  </xdr:oneCellAnchor>
  <xdr:oneCellAnchor>
    <xdr:from>
      <xdr:col>34</xdr:col>
      <xdr:colOff>205740</xdr:colOff>
      <xdr:row>78</xdr:row>
      <xdr:rowOff>281940</xdr:rowOff>
    </xdr:from>
    <xdr:ext cx="289560" cy="277495"/>
    <xdr:pic>
      <xdr:nvPicPr>
        <xdr:cNvPr id="73" name="Image 72">
          <a:extLst>
            <a:ext uri="{FF2B5EF4-FFF2-40B4-BE49-F238E27FC236}">
              <a16:creationId xmlns:a16="http://schemas.microsoft.com/office/drawing/2014/main" id="{00000000-0008-0000-0B00-000049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964900" y="23088600"/>
          <a:ext cx="289560" cy="277495"/>
        </a:xfrm>
        <a:prstGeom prst="rect">
          <a:avLst/>
        </a:prstGeom>
      </xdr:spPr>
    </xdr:pic>
    <xdr:clientData/>
  </xdr:oneCellAnchor>
  <xdr:oneCellAnchor>
    <xdr:from>
      <xdr:col>34</xdr:col>
      <xdr:colOff>205740</xdr:colOff>
      <xdr:row>81</xdr:row>
      <xdr:rowOff>185420</xdr:rowOff>
    </xdr:from>
    <xdr:ext cx="304800" cy="283210"/>
    <xdr:pic>
      <xdr:nvPicPr>
        <xdr:cNvPr id="74" name="Image 73">
          <a:extLst>
            <a:ext uri="{FF2B5EF4-FFF2-40B4-BE49-F238E27FC236}">
              <a16:creationId xmlns:a16="http://schemas.microsoft.com/office/drawing/2014/main" id="{00000000-0008-0000-0B00-00004A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964900" y="23952200"/>
          <a:ext cx="304800" cy="283210"/>
        </a:xfrm>
        <a:prstGeom prst="rect">
          <a:avLst/>
        </a:prstGeom>
      </xdr:spPr>
    </xdr:pic>
    <xdr:clientData/>
  </xdr:oneCellAnchor>
  <xdr:oneCellAnchor>
    <xdr:from>
      <xdr:col>34</xdr:col>
      <xdr:colOff>213360</xdr:colOff>
      <xdr:row>84</xdr:row>
      <xdr:rowOff>21590</xdr:rowOff>
    </xdr:from>
    <xdr:ext cx="250825" cy="263525"/>
    <xdr:pic>
      <xdr:nvPicPr>
        <xdr:cNvPr id="75" name="Image 74">
          <a:extLst>
            <a:ext uri="{FF2B5EF4-FFF2-40B4-BE49-F238E27FC236}">
              <a16:creationId xmlns:a16="http://schemas.microsoft.com/office/drawing/2014/main" id="{00000000-0008-0000-0B00-00004B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972520" y="24748490"/>
          <a:ext cx="250825" cy="263525"/>
        </a:xfrm>
        <a:prstGeom prst="rect">
          <a:avLst/>
        </a:prstGeom>
        <a:noFill/>
      </xdr:spPr>
    </xdr:pic>
    <xdr:clientData/>
  </xdr:oneCellAnchor>
  <xdr:oneCellAnchor>
    <xdr:from>
      <xdr:col>34</xdr:col>
      <xdr:colOff>205740</xdr:colOff>
      <xdr:row>86</xdr:row>
      <xdr:rowOff>168910</xdr:rowOff>
    </xdr:from>
    <xdr:ext cx="283210" cy="243840"/>
    <xdr:pic>
      <xdr:nvPicPr>
        <xdr:cNvPr id="76" name="Image 75">
          <a:extLst>
            <a:ext uri="{FF2B5EF4-FFF2-40B4-BE49-F238E27FC236}">
              <a16:creationId xmlns:a16="http://schemas.microsoft.com/office/drawing/2014/main" id="{00000000-0008-0000-0B00-00004C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964900" y="25535890"/>
          <a:ext cx="283210" cy="243840"/>
        </a:xfrm>
        <a:prstGeom prst="rect">
          <a:avLst/>
        </a:prstGeom>
      </xdr:spPr>
    </xdr:pic>
    <xdr:clientData/>
  </xdr:oneCellAnchor>
  <xdr:twoCellAnchor>
    <xdr:from>
      <xdr:col>6</xdr:col>
      <xdr:colOff>91440</xdr:colOff>
      <xdr:row>38</xdr:row>
      <xdr:rowOff>137160</xdr:rowOff>
    </xdr:from>
    <xdr:to>
      <xdr:col>7</xdr:col>
      <xdr:colOff>53340</xdr:colOff>
      <xdr:row>38</xdr:row>
      <xdr:rowOff>137160</xdr:rowOff>
    </xdr:to>
    <xdr:cxnSp macro="">
      <xdr:nvCxnSpPr>
        <xdr:cNvPr id="77" name="Connecteur droit avec flèche 76">
          <a:extLst>
            <a:ext uri="{FF2B5EF4-FFF2-40B4-BE49-F238E27FC236}">
              <a16:creationId xmlns:a16="http://schemas.microsoft.com/office/drawing/2014/main" id="{00000000-0008-0000-0B00-00004D000000}"/>
            </a:ext>
          </a:extLst>
        </xdr:cNvPr>
        <xdr:cNvCxnSpPr/>
      </xdr:nvCxnSpPr>
      <xdr:spPr>
        <a:xfrm flipH="1">
          <a:off x="4579620" y="11140440"/>
          <a:ext cx="64008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480060</xdr:colOff>
      <xdr:row>19</xdr:row>
      <xdr:rowOff>213360</xdr:rowOff>
    </xdr:from>
    <xdr:ext cx="289560" cy="277495"/>
    <xdr:pic>
      <xdr:nvPicPr>
        <xdr:cNvPr id="78" name="Image 77">
          <a:extLst>
            <a:ext uri="{FF2B5EF4-FFF2-40B4-BE49-F238E27FC236}">
              <a16:creationId xmlns:a16="http://schemas.microsoft.com/office/drawing/2014/main" id="{00000000-0008-0000-0B00-00004E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5448300"/>
          <a:ext cx="289560" cy="277495"/>
        </a:xfrm>
        <a:prstGeom prst="rect">
          <a:avLst/>
        </a:prstGeom>
      </xdr:spPr>
    </xdr:pic>
    <xdr:clientData/>
  </xdr:oneCellAnchor>
  <xdr:oneCellAnchor>
    <xdr:from>
      <xdr:col>1</xdr:col>
      <xdr:colOff>457200</xdr:colOff>
      <xdr:row>22</xdr:row>
      <xdr:rowOff>2540</xdr:rowOff>
    </xdr:from>
    <xdr:ext cx="304800" cy="283210"/>
    <xdr:pic>
      <xdr:nvPicPr>
        <xdr:cNvPr id="79" name="Image 78">
          <a:extLst>
            <a:ext uri="{FF2B5EF4-FFF2-40B4-BE49-F238E27FC236}">
              <a16:creationId xmlns:a16="http://schemas.microsoft.com/office/drawing/2014/main" id="{00000000-0008-0000-0B00-00004F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" y="6151880"/>
          <a:ext cx="304800" cy="283210"/>
        </a:xfrm>
        <a:prstGeom prst="rect">
          <a:avLst/>
        </a:prstGeom>
      </xdr:spPr>
    </xdr:pic>
    <xdr:clientData/>
  </xdr:oneCellAnchor>
  <xdr:oneCellAnchor>
    <xdr:from>
      <xdr:col>1</xdr:col>
      <xdr:colOff>503555</xdr:colOff>
      <xdr:row>24</xdr:row>
      <xdr:rowOff>257810</xdr:rowOff>
    </xdr:from>
    <xdr:ext cx="250825" cy="263525"/>
    <xdr:pic>
      <xdr:nvPicPr>
        <xdr:cNvPr id="80" name="Image 79">
          <a:extLst>
            <a:ext uri="{FF2B5EF4-FFF2-40B4-BE49-F238E27FC236}">
              <a16:creationId xmlns:a16="http://schemas.microsoft.com/office/drawing/2014/main" id="{00000000-0008-0000-0B00-000050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7395" y="7016750"/>
          <a:ext cx="250825" cy="263525"/>
        </a:xfrm>
        <a:prstGeom prst="rect">
          <a:avLst/>
        </a:prstGeom>
        <a:noFill/>
      </xdr:spPr>
    </xdr:pic>
    <xdr:clientData/>
  </xdr:oneCellAnchor>
  <xdr:oneCellAnchor>
    <xdr:from>
      <xdr:col>1</xdr:col>
      <xdr:colOff>463550</xdr:colOff>
      <xdr:row>27</xdr:row>
      <xdr:rowOff>54610</xdr:rowOff>
    </xdr:from>
    <xdr:ext cx="283210" cy="243840"/>
    <xdr:pic>
      <xdr:nvPicPr>
        <xdr:cNvPr id="81" name="Image 80">
          <a:extLst>
            <a:ext uri="{FF2B5EF4-FFF2-40B4-BE49-F238E27FC236}">
              <a16:creationId xmlns:a16="http://schemas.microsoft.com/office/drawing/2014/main" id="{00000000-0008-0000-0B00-000051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390" y="7727950"/>
          <a:ext cx="283210" cy="243840"/>
        </a:xfrm>
        <a:prstGeom prst="rect">
          <a:avLst/>
        </a:prstGeom>
      </xdr:spPr>
    </xdr:pic>
    <xdr:clientData/>
  </xdr:oneCellAnchor>
  <xdr:twoCellAnchor>
    <xdr:from>
      <xdr:col>17</xdr:col>
      <xdr:colOff>91440</xdr:colOff>
      <xdr:row>38</xdr:row>
      <xdr:rowOff>137160</xdr:rowOff>
    </xdr:from>
    <xdr:to>
      <xdr:col>18</xdr:col>
      <xdr:colOff>53340</xdr:colOff>
      <xdr:row>38</xdr:row>
      <xdr:rowOff>137160</xdr:rowOff>
    </xdr:to>
    <xdr:cxnSp macro="">
      <xdr:nvCxnSpPr>
        <xdr:cNvPr id="82" name="Connecteur droit avec flèche 81">
          <a:extLst>
            <a:ext uri="{FF2B5EF4-FFF2-40B4-BE49-F238E27FC236}">
              <a16:creationId xmlns:a16="http://schemas.microsoft.com/office/drawing/2014/main" id="{00000000-0008-0000-0B00-000052000000}"/>
            </a:ext>
          </a:extLst>
        </xdr:cNvPr>
        <xdr:cNvCxnSpPr/>
      </xdr:nvCxnSpPr>
      <xdr:spPr>
        <a:xfrm flipH="1">
          <a:off x="12397740" y="11140440"/>
          <a:ext cx="64008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12</xdr:col>
      <xdr:colOff>480060</xdr:colOff>
      <xdr:row>19</xdr:row>
      <xdr:rowOff>213360</xdr:rowOff>
    </xdr:from>
    <xdr:ext cx="289560" cy="277495"/>
    <xdr:pic>
      <xdr:nvPicPr>
        <xdr:cNvPr id="83" name="Image 82">
          <a:extLst>
            <a:ext uri="{FF2B5EF4-FFF2-40B4-BE49-F238E27FC236}">
              <a16:creationId xmlns:a16="http://schemas.microsoft.com/office/drawing/2014/main" id="{00000000-0008-0000-0B00-00005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2020" y="5448300"/>
          <a:ext cx="289560" cy="277495"/>
        </a:xfrm>
        <a:prstGeom prst="rect">
          <a:avLst/>
        </a:prstGeom>
      </xdr:spPr>
    </xdr:pic>
    <xdr:clientData/>
  </xdr:oneCellAnchor>
  <xdr:oneCellAnchor>
    <xdr:from>
      <xdr:col>12</xdr:col>
      <xdr:colOff>457200</xdr:colOff>
      <xdr:row>22</xdr:row>
      <xdr:rowOff>2540</xdr:rowOff>
    </xdr:from>
    <xdr:ext cx="304800" cy="283210"/>
    <xdr:pic>
      <xdr:nvPicPr>
        <xdr:cNvPr id="84" name="Image 83">
          <a:extLst>
            <a:ext uri="{FF2B5EF4-FFF2-40B4-BE49-F238E27FC236}">
              <a16:creationId xmlns:a16="http://schemas.microsoft.com/office/drawing/2014/main" id="{00000000-0008-0000-0B00-000054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19160" y="6151880"/>
          <a:ext cx="304800" cy="283210"/>
        </a:xfrm>
        <a:prstGeom prst="rect">
          <a:avLst/>
        </a:prstGeom>
      </xdr:spPr>
    </xdr:pic>
    <xdr:clientData/>
  </xdr:oneCellAnchor>
  <xdr:oneCellAnchor>
    <xdr:from>
      <xdr:col>12</xdr:col>
      <xdr:colOff>503555</xdr:colOff>
      <xdr:row>24</xdr:row>
      <xdr:rowOff>257810</xdr:rowOff>
    </xdr:from>
    <xdr:ext cx="250825" cy="263525"/>
    <xdr:pic>
      <xdr:nvPicPr>
        <xdr:cNvPr id="85" name="Image 84">
          <a:extLst>
            <a:ext uri="{FF2B5EF4-FFF2-40B4-BE49-F238E27FC236}">
              <a16:creationId xmlns:a16="http://schemas.microsoft.com/office/drawing/2014/main" id="{00000000-0008-0000-0B00-000055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65515" y="7016750"/>
          <a:ext cx="250825" cy="263525"/>
        </a:xfrm>
        <a:prstGeom prst="rect">
          <a:avLst/>
        </a:prstGeom>
        <a:noFill/>
      </xdr:spPr>
    </xdr:pic>
    <xdr:clientData/>
  </xdr:oneCellAnchor>
  <xdr:oneCellAnchor>
    <xdr:from>
      <xdr:col>12</xdr:col>
      <xdr:colOff>463550</xdr:colOff>
      <xdr:row>27</xdr:row>
      <xdr:rowOff>54610</xdr:rowOff>
    </xdr:from>
    <xdr:ext cx="283210" cy="243840"/>
    <xdr:pic>
      <xdr:nvPicPr>
        <xdr:cNvPr id="86" name="Image 85">
          <a:extLst>
            <a:ext uri="{FF2B5EF4-FFF2-40B4-BE49-F238E27FC236}">
              <a16:creationId xmlns:a16="http://schemas.microsoft.com/office/drawing/2014/main" id="{00000000-0008-0000-0B00-000056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25510" y="7727950"/>
          <a:ext cx="283210" cy="243840"/>
        </a:xfrm>
        <a:prstGeom prst="rect">
          <a:avLst/>
        </a:prstGeom>
      </xdr:spPr>
    </xdr:pic>
    <xdr:clientData/>
  </xdr:oneCellAnchor>
  <xdr:twoCellAnchor>
    <xdr:from>
      <xdr:col>19</xdr:col>
      <xdr:colOff>76200</xdr:colOff>
      <xdr:row>2</xdr:row>
      <xdr:rowOff>144780</xdr:rowOff>
    </xdr:from>
    <xdr:to>
      <xdr:col>19</xdr:col>
      <xdr:colOff>434340</xdr:colOff>
      <xdr:row>2</xdr:row>
      <xdr:rowOff>144780</xdr:rowOff>
    </xdr:to>
    <xdr:cxnSp macro="">
      <xdr:nvCxnSpPr>
        <xdr:cNvPr id="87" name="Connecteur droit avec flèche 86">
          <a:extLst>
            <a:ext uri="{FF2B5EF4-FFF2-40B4-BE49-F238E27FC236}">
              <a16:creationId xmlns:a16="http://schemas.microsoft.com/office/drawing/2014/main" id="{00000000-0008-0000-0B00-000057000000}"/>
            </a:ext>
          </a:extLst>
        </xdr:cNvPr>
        <xdr:cNvCxnSpPr/>
      </xdr:nvCxnSpPr>
      <xdr:spPr>
        <a:xfrm flipH="1">
          <a:off x="13853160" y="701040"/>
          <a:ext cx="35814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91440</xdr:colOff>
      <xdr:row>38</xdr:row>
      <xdr:rowOff>137160</xdr:rowOff>
    </xdr:from>
    <xdr:to>
      <xdr:col>29</xdr:col>
      <xdr:colOff>53340</xdr:colOff>
      <xdr:row>38</xdr:row>
      <xdr:rowOff>137160</xdr:rowOff>
    </xdr:to>
    <xdr:cxnSp macro="">
      <xdr:nvCxnSpPr>
        <xdr:cNvPr id="88" name="Connecteur droit avec flèche 87">
          <a:extLst>
            <a:ext uri="{FF2B5EF4-FFF2-40B4-BE49-F238E27FC236}">
              <a16:creationId xmlns:a16="http://schemas.microsoft.com/office/drawing/2014/main" id="{00000000-0008-0000-0B00-000058000000}"/>
            </a:ext>
          </a:extLst>
        </xdr:cNvPr>
        <xdr:cNvCxnSpPr/>
      </xdr:nvCxnSpPr>
      <xdr:spPr>
        <a:xfrm flipH="1">
          <a:off x="20200620" y="11140440"/>
          <a:ext cx="64008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23</xdr:col>
      <xdr:colOff>480060</xdr:colOff>
      <xdr:row>19</xdr:row>
      <xdr:rowOff>213360</xdr:rowOff>
    </xdr:from>
    <xdr:ext cx="289560" cy="277495"/>
    <xdr:pic>
      <xdr:nvPicPr>
        <xdr:cNvPr id="89" name="Image 88">
          <a:extLst>
            <a:ext uri="{FF2B5EF4-FFF2-40B4-BE49-F238E27FC236}">
              <a16:creationId xmlns:a16="http://schemas.microsoft.com/office/drawing/2014/main" id="{00000000-0008-0000-0B00-000059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44900" y="5448300"/>
          <a:ext cx="289560" cy="277495"/>
        </a:xfrm>
        <a:prstGeom prst="rect">
          <a:avLst/>
        </a:prstGeom>
      </xdr:spPr>
    </xdr:pic>
    <xdr:clientData/>
  </xdr:oneCellAnchor>
  <xdr:oneCellAnchor>
    <xdr:from>
      <xdr:col>23</xdr:col>
      <xdr:colOff>457200</xdr:colOff>
      <xdr:row>22</xdr:row>
      <xdr:rowOff>2540</xdr:rowOff>
    </xdr:from>
    <xdr:ext cx="304800" cy="283210"/>
    <xdr:pic>
      <xdr:nvPicPr>
        <xdr:cNvPr id="90" name="Image 89">
          <a:extLst>
            <a:ext uri="{FF2B5EF4-FFF2-40B4-BE49-F238E27FC236}">
              <a16:creationId xmlns:a16="http://schemas.microsoft.com/office/drawing/2014/main" id="{00000000-0008-0000-0B00-00005A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22040" y="6151880"/>
          <a:ext cx="304800" cy="283210"/>
        </a:xfrm>
        <a:prstGeom prst="rect">
          <a:avLst/>
        </a:prstGeom>
      </xdr:spPr>
    </xdr:pic>
    <xdr:clientData/>
  </xdr:oneCellAnchor>
  <xdr:oneCellAnchor>
    <xdr:from>
      <xdr:col>23</xdr:col>
      <xdr:colOff>503555</xdr:colOff>
      <xdr:row>24</xdr:row>
      <xdr:rowOff>257810</xdr:rowOff>
    </xdr:from>
    <xdr:ext cx="250825" cy="263525"/>
    <xdr:pic>
      <xdr:nvPicPr>
        <xdr:cNvPr id="91" name="Image 90">
          <a:extLst>
            <a:ext uri="{FF2B5EF4-FFF2-40B4-BE49-F238E27FC236}">
              <a16:creationId xmlns:a16="http://schemas.microsoft.com/office/drawing/2014/main" id="{00000000-0008-0000-0B00-00005B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68395" y="7016750"/>
          <a:ext cx="250825" cy="263525"/>
        </a:xfrm>
        <a:prstGeom prst="rect">
          <a:avLst/>
        </a:prstGeom>
        <a:noFill/>
      </xdr:spPr>
    </xdr:pic>
    <xdr:clientData/>
  </xdr:oneCellAnchor>
  <xdr:oneCellAnchor>
    <xdr:from>
      <xdr:col>23</xdr:col>
      <xdr:colOff>463550</xdr:colOff>
      <xdr:row>27</xdr:row>
      <xdr:rowOff>54610</xdr:rowOff>
    </xdr:from>
    <xdr:ext cx="283210" cy="243840"/>
    <xdr:pic>
      <xdr:nvPicPr>
        <xdr:cNvPr id="92" name="Image 91">
          <a:extLst>
            <a:ext uri="{FF2B5EF4-FFF2-40B4-BE49-F238E27FC236}">
              <a16:creationId xmlns:a16="http://schemas.microsoft.com/office/drawing/2014/main" id="{00000000-0008-0000-0B00-00005C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28390" y="7727950"/>
          <a:ext cx="283210" cy="243840"/>
        </a:xfrm>
        <a:prstGeom prst="rect">
          <a:avLst/>
        </a:prstGeom>
      </xdr:spPr>
    </xdr:pic>
    <xdr:clientData/>
  </xdr:oneCellAnchor>
  <xdr:twoCellAnchor>
    <xdr:from>
      <xdr:col>39</xdr:col>
      <xdr:colOff>91440</xdr:colOff>
      <xdr:row>38</xdr:row>
      <xdr:rowOff>137160</xdr:rowOff>
    </xdr:from>
    <xdr:to>
      <xdr:col>40</xdr:col>
      <xdr:colOff>53340</xdr:colOff>
      <xdr:row>38</xdr:row>
      <xdr:rowOff>137160</xdr:rowOff>
    </xdr:to>
    <xdr:cxnSp macro="">
      <xdr:nvCxnSpPr>
        <xdr:cNvPr id="93" name="Connecteur droit avec flèche 92">
          <a:extLst>
            <a:ext uri="{FF2B5EF4-FFF2-40B4-BE49-F238E27FC236}">
              <a16:creationId xmlns:a16="http://schemas.microsoft.com/office/drawing/2014/main" id="{00000000-0008-0000-0B00-00005D000000}"/>
            </a:ext>
          </a:extLst>
        </xdr:cNvPr>
        <xdr:cNvCxnSpPr/>
      </xdr:nvCxnSpPr>
      <xdr:spPr>
        <a:xfrm flipH="1">
          <a:off x="28094940" y="11140440"/>
          <a:ext cx="64008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34</xdr:col>
      <xdr:colOff>480060</xdr:colOff>
      <xdr:row>19</xdr:row>
      <xdr:rowOff>213360</xdr:rowOff>
    </xdr:from>
    <xdr:ext cx="289560" cy="277495"/>
    <xdr:pic>
      <xdr:nvPicPr>
        <xdr:cNvPr id="94" name="Image 93">
          <a:extLst>
            <a:ext uri="{FF2B5EF4-FFF2-40B4-BE49-F238E27FC236}">
              <a16:creationId xmlns:a16="http://schemas.microsoft.com/office/drawing/2014/main" id="{00000000-0008-0000-0B00-00005E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239220" y="5448300"/>
          <a:ext cx="289560" cy="277495"/>
        </a:xfrm>
        <a:prstGeom prst="rect">
          <a:avLst/>
        </a:prstGeom>
      </xdr:spPr>
    </xdr:pic>
    <xdr:clientData/>
  </xdr:oneCellAnchor>
  <xdr:oneCellAnchor>
    <xdr:from>
      <xdr:col>34</xdr:col>
      <xdr:colOff>457200</xdr:colOff>
      <xdr:row>22</xdr:row>
      <xdr:rowOff>2540</xdr:rowOff>
    </xdr:from>
    <xdr:ext cx="304800" cy="283210"/>
    <xdr:pic>
      <xdr:nvPicPr>
        <xdr:cNvPr id="95" name="Image 94">
          <a:extLst>
            <a:ext uri="{FF2B5EF4-FFF2-40B4-BE49-F238E27FC236}">
              <a16:creationId xmlns:a16="http://schemas.microsoft.com/office/drawing/2014/main" id="{00000000-0008-0000-0B00-00005F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216360" y="6151880"/>
          <a:ext cx="304800" cy="283210"/>
        </a:xfrm>
        <a:prstGeom prst="rect">
          <a:avLst/>
        </a:prstGeom>
      </xdr:spPr>
    </xdr:pic>
    <xdr:clientData/>
  </xdr:oneCellAnchor>
  <xdr:oneCellAnchor>
    <xdr:from>
      <xdr:col>34</xdr:col>
      <xdr:colOff>503555</xdr:colOff>
      <xdr:row>24</xdr:row>
      <xdr:rowOff>257810</xdr:rowOff>
    </xdr:from>
    <xdr:ext cx="250825" cy="263525"/>
    <xdr:pic>
      <xdr:nvPicPr>
        <xdr:cNvPr id="96" name="Image 95">
          <a:extLst>
            <a:ext uri="{FF2B5EF4-FFF2-40B4-BE49-F238E27FC236}">
              <a16:creationId xmlns:a16="http://schemas.microsoft.com/office/drawing/2014/main" id="{00000000-0008-0000-0B00-000060000000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62715" y="7016750"/>
          <a:ext cx="250825" cy="263525"/>
        </a:xfrm>
        <a:prstGeom prst="rect">
          <a:avLst/>
        </a:prstGeom>
        <a:noFill/>
      </xdr:spPr>
    </xdr:pic>
    <xdr:clientData/>
  </xdr:oneCellAnchor>
  <xdr:oneCellAnchor>
    <xdr:from>
      <xdr:col>34</xdr:col>
      <xdr:colOff>463550</xdr:colOff>
      <xdr:row>27</xdr:row>
      <xdr:rowOff>54610</xdr:rowOff>
    </xdr:from>
    <xdr:ext cx="283210" cy="243840"/>
    <xdr:pic>
      <xdr:nvPicPr>
        <xdr:cNvPr id="97" name="Image 96">
          <a:extLst>
            <a:ext uri="{FF2B5EF4-FFF2-40B4-BE49-F238E27FC236}">
              <a16:creationId xmlns:a16="http://schemas.microsoft.com/office/drawing/2014/main" id="{00000000-0008-0000-0B00-000061000000}"/>
            </a:ext>
          </a:extLst>
        </xdr:cNvPr>
        <xdr:cNvPicPr/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222710" y="7727950"/>
          <a:ext cx="283210" cy="24384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</xdr:colOff>
          <xdr:row>8</xdr:row>
          <xdr:rowOff>175260</xdr:rowOff>
        </xdr:from>
        <xdr:to>
          <xdr:col>12</xdr:col>
          <xdr:colOff>320040</xdr:colOff>
          <xdr:row>10</xdr:row>
          <xdr:rowOff>76200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B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11</xdr:row>
          <xdr:rowOff>22860</xdr:rowOff>
        </xdr:from>
        <xdr:to>
          <xdr:col>12</xdr:col>
          <xdr:colOff>327660</xdr:colOff>
          <xdr:row>12</xdr:row>
          <xdr:rowOff>205740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B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C1:U21"/>
  <sheetViews>
    <sheetView showGridLines="0" tabSelected="1" workbookViewId="0">
      <selection activeCell="C6" sqref="C6"/>
    </sheetView>
  </sheetViews>
  <sheetFormatPr baseColWidth="10" defaultRowHeight="14.4" x14ac:dyDescent="0.3"/>
  <cols>
    <col min="1" max="16" width="11.5546875" style="356"/>
    <col min="17" max="21" width="11.5546875" style="594"/>
    <col min="22" max="16384" width="11.5546875" style="356"/>
  </cols>
  <sheetData>
    <row r="1" spans="10:21" s="427" customFormat="1" x14ac:dyDescent="0.3">
      <c r="Q1" s="592"/>
      <c r="R1" s="592"/>
      <c r="S1" s="592"/>
      <c r="T1" s="592"/>
      <c r="U1" s="592"/>
    </row>
    <row r="2" spans="10:21" s="427" customFormat="1" x14ac:dyDescent="0.3">
      <c r="Q2" s="592"/>
      <c r="R2" s="592"/>
      <c r="S2" s="592"/>
      <c r="T2" s="592"/>
      <c r="U2" s="592"/>
    </row>
    <row r="3" spans="10:21" s="427" customFormat="1" ht="15.6" x14ac:dyDescent="0.3">
      <c r="Q3" s="592"/>
      <c r="R3" s="597" t="s">
        <v>354</v>
      </c>
      <c r="S3" s="592"/>
      <c r="T3" s="592"/>
      <c r="U3" s="592"/>
    </row>
    <row r="4" spans="10:21" s="427" customFormat="1" x14ac:dyDescent="0.3">
      <c r="M4" s="831" t="s">
        <v>470</v>
      </c>
      <c r="Q4" s="592"/>
      <c r="R4" s="592"/>
      <c r="S4" s="592"/>
      <c r="T4" s="592"/>
      <c r="U4" s="592"/>
    </row>
    <row r="5" spans="10:21" s="427" customFormat="1" x14ac:dyDescent="0.3">
      <c r="N5" s="427" t="s">
        <v>471</v>
      </c>
      <c r="Q5" s="592"/>
      <c r="R5" s="593"/>
      <c r="S5" s="592" t="s">
        <v>342</v>
      </c>
      <c r="T5" s="592"/>
      <c r="U5" s="592"/>
    </row>
    <row r="6" spans="10:21" s="427" customFormat="1" x14ac:dyDescent="0.3">
      <c r="N6" s="427" t="s">
        <v>472</v>
      </c>
      <c r="Q6" s="592"/>
      <c r="R6" s="592"/>
      <c r="S6" s="592"/>
      <c r="T6" s="592"/>
      <c r="U6" s="592"/>
    </row>
    <row r="7" spans="10:21" s="427" customFormat="1" x14ac:dyDescent="0.3">
      <c r="N7" s="427" t="s">
        <v>473</v>
      </c>
      <c r="Q7" s="592"/>
      <c r="R7" s="596"/>
      <c r="S7" s="592" t="s">
        <v>343</v>
      </c>
      <c r="T7" s="592"/>
      <c r="U7" s="592"/>
    </row>
    <row r="8" spans="10:21" s="427" customFormat="1" x14ac:dyDescent="0.3">
      <c r="N8" s="427" t="s">
        <v>474</v>
      </c>
      <c r="Q8" s="592"/>
      <c r="R8" s="592"/>
      <c r="S8" s="592"/>
      <c r="T8" s="592"/>
      <c r="U8" s="592"/>
    </row>
    <row r="9" spans="10:21" s="427" customFormat="1" x14ac:dyDescent="0.3">
      <c r="J9" s="427" t="s">
        <v>468</v>
      </c>
      <c r="N9" s="427" t="s">
        <v>475</v>
      </c>
      <c r="Q9" s="592"/>
      <c r="R9" s="595"/>
      <c r="S9" s="592" t="s">
        <v>344</v>
      </c>
      <c r="T9" s="592"/>
      <c r="U9" s="592"/>
    </row>
    <row r="10" spans="10:21" s="427" customFormat="1" x14ac:dyDescent="0.3">
      <c r="N10" s="427" t="s">
        <v>476</v>
      </c>
      <c r="Q10" s="592"/>
      <c r="R10" s="592"/>
      <c r="S10" s="592"/>
      <c r="T10" s="592"/>
      <c r="U10" s="592"/>
    </row>
    <row r="11" spans="10:21" s="427" customFormat="1" x14ac:dyDescent="0.3">
      <c r="N11" s="427" t="s">
        <v>478</v>
      </c>
      <c r="Q11" s="592"/>
      <c r="R11" s="613" t="s">
        <v>355</v>
      </c>
      <c r="S11" s="592" t="s">
        <v>356</v>
      </c>
      <c r="T11" s="592"/>
      <c r="U11" s="592"/>
    </row>
    <row r="12" spans="10:21" s="427" customFormat="1" x14ac:dyDescent="0.3">
      <c r="M12" s="831" t="s">
        <v>477</v>
      </c>
      <c r="Q12" s="592"/>
      <c r="R12" s="592"/>
      <c r="S12" s="592"/>
      <c r="T12" s="592"/>
      <c r="U12" s="592"/>
    </row>
    <row r="13" spans="10:21" s="427" customFormat="1" x14ac:dyDescent="0.3">
      <c r="N13" s="427" t="s">
        <v>479</v>
      </c>
      <c r="Q13" s="592"/>
      <c r="R13" s="592"/>
      <c r="S13" s="592"/>
      <c r="T13" s="592"/>
      <c r="U13" s="592"/>
    </row>
    <row r="14" spans="10:21" s="427" customFormat="1" x14ac:dyDescent="0.3">
      <c r="J14" s="427" t="s">
        <v>469</v>
      </c>
      <c r="N14" s="427" t="s">
        <v>480</v>
      </c>
      <c r="Q14" s="592"/>
      <c r="R14" s="592"/>
      <c r="S14" s="592"/>
      <c r="T14" s="592"/>
      <c r="U14" s="592"/>
    </row>
    <row r="15" spans="10:21" s="427" customFormat="1" x14ac:dyDescent="0.3">
      <c r="N15" s="427" t="s">
        <v>481</v>
      </c>
      <c r="Q15" s="592"/>
      <c r="R15" s="592"/>
      <c r="S15" s="592"/>
      <c r="T15" s="592"/>
      <c r="U15" s="592"/>
    </row>
    <row r="16" spans="10:21" s="427" customFormat="1" x14ac:dyDescent="0.3">
      <c r="Q16" s="592"/>
      <c r="R16" s="592"/>
      <c r="S16" s="592"/>
      <c r="T16" s="592"/>
      <c r="U16" s="592"/>
    </row>
    <row r="17" spans="3:21" s="427" customFormat="1" ht="59.4" x14ac:dyDescent="0.95">
      <c r="C17" s="428" t="s">
        <v>341</v>
      </c>
      <c r="Q17" s="592"/>
      <c r="R17" s="592"/>
      <c r="S17" s="592"/>
      <c r="T17" s="592"/>
      <c r="U17" s="592"/>
    </row>
    <row r="18" spans="3:21" s="427" customFormat="1" x14ac:dyDescent="0.3">
      <c r="Q18" s="592"/>
      <c r="R18" s="592"/>
      <c r="S18" s="592"/>
      <c r="T18" s="592"/>
      <c r="U18" s="592"/>
    </row>
    <row r="19" spans="3:21" s="427" customFormat="1" x14ac:dyDescent="0.3">
      <c r="Q19" s="592"/>
      <c r="R19" s="592"/>
      <c r="S19" s="592"/>
      <c r="T19" s="592"/>
      <c r="U19" s="592"/>
    </row>
    <row r="20" spans="3:21" s="427" customFormat="1" x14ac:dyDescent="0.3">
      <c r="Q20" s="592"/>
      <c r="R20" s="592"/>
      <c r="S20" s="592"/>
      <c r="T20" s="592"/>
      <c r="U20" s="592"/>
    </row>
    <row r="21" spans="3:21" s="427" customFormat="1" x14ac:dyDescent="0.3">
      <c r="Q21" s="592"/>
      <c r="R21" s="592"/>
      <c r="S21" s="592"/>
      <c r="T21" s="592"/>
      <c r="U21" s="592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Copie_décision">
                <anchor moveWithCells="1" sizeWithCells="1">
                  <from>
                    <xdr:col>9</xdr:col>
                    <xdr:colOff>91440</xdr:colOff>
                    <xdr:row>5</xdr:row>
                    <xdr:rowOff>45720</xdr:rowOff>
                  </from>
                  <to>
                    <xdr:col>11</xdr:col>
                    <xdr:colOff>662940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Efface_dec">
                <anchor moveWithCells="1" sizeWithCells="1">
                  <from>
                    <xdr:col>9</xdr:col>
                    <xdr:colOff>76200</xdr:colOff>
                    <xdr:row>9</xdr:row>
                    <xdr:rowOff>175260</xdr:rowOff>
                  </from>
                  <to>
                    <xdr:col>11</xdr:col>
                    <xdr:colOff>647700</xdr:colOff>
                    <xdr:row>12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H308"/>
  <sheetViews>
    <sheetView topLeftCell="B114" zoomScaleNormal="100" workbookViewId="0">
      <selection activeCell="H108" sqref="H108"/>
    </sheetView>
  </sheetViews>
  <sheetFormatPr baseColWidth="10" defaultRowHeight="13.8" x14ac:dyDescent="0.3"/>
  <cols>
    <col min="1" max="1" width="33.77734375" style="1" customWidth="1"/>
    <col min="2" max="2" width="23.5546875" style="1" customWidth="1"/>
    <col min="3" max="21" width="15.6640625" style="1" customWidth="1"/>
    <col min="22" max="24" width="11.5546875" style="1"/>
    <col min="25" max="32" width="11.6640625" style="1" bestFit="1" customWidth="1"/>
    <col min="33" max="33" width="14" style="1" customWidth="1"/>
    <col min="34" max="37" width="11.6640625" style="1" bestFit="1" customWidth="1"/>
    <col min="38" max="16384" width="11.5546875" style="1"/>
  </cols>
  <sheetData>
    <row r="1" spans="1:34" ht="29.4" customHeight="1" x14ac:dyDescent="0.3">
      <c r="A1" s="30" t="s">
        <v>152</v>
      </c>
      <c r="C1" s="302" t="s">
        <v>15</v>
      </c>
      <c r="D1" s="302" t="s">
        <v>16</v>
      </c>
      <c r="E1" s="302" t="s">
        <v>17</v>
      </c>
      <c r="F1" s="301" t="s">
        <v>18</v>
      </c>
      <c r="G1" s="4"/>
    </row>
    <row r="2" spans="1:34" ht="25.8" customHeight="1" x14ac:dyDescent="0.3">
      <c r="B2" s="2" t="s">
        <v>140</v>
      </c>
      <c r="C2" s="429">
        <v>400</v>
      </c>
      <c r="D2" s="430">
        <v>400</v>
      </c>
      <c r="E2" s="430">
        <v>300</v>
      </c>
      <c r="F2" s="431">
        <v>400</v>
      </c>
      <c r="G2" s="24">
        <f>SUM(C2:F2)</f>
        <v>1500</v>
      </c>
      <c r="I2" s="612" t="s">
        <v>357</v>
      </c>
    </row>
    <row r="3" spans="1:34" ht="25.8" customHeight="1" x14ac:dyDescent="0.3">
      <c r="B3" s="2" t="s">
        <v>141</v>
      </c>
      <c r="C3" s="432">
        <v>7</v>
      </c>
    </row>
    <row r="4" spans="1:34" ht="25.8" customHeight="1" x14ac:dyDescent="0.3">
      <c r="A4" s="1" t="s">
        <v>156</v>
      </c>
      <c r="B4" s="2" t="s">
        <v>0</v>
      </c>
      <c r="C4" s="616" t="s">
        <v>64</v>
      </c>
      <c r="F4" s="619" t="s">
        <v>318</v>
      </c>
      <c r="G4" s="305">
        <v>1</v>
      </c>
      <c r="H4" s="1" t="s">
        <v>319</v>
      </c>
      <c r="J4" s="612" t="s">
        <v>358</v>
      </c>
    </row>
    <row r="5" spans="1:34" ht="25.8" customHeight="1" x14ac:dyDescent="0.3">
      <c r="B5" s="2" t="s">
        <v>1</v>
      </c>
      <c r="C5" s="617" t="s">
        <v>65</v>
      </c>
      <c r="D5" s="3"/>
      <c r="F5" s="31" t="s">
        <v>373</v>
      </c>
      <c r="G5" s="305">
        <v>1</v>
      </c>
      <c r="J5" s="612" t="s">
        <v>387</v>
      </c>
    </row>
    <row r="6" spans="1:34" ht="25.8" customHeight="1" x14ac:dyDescent="0.3">
      <c r="B6" s="2" t="s">
        <v>2</v>
      </c>
      <c r="C6" s="618" t="s">
        <v>66</v>
      </c>
      <c r="E6" s="33">
        <f>AVERAGE(E10:E19)</f>
        <v>7.3999999999999996E-2</v>
      </c>
      <c r="F6" s="33">
        <f>AVERAGE(F10:F19)</f>
        <v>0.124</v>
      </c>
      <c r="G6" s="20"/>
    </row>
    <row r="8" spans="1:34" ht="18.600000000000001" customHeight="1" thickBot="1" x14ac:dyDescent="0.35">
      <c r="A8" s="30" t="s">
        <v>154</v>
      </c>
      <c r="E8" s="783" t="s">
        <v>39</v>
      </c>
      <c r="F8" s="784"/>
      <c r="G8" s="785"/>
      <c r="H8" s="783" t="s">
        <v>148</v>
      </c>
      <c r="I8" s="784"/>
      <c r="J8" s="785"/>
      <c r="K8" s="777" t="s">
        <v>40</v>
      </c>
      <c r="L8" s="778"/>
      <c r="M8" s="779"/>
      <c r="N8" s="777" t="s">
        <v>58</v>
      </c>
      <c r="O8" s="778"/>
      <c r="P8" s="779"/>
      <c r="Q8" s="777" t="s">
        <v>379</v>
      </c>
      <c r="R8" s="778"/>
      <c r="S8" s="779"/>
      <c r="T8" s="777" t="s">
        <v>250</v>
      </c>
      <c r="U8" s="778"/>
      <c r="V8" s="779"/>
      <c r="W8" s="780" t="s">
        <v>118</v>
      </c>
      <c r="X8" s="781"/>
      <c r="Y8" s="781"/>
      <c r="Z8" s="781"/>
      <c r="AA8" s="781"/>
      <c r="AB8" s="781"/>
      <c r="AC8" s="781"/>
      <c r="AD8" s="781"/>
      <c r="AE8" s="781"/>
      <c r="AF8" s="781"/>
    </row>
    <row r="9" spans="1:34" ht="29.4" customHeight="1" thickBot="1" x14ac:dyDescent="0.35">
      <c r="C9" s="5" t="s">
        <v>36</v>
      </c>
      <c r="D9" s="6" t="s">
        <v>37</v>
      </c>
      <c r="E9" s="654" t="s">
        <v>411</v>
      </c>
      <c r="F9" s="655" t="s">
        <v>412</v>
      </c>
      <c r="G9" s="655" t="s">
        <v>413</v>
      </c>
      <c r="H9" s="654" t="s">
        <v>414</v>
      </c>
      <c r="I9" s="655" t="s">
        <v>415</v>
      </c>
      <c r="J9" s="655" t="s">
        <v>416</v>
      </c>
      <c r="K9" s="9" t="str">
        <f>'Historique T=0'!C9</f>
        <v>junior</v>
      </c>
      <c r="L9" s="10" t="str">
        <f>'Historique T=0'!D9</f>
        <v>senior</v>
      </c>
      <c r="M9" s="10" t="str">
        <f>'Historique T=0'!E9</f>
        <v>premium</v>
      </c>
      <c r="N9" s="10" t="str">
        <f t="shared" ref="N9:S9" si="0">K9</f>
        <v>junior</v>
      </c>
      <c r="O9" s="9" t="str">
        <f t="shared" si="0"/>
        <v>senior</v>
      </c>
      <c r="P9" s="9" t="str">
        <f t="shared" si="0"/>
        <v>premium</v>
      </c>
      <c r="Q9" s="11" t="str">
        <f t="shared" si="0"/>
        <v>junior</v>
      </c>
      <c r="R9" s="11" t="str">
        <f t="shared" si="0"/>
        <v>senior</v>
      </c>
      <c r="S9" s="11" t="str">
        <f t="shared" si="0"/>
        <v>premium</v>
      </c>
      <c r="T9" s="11" t="str">
        <f>Q9</f>
        <v>junior</v>
      </c>
      <c r="U9" s="11" t="str">
        <f>R9</f>
        <v>senior</v>
      </c>
      <c r="V9" s="11" t="str">
        <f>S9</f>
        <v>premium</v>
      </c>
      <c r="W9" s="307" t="s">
        <v>5</v>
      </c>
      <c r="X9" s="307" t="s">
        <v>31</v>
      </c>
      <c r="Y9" s="307" t="s">
        <v>7</v>
      </c>
      <c r="Z9" s="307" t="s">
        <v>8</v>
      </c>
      <c r="AA9" s="307" t="s">
        <v>63</v>
      </c>
      <c r="AB9" s="307" t="s">
        <v>32</v>
      </c>
      <c r="AC9" s="307" t="s">
        <v>10</v>
      </c>
      <c r="AD9" s="307" t="s">
        <v>33</v>
      </c>
      <c r="AE9" s="307" t="s">
        <v>34</v>
      </c>
      <c r="AF9" s="308" t="s">
        <v>12</v>
      </c>
      <c r="AG9" s="306" t="s">
        <v>316</v>
      </c>
    </row>
    <row r="10" spans="1:34" ht="29.4" customHeight="1" x14ac:dyDescent="0.3">
      <c r="A10" s="433" t="s">
        <v>4</v>
      </c>
      <c r="B10" s="443" t="s">
        <v>5</v>
      </c>
      <c r="C10" s="436">
        <v>0.5</v>
      </c>
      <c r="D10" s="13">
        <f>C10*60</f>
        <v>30</v>
      </c>
      <c r="E10" s="650">
        <v>7.0000000000000007E-2</v>
      </c>
      <c r="F10" s="650">
        <v>0.1</v>
      </c>
      <c r="G10" s="650">
        <v>0.15</v>
      </c>
      <c r="H10" s="650">
        <v>-0.05</v>
      </c>
      <c r="I10" s="650">
        <v>0</v>
      </c>
      <c r="J10" s="650">
        <v>0.05</v>
      </c>
      <c r="K10" s="445">
        <v>0.5</v>
      </c>
      <c r="L10" s="444">
        <v>0.4</v>
      </c>
      <c r="M10" s="444">
        <v>0.35</v>
      </c>
      <c r="N10" s="446"/>
      <c r="O10" s="446"/>
      <c r="P10" s="446"/>
      <c r="Q10" s="446">
        <v>2500</v>
      </c>
      <c r="R10" s="446">
        <v>4000</v>
      </c>
      <c r="S10" s="446">
        <v>7000</v>
      </c>
      <c r="T10" s="447">
        <v>2.9999999999999997E-4</v>
      </c>
      <c r="U10" s="447">
        <v>2.9999999999999997E-4</v>
      </c>
      <c r="V10" s="448">
        <v>2.9999999999999997E-4</v>
      </c>
      <c r="W10" s="434">
        <v>0</v>
      </c>
      <c r="X10" s="443">
        <v>0.25</v>
      </c>
      <c r="Y10" s="443">
        <v>0</v>
      </c>
      <c r="Z10" s="443">
        <v>0</v>
      </c>
      <c r="AA10" s="443">
        <v>0</v>
      </c>
      <c r="AB10" s="443">
        <v>0</v>
      </c>
      <c r="AC10" s="443">
        <v>0.25</v>
      </c>
      <c r="AD10" s="443">
        <v>0</v>
      </c>
      <c r="AE10" s="443">
        <v>0.15</v>
      </c>
      <c r="AF10" s="449">
        <v>0</v>
      </c>
      <c r="AG10" s="450">
        <v>1.2999999999999999E-2</v>
      </c>
      <c r="AH10" s="612" t="s">
        <v>360</v>
      </c>
    </row>
    <row r="11" spans="1:34" ht="29.4" customHeight="1" thickBot="1" x14ac:dyDescent="0.35">
      <c r="A11" s="15"/>
      <c r="B11" s="442" t="s">
        <v>158</v>
      </c>
      <c r="C11" s="437">
        <v>0.75</v>
      </c>
      <c r="D11" s="16">
        <f t="shared" ref="D11:D19" si="1">C11*60</f>
        <v>45</v>
      </c>
      <c r="E11" s="651">
        <v>0.12</v>
      </c>
      <c r="F11" s="651">
        <v>0.18</v>
      </c>
      <c r="G11" s="651">
        <v>0.3</v>
      </c>
      <c r="H11" s="651">
        <v>-0.05</v>
      </c>
      <c r="I11" s="651">
        <v>0</v>
      </c>
      <c r="J11" s="651">
        <v>0.05</v>
      </c>
      <c r="K11" s="452">
        <v>0.35</v>
      </c>
      <c r="L11" s="451">
        <v>0.4</v>
      </c>
      <c r="M11" s="451">
        <v>0.5</v>
      </c>
      <c r="N11" s="453"/>
      <c r="O11" s="453"/>
      <c r="P11" s="453"/>
      <c r="Q11" s="453">
        <v>8000</v>
      </c>
      <c r="R11" s="453">
        <v>18000</v>
      </c>
      <c r="S11" s="453">
        <v>30000</v>
      </c>
      <c r="T11" s="454">
        <v>5.9999999999999995E-4</v>
      </c>
      <c r="U11" s="454">
        <v>5.0000000000000001E-4</v>
      </c>
      <c r="V11" s="455">
        <v>4.0000000000000002E-4</v>
      </c>
      <c r="W11" s="435">
        <v>0.1</v>
      </c>
      <c r="X11" s="442">
        <v>0</v>
      </c>
      <c r="Y11" s="442">
        <v>0</v>
      </c>
      <c r="Z11" s="442">
        <v>0</v>
      </c>
      <c r="AA11" s="442">
        <v>0</v>
      </c>
      <c r="AB11" s="442">
        <v>0</v>
      </c>
      <c r="AC11" s="442">
        <v>0.1</v>
      </c>
      <c r="AD11" s="442">
        <v>0</v>
      </c>
      <c r="AE11" s="442">
        <v>0.15</v>
      </c>
      <c r="AF11" s="456">
        <v>0</v>
      </c>
      <c r="AG11" s="457">
        <v>1.2999999999999999E-2</v>
      </c>
    </row>
    <row r="12" spans="1:34" ht="29.4" customHeight="1" x14ac:dyDescent="0.3">
      <c r="A12" s="433" t="s">
        <v>6</v>
      </c>
      <c r="B12" s="440" t="s">
        <v>142</v>
      </c>
      <c r="C12" s="438">
        <v>1.5</v>
      </c>
      <c r="D12" s="309">
        <f t="shared" si="1"/>
        <v>90</v>
      </c>
      <c r="E12" s="652">
        <v>0.15</v>
      </c>
      <c r="F12" s="652">
        <v>0.25</v>
      </c>
      <c r="G12" s="652">
        <v>0.4</v>
      </c>
      <c r="H12" s="652">
        <v>-0.05</v>
      </c>
      <c r="I12" s="652">
        <v>0</v>
      </c>
      <c r="J12" s="652">
        <v>7.0000000000000007E-2</v>
      </c>
      <c r="K12" s="459">
        <v>0.25</v>
      </c>
      <c r="L12" s="458">
        <v>0.35</v>
      </c>
      <c r="M12" s="458">
        <v>0.45</v>
      </c>
      <c r="N12" s="460"/>
      <c r="O12" s="460"/>
      <c r="P12" s="460"/>
      <c r="Q12" s="460">
        <v>100000</v>
      </c>
      <c r="R12" s="460">
        <v>150000</v>
      </c>
      <c r="S12" s="460">
        <v>250000</v>
      </c>
      <c r="T12" s="461">
        <v>2.9999999999999997E-4</v>
      </c>
      <c r="U12" s="461">
        <v>2.9999999999999997E-4</v>
      </c>
      <c r="V12" s="462">
        <v>2.9999999999999997E-4</v>
      </c>
      <c r="W12" s="463">
        <v>0</v>
      </c>
      <c r="X12" s="440">
        <v>0</v>
      </c>
      <c r="Y12" s="440">
        <v>0</v>
      </c>
      <c r="Z12" s="440">
        <v>0</v>
      </c>
      <c r="AA12" s="440">
        <v>0</v>
      </c>
      <c r="AB12" s="440">
        <v>0.5</v>
      </c>
      <c r="AC12" s="440">
        <v>0.1</v>
      </c>
      <c r="AD12" s="440">
        <v>0.25</v>
      </c>
      <c r="AE12" s="440">
        <v>0.5</v>
      </c>
      <c r="AF12" s="464">
        <v>0</v>
      </c>
      <c r="AG12" s="465">
        <v>1.2999999999999999E-2</v>
      </c>
    </row>
    <row r="13" spans="1:34" ht="29.4" customHeight="1" x14ac:dyDescent="0.3">
      <c r="A13" s="17"/>
      <c r="B13" s="441" t="s">
        <v>143</v>
      </c>
      <c r="C13" s="439">
        <v>0.75</v>
      </c>
      <c r="D13" s="18">
        <f t="shared" si="1"/>
        <v>45</v>
      </c>
      <c r="E13" s="653">
        <v>7.0000000000000007E-2</v>
      </c>
      <c r="F13" s="653">
        <v>0.12</v>
      </c>
      <c r="G13" s="653">
        <v>0.15</v>
      </c>
      <c r="H13" s="653">
        <v>-0.05</v>
      </c>
      <c r="I13" s="653">
        <v>0</v>
      </c>
      <c r="J13" s="653">
        <v>0.05</v>
      </c>
      <c r="K13" s="467">
        <v>0.3</v>
      </c>
      <c r="L13" s="466">
        <v>0.35</v>
      </c>
      <c r="M13" s="466">
        <v>0.3</v>
      </c>
      <c r="N13" s="468"/>
      <c r="O13" s="468"/>
      <c r="P13" s="468"/>
      <c r="Q13" s="468">
        <v>2000</v>
      </c>
      <c r="R13" s="468">
        <v>4000</v>
      </c>
      <c r="S13" s="468">
        <v>6000</v>
      </c>
      <c r="T13" s="469">
        <v>5.9999999999999995E-4</v>
      </c>
      <c r="U13" s="469">
        <v>5.9999999999999995E-4</v>
      </c>
      <c r="V13" s="462">
        <v>5.9999999999999995E-4</v>
      </c>
      <c r="W13" s="470">
        <v>0</v>
      </c>
      <c r="X13" s="441">
        <v>0</v>
      </c>
      <c r="Y13" s="441">
        <v>0</v>
      </c>
      <c r="Z13" s="441">
        <v>0</v>
      </c>
      <c r="AA13" s="441">
        <v>0.25</v>
      </c>
      <c r="AB13" s="441">
        <v>0.25</v>
      </c>
      <c r="AC13" s="441">
        <v>0</v>
      </c>
      <c r="AD13" s="441">
        <v>0.25</v>
      </c>
      <c r="AE13" s="441">
        <v>0.1</v>
      </c>
      <c r="AF13" s="471">
        <v>0.1</v>
      </c>
      <c r="AG13" s="472">
        <v>1.2999999999999999E-2</v>
      </c>
    </row>
    <row r="14" spans="1:34" ht="29.4" customHeight="1" thickBot="1" x14ac:dyDescent="0.35">
      <c r="A14" s="15"/>
      <c r="B14" s="442" t="s">
        <v>157</v>
      </c>
      <c r="C14" s="437">
        <v>0.5</v>
      </c>
      <c r="D14" s="16">
        <f t="shared" si="1"/>
        <v>30</v>
      </c>
      <c r="E14" s="651">
        <v>0.03</v>
      </c>
      <c r="F14" s="651">
        <v>7.0000000000000007E-2</v>
      </c>
      <c r="G14" s="651">
        <v>0.1</v>
      </c>
      <c r="H14" s="651">
        <v>-0.05</v>
      </c>
      <c r="I14" s="651">
        <v>0</v>
      </c>
      <c r="J14" s="651">
        <v>0.05</v>
      </c>
      <c r="K14" s="452">
        <v>0.3</v>
      </c>
      <c r="L14" s="451">
        <v>0.25</v>
      </c>
      <c r="M14" s="451">
        <v>0.15</v>
      </c>
      <c r="N14" s="453"/>
      <c r="O14" s="453"/>
      <c r="P14" s="453"/>
      <c r="Q14" s="453">
        <v>1500</v>
      </c>
      <c r="R14" s="453">
        <v>2000</v>
      </c>
      <c r="S14" s="453">
        <v>2500</v>
      </c>
      <c r="T14" s="469">
        <v>2.5000000000000001E-3</v>
      </c>
      <c r="U14" s="469">
        <v>2.5000000000000001E-3</v>
      </c>
      <c r="V14" s="462">
        <v>2.5000000000000001E-3</v>
      </c>
      <c r="W14" s="435">
        <v>0</v>
      </c>
      <c r="X14" s="442">
        <v>0</v>
      </c>
      <c r="Y14" s="442">
        <v>0</v>
      </c>
      <c r="Z14" s="442">
        <v>0</v>
      </c>
      <c r="AA14" s="442">
        <v>0</v>
      </c>
      <c r="AB14" s="442">
        <v>0</v>
      </c>
      <c r="AC14" s="442">
        <v>0</v>
      </c>
      <c r="AD14" s="442">
        <v>0.35</v>
      </c>
      <c r="AE14" s="442">
        <v>0.1</v>
      </c>
      <c r="AF14" s="456">
        <v>0.2</v>
      </c>
      <c r="AG14" s="472">
        <v>1.2999999999999999E-2</v>
      </c>
    </row>
    <row r="15" spans="1:34" ht="29.4" customHeight="1" x14ac:dyDescent="0.3">
      <c r="A15" s="433" t="s">
        <v>9</v>
      </c>
      <c r="B15" s="443" t="s">
        <v>32</v>
      </c>
      <c r="C15" s="436">
        <v>0.75</v>
      </c>
      <c r="D15" s="13">
        <f t="shared" si="1"/>
        <v>45</v>
      </c>
      <c r="E15" s="650">
        <v>0.12</v>
      </c>
      <c r="F15" s="650">
        <v>0.2</v>
      </c>
      <c r="G15" s="650">
        <v>0.3</v>
      </c>
      <c r="H15" s="650">
        <v>-0.05</v>
      </c>
      <c r="I15" s="650">
        <v>0</v>
      </c>
      <c r="J15" s="650">
        <v>0.05</v>
      </c>
      <c r="K15" s="445">
        <v>0.35</v>
      </c>
      <c r="L15" s="444">
        <v>0.35</v>
      </c>
      <c r="M15" s="444">
        <v>0.3</v>
      </c>
      <c r="N15" s="446">
        <v>100</v>
      </c>
      <c r="O15" s="446">
        <v>100</v>
      </c>
      <c r="P15" s="446">
        <v>100</v>
      </c>
      <c r="Q15" s="446">
        <v>30</v>
      </c>
      <c r="R15" s="446">
        <v>30</v>
      </c>
      <c r="S15" s="446">
        <v>30</v>
      </c>
      <c r="T15" s="445">
        <v>1</v>
      </c>
      <c r="U15" s="444">
        <v>1</v>
      </c>
      <c r="V15" s="473">
        <v>1</v>
      </c>
      <c r="W15" s="434">
        <v>0</v>
      </c>
      <c r="X15" s="443">
        <v>0.15</v>
      </c>
      <c r="Y15" s="443">
        <v>0</v>
      </c>
      <c r="Z15" s="443">
        <v>0</v>
      </c>
      <c r="AA15" s="443">
        <v>0</v>
      </c>
      <c r="AB15" s="443">
        <v>0</v>
      </c>
      <c r="AC15" s="443">
        <v>0.1</v>
      </c>
      <c r="AD15" s="443">
        <v>0.1</v>
      </c>
      <c r="AE15" s="443">
        <v>0.25</v>
      </c>
      <c r="AF15" s="449">
        <v>0.1</v>
      </c>
      <c r="AG15" s="474">
        <v>0</v>
      </c>
    </row>
    <row r="16" spans="1:34" ht="29.4" customHeight="1" thickBot="1" x14ac:dyDescent="0.35">
      <c r="A16" s="15"/>
      <c r="B16" s="442" t="s">
        <v>10</v>
      </c>
      <c r="C16" s="437">
        <v>0.75</v>
      </c>
      <c r="D16" s="16">
        <f t="shared" si="1"/>
        <v>45</v>
      </c>
      <c r="E16" s="651">
        <v>0.12</v>
      </c>
      <c r="F16" s="651">
        <v>0.2</v>
      </c>
      <c r="G16" s="651">
        <v>0.3</v>
      </c>
      <c r="H16" s="651">
        <v>-0.05</v>
      </c>
      <c r="I16" s="651">
        <v>0</v>
      </c>
      <c r="J16" s="651">
        <v>0.05</v>
      </c>
      <c r="K16" s="452">
        <v>0.2</v>
      </c>
      <c r="L16" s="451">
        <v>0.35</v>
      </c>
      <c r="M16" s="451">
        <v>0.25</v>
      </c>
      <c r="N16" s="453">
        <v>20</v>
      </c>
      <c r="O16" s="453">
        <v>40</v>
      </c>
      <c r="P16" s="453">
        <v>65</v>
      </c>
      <c r="Q16" s="453">
        <v>6</v>
      </c>
      <c r="R16" s="453">
        <v>12</v>
      </c>
      <c r="S16" s="453">
        <v>20</v>
      </c>
      <c r="T16" s="452">
        <v>1</v>
      </c>
      <c r="U16" s="451">
        <v>1</v>
      </c>
      <c r="V16" s="475">
        <v>1</v>
      </c>
      <c r="W16" s="435">
        <v>0</v>
      </c>
      <c r="X16" s="442">
        <v>0.25</v>
      </c>
      <c r="Y16" s="442">
        <v>0</v>
      </c>
      <c r="Z16" s="442">
        <v>0</v>
      </c>
      <c r="AA16" s="442">
        <v>0</v>
      </c>
      <c r="AB16" s="442">
        <v>0.3</v>
      </c>
      <c r="AC16" s="442">
        <v>0</v>
      </c>
      <c r="AD16" s="442">
        <v>0</v>
      </c>
      <c r="AE16" s="442">
        <v>0.15</v>
      </c>
      <c r="AF16" s="456">
        <v>0</v>
      </c>
      <c r="AG16" s="476">
        <v>0</v>
      </c>
    </row>
    <row r="17" spans="1:33" ht="29.4" customHeight="1" x14ac:dyDescent="0.3">
      <c r="A17" s="433" t="s">
        <v>11</v>
      </c>
      <c r="B17" s="443" t="s">
        <v>33</v>
      </c>
      <c r="C17" s="436">
        <v>0.5</v>
      </c>
      <c r="D17" s="13">
        <f t="shared" si="1"/>
        <v>30</v>
      </c>
      <c r="E17" s="650">
        <v>0.03</v>
      </c>
      <c r="F17" s="650">
        <v>0.05</v>
      </c>
      <c r="G17" s="650">
        <v>0.1</v>
      </c>
      <c r="H17" s="650">
        <v>-0.01</v>
      </c>
      <c r="I17" s="650">
        <v>0</v>
      </c>
      <c r="J17" s="650">
        <v>0.02</v>
      </c>
      <c r="K17" s="459">
        <v>0.5</v>
      </c>
      <c r="L17" s="458">
        <v>0.5</v>
      </c>
      <c r="M17" s="458">
        <v>0.5</v>
      </c>
      <c r="N17" s="460">
        <v>20</v>
      </c>
      <c r="O17" s="460">
        <v>25</v>
      </c>
      <c r="P17" s="460">
        <v>50</v>
      </c>
      <c r="Q17" s="460">
        <v>6</v>
      </c>
      <c r="R17" s="460">
        <v>8</v>
      </c>
      <c r="S17" s="460">
        <v>16</v>
      </c>
      <c r="T17" s="459">
        <v>1</v>
      </c>
      <c r="U17" s="458">
        <v>1</v>
      </c>
      <c r="V17" s="477">
        <v>1</v>
      </c>
      <c r="W17" s="463">
        <v>0.25</v>
      </c>
      <c r="X17" s="440">
        <v>0.1</v>
      </c>
      <c r="Y17" s="440">
        <v>0</v>
      </c>
      <c r="Z17" s="440">
        <v>0</v>
      </c>
      <c r="AA17" s="440">
        <v>0</v>
      </c>
      <c r="AB17" s="440">
        <v>0.35</v>
      </c>
      <c r="AC17" s="440">
        <v>0.1</v>
      </c>
      <c r="AD17" s="440">
        <v>0</v>
      </c>
      <c r="AE17" s="440">
        <v>0.5</v>
      </c>
      <c r="AF17" s="464">
        <v>0.25</v>
      </c>
      <c r="AG17" s="478">
        <v>0</v>
      </c>
    </row>
    <row r="18" spans="1:33" ht="29.4" customHeight="1" x14ac:dyDescent="0.3">
      <c r="A18" s="17"/>
      <c r="B18" s="441" t="s">
        <v>34</v>
      </c>
      <c r="C18" s="439">
        <v>1</v>
      </c>
      <c r="D18" s="18">
        <f t="shared" si="1"/>
        <v>60</v>
      </c>
      <c r="E18" s="653">
        <v>0</v>
      </c>
      <c r="F18" s="653">
        <v>0.01</v>
      </c>
      <c r="G18" s="653">
        <v>0.03</v>
      </c>
      <c r="H18" s="653">
        <v>-0.01</v>
      </c>
      <c r="I18" s="653">
        <v>0</v>
      </c>
      <c r="J18" s="653">
        <v>0.02</v>
      </c>
      <c r="K18" s="467">
        <v>0.8</v>
      </c>
      <c r="L18" s="466">
        <v>0.9</v>
      </c>
      <c r="M18" s="466">
        <v>0.95</v>
      </c>
      <c r="N18" s="468">
        <v>20</v>
      </c>
      <c r="O18" s="468">
        <v>25</v>
      </c>
      <c r="P18" s="468">
        <v>25</v>
      </c>
      <c r="Q18" s="468">
        <v>6</v>
      </c>
      <c r="R18" s="468">
        <v>8</v>
      </c>
      <c r="S18" s="468">
        <v>8</v>
      </c>
      <c r="T18" s="467">
        <v>1</v>
      </c>
      <c r="U18" s="466">
        <v>1</v>
      </c>
      <c r="V18" s="479">
        <v>1</v>
      </c>
      <c r="W18" s="470">
        <v>0.35</v>
      </c>
      <c r="X18" s="441">
        <v>0.1</v>
      </c>
      <c r="Y18" s="441">
        <v>0</v>
      </c>
      <c r="Z18" s="441">
        <v>0</v>
      </c>
      <c r="AA18" s="441">
        <v>0</v>
      </c>
      <c r="AB18" s="441">
        <v>0.25</v>
      </c>
      <c r="AC18" s="441">
        <v>0</v>
      </c>
      <c r="AD18" s="441">
        <v>0.5</v>
      </c>
      <c r="AE18" s="441">
        <v>0</v>
      </c>
      <c r="AF18" s="471">
        <v>0.25</v>
      </c>
      <c r="AG18" s="480">
        <v>0</v>
      </c>
    </row>
    <row r="19" spans="1:33" ht="29.4" customHeight="1" thickBot="1" x14ac:dyDescent="0.35">
      <c r="A19" s="15"/>
      <c r="B19" s="442" t="s">
        <v>12</v>
      </c>
      <c r="C19" s="437">
        <v>0.5</v>
      </c>
      <c r="D19" s="16">
        <f t="shared" si="1"/>
        <v>30</v>
      </c>
      <c r="E19" s="651">
        <v>0.03</v>
      </c>
      <c r="F19" s="651">
        <v>0.06</v>
      </c>
      <c r="G19" s="651">
        <v>0.1</v>
      </c>
      <c r="H19" s="651">
        <v>-0.05</v>
      </c>
      <c r="I19" s="651">
        <v>0</v>
      </c>
      <c r="J19" s="651">
        <v>0.05</v>
      </c>
      <c r="K19" s="452">
        <v>0.35</v>
      </c>
      <c r="L19" s="451">
        <v>0.2</v>
      </c>
      <c r="M19" s="451">
        <v>0.2</v>
      </c>
      <c r="N19" s="453">
        <v>75</v>
      </c>
      <c r="O19" s="453">
        <v>75</v>
      </c>
      <c r="P19" s="453">
        <v>75</v>
      </c>
      <c r="Q19" s="453">
        <v>25</v>
      </c>
      <c r="R19" s="453">
        <v>25</v>
      </c>
      <c r="S19" s="453">
        <v>25</v>
      </c>
      <c r="T19" s="452">
        <v>1</v>
      </c>
      <c r="U19" s="451">
        <v>1</v>
      </c>
      <c r="V19" s="475">
        <v>1</v>
      </c>
      <c r="W19" s="435">
        <v>0</v>
      </c>
      <c r="X19" s="442">
        <v>0</v>
      </c>
      <c r="Y19" s="442">
        <v>0</v>
      </c>
      <c r="Z19" s="442">
        <v>0</v>
      </c>
      <c r="AA19" s="442">
        <v>0</v>
      </c>
      <c r="AB19" s="442">
        <v>0</v>
      </c>
      <c r="AC19" s="442">
        <v>0</v>
      </c>
      <c r="AD19" s="442">
        <v>0.2</v>
      </c>
      <c r="AE19" s="442">
        <v>0.4</v>
      </c>
      <c r="AF19" s="456">
        <v>0</v>
      </c>
      <c r="AG19" s="476">
        <v>0</v>
      </c>
    </row>
    <row r="20" spans="1:33" x14ac:dyDescent="0.3">
      <c r="C20" s="19">
        <f>AVERAGE('Historique T=0'!C10:C19)</f>
        <v>0.4</v>
      </c>
      <c r="D20" s="19">
        <f>AVERAGE('Historique T=0'!D10:D19)</f>
        <v>1.1000000000000001</v>
      </c>
      <c r="E20" s="19">
        <f>AVERAGE('Historique T=0'!E10:E19)</f>
        <v>1</v>
      </c>
      <c r="F20" s="19">
        <f>AVERAGE(C20:E20)</f>
        <v>0.83333333333333337</v>
      </c>
    </row>
    <row r="21" spans="1:33" ht="20.399999999999999" customHeight="1" x14ac:dyDescent="0.3">
      <c r="W21" s="612" t="s">
        <v>359</v>
      </c>
    </row>
    <row r="22" spans="1:33" ht="24.6" customHeight="1" x14ac:dyDescent="0.3">
      <c r="A22" s="30" t="s">
        <v>352</v>
      </c>
      <c r="B22" s="31" t="s">
        <v>260</v>
      </c>
      <c r="C22" s="138">
        <v>1</v>
      </c>
      <c r="D22" s="138">
        <v>2</v>
      </c>
      <c r="E22" s="138">
        <v>3</v>
      </c>
      <c r="F22" s="138">
        <v>4</v>
      </c>
    </row>
    <row r="23" spans="1:33" ht="24.6" customHeight="1" x14ac:dyDescent="0.3">
      <c r="A23" s="1" t="s">
        <v>84</v>
      </c>
      <c r="C23" s="481">
        <v>0.4</v>
      </c>
      <c r="D23" s="482">
        <v>0.5</v>
      </c>
      <c r="E23" s="482">
        <v>0.2</v>
      </c>
      <c r="F23" s="483">
        <v>0.4</v>
      </c>
      <c r="H23" s="31" t="s">
        <v>350</v>
      </c>
      <c r="I23" s="610">
        <v>0</v>
      </c>
    </row>
    <row r="24" spans="1:33" ht="24.6" customHeight="1" x14ac:dyDescent="0.3">
      <c r="C24" s="612" t="s">
        <v>361</v>
      </c>
    </row>
    <row r="25" spans="1:33" ht="24.6" customHeight="1" x14ac:dyDescent="0.3">
      <c r="A25" s="1" t="s">
        <v>126</v>
      </c>
      <c r="G25" s="1" t="s">
        <v>128</v>
      </c>
      <c r="M25" s="563" t="str">
        <f>H26</f>
        <v>junior</v>
      </c>
      <c r="N25" s="563" t="str">
        <f>I26</f>
        <v>senior</v>
      </c>
      <c r="O25" s="563" t="str">
        <f>J26</f>
        <v>premium</v>
      </c>
    </row>
    <row r="26" spans="1:33" ht="24.6" customHeight="1" x14ac:dyDescent="0.3">
      <c r="C26" s="21" t="str">
        <f>C4</f>
        <v>junior</v>
      </c>
      <c r="D26" s="21" t="str">
        <f>C5</f>
        <v>senior</v>
      </c>
      <c r="E26" s="21" t="str">
        <f>C6</f>
        <v>premium</v>
      </c>
      <c r="H26" s="21" t="str">
        <f>C26</f>
        <v>junior</v>
      </c>
      <c r="I26" s="21" t="str">
        <f>D26</f>
        <v>senior</v>
      </c>
      <c r="J26" s="21" t="str">
        <f>E26</f>
        <v>premium</v>
      </c>
      <c r="L26" s="96" t="s">
        <v>353</v>
      </c>
      <c r="M26" s="601">
        <v>0</v>
      </c>
      <c r="N26" s="602">
        <v>0</v>
      </c>
      <c r="O26" s="603">
        <v>0</v>
      </c>
    </row>
    <row r="27" spans="1:33" ht="24.6" customHeight="1" x14ac:dyDescent="0.3">
      <c r="B27" s="8" t="s">
        <v>411</v>
      </c>
      <c r="C27" s="484">
        <v>60</v>
      </c>
      <c r="D27" s="485">
        <v>60</v>
      </c>
      <c r="E27" s="486">
        <v>60</v>
      </c>
      <c r="G27" s="8" t="s">
        <v>411</v>
      </c>
      <c r="H27" s="484">
        <v>60</v>
      </c>
      <c r="I27" s="485">
        <v>60</v>
      </c>
      <c r="J27" s="486">
        <v>60</v>
      </c>
    </row>
    <row r="28" spans="1:33" ht="24.6" customHeight="1" x14ac:dyDescent="0.3">
      <c r="B28" s="8" t="s">
        <v>412</v>
      </c>
      <c r="C28" s="487">
        <v>80</v>
      </c>
      <c r="D28" s="488">
        <v>80</v>
      </c>
      <c r="E28" s="489">
        <v>80</v>
      </c>
      <c r="G28" s="8" t="s">
        <v>412</v>
      </c>
      <c r="H28" s="487">
        <v>80</v>
      </c>
      <c r="I28" s="488">
        <v>80</v>
      </c>
      <c r="J28" s="489">
        <v>80</v>
      </c>
    </row>
    <row r="29" spans="1:33" ht="24.6" customHeight="1" x14ac:dyDescent="0.3">
      <c r="B29" s="8" t="s">
        <v>413</v>
      </c>
      <c r="C29" s="490">
        <v>110</v>
      </c>
      <c r="D29" s="491">
        <v>110</v>
      </c>
      <c r="E29" s="492">
        <v>110</v>
      </c>
      <c r="G29" s="8" t="s">
        <v>413</v>
      </c>
      <c r="H29" s="490">
        <v>110</v>
      </c>
      <c r="I29" s="491">
        <v>110</v>
      </c>
      <c r="J29" s="492">
        <v>110</v>
      </c>
    </row>
    <row r="30" spans="1:33" ht="24.6" customHeight="1" x14ac:dyDescent="0.3">
      <c r="A30" s="22" t="s">
        <v>127</v>
      </c>
      <c r="C30" s="21" t="str">
        <f>C26</f>
        <v>junior</v>
      </c>
      <c r="D30" s="21" t="str">
        <f>D26</f>
        <v>senior</v>
      </c>
      <c r="E30" s="21" t="str">
        <f>E26</f>
        <v>premium</v>
      </c>
      <c r="G30" s="22" t="s">
        <v>48</v>
      </c>
      <c r="H30" s="21" t="str">
        <f>H26</f>
        <v>junior</v>
      </c>
      <c r="I30" s="21" t="str">
        <f>I26</f>
        <v>senior</v>
      </c>
      <c r="J30" s="21" t="str">
        <f>J26</f>
        <v>premium</v>
      </c>
    </row>
    <row r="31" spans="1:33" ht="24.6" customHeight="1" x14ac:dyDescent="0.3">
      <c r="B31" s="8" t="s">
        <v>414</v>
      </c>
      <c r="C31" s="493">
        <v>-0.1</v>
      </c>
      <c r="D31" s="494">
        <v>-0.1</v>
      </c>
      <c r="E31" s="495">
        <v>-0.1</v>
      </c>
      <c r="G31" s="630" t="s">
        <v>414</v>
      </c>
      <c r="H31" s="493">
        <v>-0.05</v>
      </c>
      <c r="I31" s="494">
        <v>-0.05</v>
      </c>
      <c r="J31" s="495">
        <v>-0.05</v>
      </c>
    </row>
    <row r="32" spans="1:33" ht="24.6" customHeight="1" x14ac:dyDescent="0.3">
      <c r="B32" s="8" t="s">
        <v>415</v>
      </c>
      <c r="C32" s="496">
        <v>0</v>
      </c>
      <c r="D32" s="497">
        <v>0</v>
      </c>
      <c r="E32" s="498">
        <v>0</v>
      </c>
      <c r="G32" s="630" t="s">
        <v>415</v>
      </c>
      <c r="H32" s="496">
        <v>0</v>
      </c>
      <c r="I32" s="497">
        <v>0</v>
      </c>
      <c r="J32" s="498">
        <v>0</v>
      </c>
    </row>
    <row r="33" spans="1:15" ht="24.6" customHeight="1" x14ac:dyDescent="0.3">
      <c r="B33" s="8" t="s">
        <v>416</v>
      </c>
      <c r="C33" s="499">
        <v>0.2</v>
      </c>
      <c r="D33" s="500">
        <v>0.1</v>
      </c>
      <c r="E33" s="501">
        <v>0.15</v>
      </c>
      <c r="G33" s="630" t="s">
        <v>416</v>
      </c>
      <c r="H33" s="499">
        <v>0.1</v>
      </c>
      <c r="I33" s="500">
        <v>0.05</v>
      </c>
      <c r="J33" s="501">
        <v>7.4999999999999997E-2</v>
      </c>
    </row>
    <row r="34" spans="1:15" ht="24.6" customHeight="1" x14ac:dyDescent="0.3"/>
    <row r="35" spans="1:15" ht="24.6" customHeight="1" x14ac:dyDescent="0.3">
      <c r="A35" s="8"/>
      <c r="B35" s="612" t="s">
        <v>362</v>
      </c>
    </row>
    <row r="36" spans="1:15" ht="24.6" customHeight="1" x14ac:dyDescent="0.3">
      <c r="A36" s="30" t="s">
        <v>42</v>
      </c>
      <c r="G36" s="612" t="s">
        <v>168</v>
      </c>
    </row>
    <row r="37" spans="1:15" ht="24.6" customHeight="1" x14ac:dyDescent="0.3">
      <c r="C37" s="21" t="s">
        <v>43</v>
      </c>
      <c r="D37" s="1" t="s">
        <v>191</v>
      </c>
      <c r="F37" s="21" t="s">
        <v>62</v>
      </c>
      <c r="G37" s="21" t="s">
        <v>81</v>
      </c>
      <c r="H37" s="21" t="s">
        <v>82</v>
      </c>
      <c r="J37" s="1" t="s">
        <v>50</v>
      </c>
      <c r="N37" s="31" t="s">
        <v>376</v>
      </c>
      <c r="O37" s="538">
        <v>2</v>
      </c>
    </row>
    <row r="38" spans="1:15" ht="24.6" customHeight="1" x14ac:dyDescent="0.3">
      <c r="B38" s="1" t="s">
        <v>0</v>
      </c>
      <c r="C38" s="493">
        <v>0</v>
      </c>
      <c r="D38" s="502">
        <v>0</v>
      </c>
      <c r="F38" s="1" t="s">
        <v>24</v>
      </c>
      <c r="G38" s="505">
        <v>2</v>
      </c>
      <c r="H38" s="1">
        <f>G38*$C$3</f>
        <v>14</v>
      </c>
      <c r="J38" s="1" t="s">
        <v>52</v>
      </c>
      <c r="L38" s="508">
        <v>0</v>
      </c>
    </row>
    <row r="39" spans="1:15" ht="24.6" customHeight="1" x14ac:dyDescent="0.3">
      <c r="B39" s="1" t="s">
        <v>1</v>
      </c>
      <c r="C39" s="496">
        <v>0.1</v>
      </c>
      <c r="D39" s="503">
        <v>0.5</v>
      </c>
      <c r="F39" s="1" t="s">
        <v>25</v>
      </c>
      <c r="G39" s="506">
        <v>3</v>
      </c>
      <c r="H39" s="1">
        <f>G39*$C$3</f>
        <v>21</v>
      </c>
      <c r="J39" s="1" t="s">
        <v>377</v>
      </c>
      <c r="L39" s="509">
        <v>2</v>
      </c>
    </row>
    <row r="40" spans="1:15" ht="24.6" customHeight="1" x14ac:dyDescent="0.3">
      <c r="B40" s="1" t="s">
        <v>2</v>
      </c>
      <c r="C40" s="499">
        <v>0.15</v>
      </c>
      <c r="D40" s="504">
        <v>1</v>
      </c>
      <c r="F40" s="1" t="s">
        <v>26</v>
      </c>
      <c r="G40" s="507">
        <v>2</v>
      </c>
      <c r="H40" s="1">
        <f>G40*$C$3</f>
        <v>14</v>
      </c>
      <c r="J40" s="1" t="s">
        <v>378</v>
      </c>
      <c r="L40" s="510">
        <v>5</v>
      </c>
    </row>
    <row r="41" spans="1:15" ht="24.6" customHeight="1" x14ac:dyDescent="0.3">
      <c r="B41" s="612" t="s">
        <v>363</v>
      </c>
    </row>
    <row r="42" spans="1:15" ht="24.6" customHeight="1" x14ac:dyDescent="0.3"/>
    <row r="43" spans="1:15" ht="24.6" customHeight="1" x14ac:dyDescent="0.3">
      <c r="A43" s="30" t="s">
        <v>44</v>
      </c>
      <c r="C43" s="21" t="s">
        <v>70</v>
      </c>
    </row>
    <row r="44" spans="1:15" ht="24.6" customHeight="1" x14ac:dyDescent="0.3">
      <c r="B44" s="31" t="s">
        <v>150</v>
      </c>
      <c r="C44" s="511">
        <v>25000</v>
      </c>
      <c r="E44" s="1" t="s">
        <v>174</v>
      </c>
      <c r="I44" s="31" t="s">
        <v>346</v>
      </c>
      <c r="J44" s="599">
        <v>0</v>
      </c>
    </row>
    <row r="45" spans="1:15" ht="24.6" customHeight="1" x14ac:dyDescent="0.3">
      <c r="B45" s="31" t="s">
        <v>149</v>
      </c>
      <c r="C45" s="460">
        <v>15000</v>
      </c>
      <c r="E45" s="1" t="s">
        <v>173</v>
      </c>
      <c r="I45" s="31" t="s">
        <v>346</v>
      </c>
      <c r="J45" s="600">
        <v>0</v>
      </c>
    </row>
    <row r="46" spans="1:15" ht="24.6" customHeight="1" x14ac:dyDescent="0.3">
      <c r="B46" s="31"/>
      <c r="C46" s="20"/>
      <c r="E46" s="612" t="s">
        <v>364</v>
      </c>
    </row>
    <row r="47" spans="1:15" ht="24.6" customHeight="1" x14ac:dyDescent="0.3"/>
    <row r="48" spans="1:15" ht="24.6" customHeight="1" x14ac:dyDescent="0.3">
      <c r="A48" s="30" t="s">
        <v>145</v>
      </c>
      <c r="D48" s="782" t="s">
        <v>49</v>
      </c>
      <c r="E48" s="782"/>
      <c r="F48" s="782"/>
    </row>
    <row r="49" spans="1:14" ht="24.6" customHeight="1" x14ac:dyDescent="0.3">
      <c r="C49" s="21" t="s">
        <v>80</v>
      </c>
      <c r="D49" s="21" t="str">
        <f>'Historique T=0'!C9</f>
        <v>junior</v>
      </c>
      <c r="E49" s="21" t="str">
        <f>'Historique T=0'!D9</f>
        <v>senior</v>
      </c>
      <c r="F49" s="21" t="str">
        <f>'Historique T=0'!E9</f>
        <v>premium</v>
      </c>
      <c r="H49" s="1" t="s">
        <v>50</v>
      </c>
    </row>
    <row r="50" spans="1:14" ht="24.6" customHeight="1" x14ac:dyDescent="0.3">
      <c r="B50" s="1" t="s">
        <v>45</v>
      </c>
      <c r="C50" s="523">
        <v>500</v>
      </c>
      <c r="D50" s="524">
        <v>1</v>
      </c>
      <c r="E50" s="524">
        <v>0.3</v>
      </c>
      <c r="F50" s="525">
        <v>0.5</v>
      </c>
      <c r="I50" s="31" t="s">
        <v>54</v>
      </c>
      <c r="J50" s="508">
        <v>1</v>
      </c>
      <c r="L50" s="31" t="s">
        <v>146</v>
      </c>
      <c r="M50" s="513">
        <v>5</v>
      </c>
    </row>
    <row r="51" spans="1:14" ht="24.6" customHeight="1" x14ac:dyDescent="0.3">
      <c r="B51" s="1" t="s">
        <v>46</v>
      </c>
      <c r="C51" s="526">
        <v>1000</v>
      </c>
      <c r="D51" s="527">
        <v>1.5</v>
      </c>
      <c r="E51" s="527">
        <v>0.5</v>
      </c>
      <c r="F51" s="528">
        <v>1</v>
      </c>
      <c r="I51" s="31" t="s">
        <v>55</v>
      </c>
      <c r="J51" s="509">
        <v>3</v>
      </c>
      <c r="L51" s="1" t="s">
        <v>351</v>
      </c>
      <c r="M51" s="598">
        <v>0</v>
      </c>
    </row>
    <row r="52" spans="1:14" ht="24.6" customHeight="1" x14ac:dyDescent="0.3">
      <c r="B52" s="1" t="s">
        <v>47</v>
      </c>
      <c r="C52" s="529">
        <v>2000</v>
      </c>
      <c r="D52" s="530">
        <v>3</v>
      </c>
      <c r="E52" s="530">
        <v>1</v>
      </c>
      <c r="F52" s="531">
        <v>3</v>
      </c>
      <c r="I52" s="31" t="s">
        <v>144</v>
      </c>
      <c r="J52" s="510">
        <v>-8</v>
      </c>
      <c r="L52" s="31" t="s">
        <v>192</v>
      </c>
      <c r="M52" s="512">
        <v>-2</v>
      </c>
      <c r="N52" s="20"/>
    </row>
    <row r="53" spans="1:14" ht="24.6" customHeight="1" x14ac:dyDescent="0.3">
      <c r="E53" s="20"/>
      <c r="H53" s="612" t="s">
        <v>365</v>
      </c>
    </row>
    <row r="54" spans="1:14" ht="24.6" customHeight="1" x14ac:dyDescent="0.3"/>
    <row r="55" spans="1:14" ht="24.6" customHeight="1" x14ac:dyDescent="0.3">
      <c r="A55" s="30" t="s">
        <v>79</v>
      </c>
      <c r="D55" s="782" t="s">
        <v>48</v>
      </c>
      <c r="E55" s="782"/>
      <c r="F55" s="782"/>
      <c r="G55" s="782"/>
    </row>
    <row r="56" spans="1:14" ht="24.6" customHeight="1" x14ac:dyDescent="0.3">
      <c r="C56" s="27" t="s">
        <v>77</v>
      </c>
      <c r="D56" s="27" t="s">
        <v>76</v>
      </c>
      <c r="E56" s="27" t="s">
        <v>51</v>
      </c>
      <c r="F56" s="27" t="s">
        <v>78</v>
      </c>
      <c r="G56" s="27" t="s">
        <v>3</v>
      </c>
      <c r="J56" s="1" t="s">
        <v>172</v>
      </c>
    </row>
    <row r="57" spans="1:14" ht="24.6" customHeight="1" x14ac:dyDescent="0.3">
      <c r="B57" s="1" t="s">
        <v>74</v>
      </c>
      <c r="C57" s="514">
        <v>1000</v>
      </c>
      <c r="D57" s="515">
        <v>0.08</v>
      </c>
      <c r="E57" s="515"/>
      <c r="F57" s="515"/>
      <c r="G57" s="516"/>
      <c r="I57" s="31" t="s">
        <v>115</v>
      </c>
      <c r="J57" s="522">
        <v>0.5</v>
      </c>
      <c r="K57" s="20"/>
    </row>
    <row r="58" spans="1:14" ht="24.6" customHeight="1" x14ac:dyDescent="0.3">
      <c r="B58" s="1" t="s">
        <v>51</v>
      </c>
      <c r="C58" s="517">
        <v>1500</v>
      </c>
      <c r="D58" s="518"/>
      <c r="E58" s="518">
        <v>0.1</v>
      </c>
      <c r="F58" s="518"/>
      <c r="G58" s="519"/>
      <c r="J58" s="612" t="s">
        <v>366</v>
      </c>
    </row>
    <row r="59" spans="1:14" ht="24.6" customHeight="1" x14ac:dyDescent="0.3">
      <c r="B59" s="1" t="s">
        <v>75</v>
      </c>
      <c r="C59" s="517">
        <v>1500</v>
      </c>
      <c r="D59" s="518"/>
      <c r="E59" s="518"/>
      <c r="F59" s="518">
        <v>0.1</v>
      </c>
      <c r="G59" s="519"/>
    </row>
    <row r="60" spans="1:14" ht="24.6" customHeight="1" x14ac:dyDescent="0.3">
      <c r="B60" s="1" t="s">
        <v>14</v>
      </c>
      <c r="C60" s="520">
        <v>2000</v>
      </c>
      <c r="D60" s="521"/>
      <c r="E60" s="521"/>
      <c r="F60" s="521"/>
      <c r="G60" s="459">
        <v>0.05</v>
      </c>
    </row>
    <row r="61" spans="1:14" ht="24.6" customHeight="1" x14ac:dyDescent="0.3">
      <c r="B61" s="28"/>
      <c r="C61" s="29"/>
    </row>
    <row r="62" spans="1:14" ht="24.6" customHeight="1" x14ac:dyDescent="0.3">
      <c r="A62" s="30" t="s">
        <v>53</v>
      </c>
    </row>
    <row r="63" spans="1:14" ht="24.6" customHeight="1" x14ac:dyDescent="0.3">
      <c r="B63" s="31" t="s">
        <v>72</v>
      </c>
      <c r="C63" s="441">
        <v>15</v>
      </c>
      <c r="D63" s="1" t="s">
        <v>73</v>
      </c>
      <c r="K63" s="31" t="s">
        <v>345</v>
      </c>
      <c r="L63" s="598">
        <v>0</v>
      </c>
    </row>
    <row r="64" spans="1:14" ht="24.6" customHeight="1" x14ac:dyDescent="0.3">
      <c r="F64" s="786" t="s">
        <v>193</v>
      </c>
      <c r="G64" s="786" t="s">
        <v>90</v>
      </c>
      <c r="H64" s="786" t="s">
        <v>122</v>
      </c>
    </row>
    <row r="65" spans="1:12" ht="24.6" customHeight="1" x14ac:dyDescent="0.3">
      <c r="B65" s="1" t="s">
        <v>167</v>
      </c>
      <c r="F65" s="787"/>
      <c r="G65" s="787"/>
      <c r="H65" s="787"/>
      <c r="I65" s="8"/>
    </row>
    <row r="66" spans="1:12" ht="24.6" customHeight="1" x14ac:dyDescent="0.3">
      <c r="B66" s="8" t="s">
        <v>28</v>
      </c>
      <c r="C66" s="505">
        <v>5</v>
      </c>
      <c r="E66" s="8" t="s">
        <v>411</v>
      </c>
      <c r="F66" s="656">
        <v>0.05</v>
      </c>
      <c r="G66" s="657">
        <v>7.0000000000000007E-2</v>
      </c>
      <c r="H66" s="658">
        <v>0.8</v>
      </c>
      <c r="I66" s="8"/>
    </row>
    <row r="67" spans="1:12" ht="24.6" customHeight="1" x14ac:dyDescent="0.3">
      <c r="B67" s="8" t="s">
        <v>29</v>
      </c>
      <c r="C67" s="506">
        <v>2</v>
      </c>
      <c r="E67" s="8" t="s">
        <v>412</v>
      </c>
      <c r="F67" s="659">
        <v>0.1</v>
      </c>
      <c r="G67" s="660">
        <v>0.1</v>
      </c>
      <c r="H67" s="661">
        <v>1.2</v>
      </c>
      <c r="I67" s="22"/>
      <c r="K67" s="22"/>
    </row>
    <row r="68" spans="1:12" ht="24.6" customHeight="1" x14ac:dyDescent="0.3">
      <c r="B68" s="8" t="s">
        <v>30</v>
      </c>
      <c r="C68" s="506">
        <v>0</v>
      </c>
      <c r="E68" s="630" t="s">
        <v>413</v>
      </c>
      <c r="F68" s="662">
        <v>0.15</v>
      </c>
      <c r="G68" s="663">
        <v>0.2</v>
      </c>
      <c r="H68" s="664">
        <v>1.8</v>
      </c>
      <c r="I68" s="8"/>
    </row>
    <row r="69" spans="1:12" ht="24.6" customHeight="1" x14ac:dyDescent="0.3">
      <c r="B69" s="8" t="s">
        <v>27</v>
      </c>
      <c r="C69" s="507">
        <v>-3</v>
      </c>
      <c r="E69" s="22" t="s">
        <v>89</v>
      </c>
      <c r="F69" s="665"/>
      <c r="G69" s="666"/>
      <c r="H69" s="666"/>
      <c r="I69" s="8"/>
    </row>
    <row r="70" spans="1:12" ht="24.6" customHeight="1" x14ac:dyDescent="0.3">
      <c r="E70" s="8" t="s">
        <v>414</v>
      </c>
      <c r="F70" s="667">
        <v>7</v>
      </c>
      <c r="G70" s="668">
        <v>5</v>
      </c>
      <c r="H70" s="669">
        <v>3</v>
      </c>
      <c r="I70" s="8"/>
    </row>
    <row r="71" spans="1:12" ht="24.6" customHeight="1" x14ac:dyDescent="0.3">
      <c r="E71" s="8" t="s">
        <v>415</v>
      </c>
      <c r="F71" s="670">
        <v>0</v>
      </c>
      <c r="G71" s="671">
        <v>0</v>
      </c>
      <c r="H71" s="672">
        <v>0</v>
      </c>
      <c r="I71" s="8"/>
    </row>
    <row r="72" spans="1:12" ht="24.6" customHeight="1" x14ac:dyDescent="0.3">
      <c r="E72" s="8" t="s">
        <v>416</v>
      </c>
      <c r="F72" s="673">
        <v>-3</v>
      </c>
      <c r="G72" s="674">
        <v>-3</v>
      </c>
      <c r="H72" s="675">
        <v>-3</v>
      </c>
    </row>
    <row r="73" spans="1:12" ht="24.6" customHeight="1" x14ac:dyDescent="0.3"/>
    <row r="74" spans="1:12" ht="24.6" customHeight="1" x14ac:dyDescent="0.3">
      <c r="A74" s="30" t="s">
        <v>88</v>
      </c>
      <c r="C74" s="129" t="str">
        <f>D49</f>
        <v>junior</v>
      </c>
      <c r="D74" s="129" t="str">
        <f>E49</f>
        <v>senior</v>
      </c>
      <c r="E74" s="129" t="str">
        <f>F49</f>
        <v>premium</v>
      </c>
      <c r="H74" s="563" t="str">
        <f>C74</f>
        <v>junior</v>
      </c>
      <c r="I74" s="563" t="str">
        <f>D74</f>
        <v>senior</v>
      </c>
      <c r="J74" s="563" t="str">
        <f>E74</f>
        <v>premium</v>
      </c>
    </row>
    <row r="75" spans="1:12" ht="24.6" customHeight="1" x14ac:dyDescent="0.3">
      <c r="B75" s="8" t="s">
        <v>411</v>
      </c>
      <c r="C75" s="656">
        <v>0.1</v>
      </c>
      <c r="D75" s="657">
        <v>0.1</v>
      </c>
      <c r="E75" s="676">
        <v>0.1</v>
      </c>
      <c r="G75" s="96" t="s">
        <v>347</v>
      </c>
      <c r="H75" s="601">
        <v>0</v>
      </c>
      <c r="I75" s="602">
        <v>0</v>
      </c>
      <c r="J75" s="603">
        <v>0</v>
      </c>
    </row>
    <row r="76" spans="1:12" ht="24.6" customHeight="1" x14ac:dyDescent="0.3">
      <c r="B76" s="8" t="s">
        <v>412</v>
      </c>
      <c r="C76" s="659">
        <v>0.2</v>
      </c>
      <c r="D76" s="660">
        <v>0.2</v>
      </c>
      <c r="E76" s="678">
        <v>0.2</v>
      </c>
    </row>
    <row r="77" spans="1:12" ht="24.6" customHeight="1" x14ac:dyDescent="0.3">
      <c r="B77" s="630" t="s">
        <v>413</v>
      </c>
      <c r="C77" s="662">
        <v>0.3</v>
      </c>
      <c r="D77" s="663">
        <v>0.3</v>
      </c>
      <c r="E77" s="677">
        <v>0.3</v>
      </c>
    </row>
    <row r="78" spans="1:12" ht="24.6" customHeight="1" x14ac:dyDescent="0.3">
      <c r="B78" s="22" t="s">
        <v>71</v>
      </c>
      <c r="C78" s="638"/>
      <c r="D78" s="20"/>
      <c r="E78" s="20"/>
      <c r="F78" s="612" t="s">
        <v>367</v>
      </c>
      <c r="H78" s="642" t="str">
        <f>C74</f>
        <v>junior</v>
      </c>
      <c r="I78" s="642" t="str">
        <f>D74</f>
        <v>senior</v>
      </c>
      <c r="J78" s="642" t="str">
        <f>E74</f>
        <v>premium</v>
      </c>
    </row>
    <row r="79" spans="1:12" ht="24.6" customHeight="1" x14ac:dyDescent="0.3">
      <c r="B79" s="8" t="s">
        <v>414</v>
      </c>
      <c r="C79" s="656">
        <v>-0.05</v>
      </c>
      <c r="D79" s="657">
        <v>-0.08</v>
      </c>
      <c r="E79" s="676">
        <v>-0.1</v>
      </c>
      <c r="G79" s="31" t="s">
        <v>320</v>
      </c>
      <c r="H79" s="679">
        <v>0.05</v>
      </c>
      <c r="I79" s="680">
        <v>0.05</v>
      </c>
      <c r="J79" s="681">
        <v>0.05</v>
      </c>
      <c r="K79" s="612" t="s">
        <v>368</v>
      </c>
      <c r="L79" s="21"/>
    </row>
    <row r="80" spans="1:12" ht="24.6" customHeight="1" x14ac:dyDescent="0.3">
      <c r="B80" s="8" t="s">
        <v>415</v>
      </c>
      <c r="C80" s="659">
        <v>0.03</v>
      </c>
      <c r="D80" s="660">
        <v>0</v>
      </c>
      <c r="E80" s="678">
        <v>0</v>
      </c>
      <c r="I80" s="24"/>
      <c r="J80" s="24"/>
      <c r="K80" s="24"/>
      <c r="L80" s="24"/>
    </row>
    <row r="81" spans="1:16" ht="24.6" customHeight="1" x14ac:dyDescent="0.3">
      <c r="B81" s="8" t="s">
        <v>416</v>
      </c>
      <c r="C81" s="662">
        <v>0.05</v>
      </c>
      <c r="D81" s="663">
        <v>0.08</v>
      </c>
      <c r="E81" s="677">
        <v>0.12</v>
      </c>
      <c r="I81" s="24"/>
      <c r="J81" s="24"/>
      <c r="K81" s="24"/>
      <c r="L81" s="24"/>
    </row>
    <row r="82" spans="1:16" ht="24.6" customHeight="1" x14ac:dyDescent="0.3"/>
    <row r="83" spans="1:16" ht="24.6" customHeight="1" x14ac:dyDescent="0.3">
      <c r="A83" s="30" t="s">
        <v>155</v>
      </c>
      <c r="F83" s="782" t="s">
        <v>194</v>
      </c>
      <c r="G83" s="782"/>
      <c r="H83" s="782"/>
      <c r="I83" s="786" t="s">
        <v>120</v>
      </c>
      <c r="J83" s="786" t="s">
        <v>122</v>
      </c>
      <c r="K83" s="786" t="s">
        <v>193</v>
      </c>
      <c r="N83" s="563" t="str">
        <f>+F84</f>
        <v>junior</v>
      </c>
      <c r="O83" s="563" t="str">
        <f>+G84</f>
        <v>senior</v>
      </c>
      <c r="P83" s="563" t="str">
        <f>+H84</f>
        <v>premium</v>
      </c>
    </row>
    <row r="84" spans="1:16" ht="24.6" customHeight="1" x14ac:dyDescent="0.3">
      <c r="F84" s="71" t="str">
        <f>C4</f>
        <v>junior</v>
      </c>
      <c r="G84" s="71" t="str">
        <f>C5</f>
        <v>senior</v>
      </c>
      <c r="H84" s="71" t="str">
        <f>C6</f>
        <v>premium</v>
      </c>
      <c r="I84" s="787"/>
      <c r="J84" s="787"/>
      <c r="K84" s="787"/>
      <c r="M84" s="96" t="s">
        <v>348</v>
      </c>
      <c r="N84" s="601">
        <v>0</v>
      </c>
      <c r="O84" s="602">
        <v>0</v>
      </c>
      <c r="P84" s="603">
        <v>0</v>
      </c>
    </row>
    <row r="85" spans="1:16" ht="24.6" customHeight="1" x14ac:dyDescent="0.3">
      <c r="B85" s="1" t="s">
        <v>132</v>
      </c>
      <c r="C85" s="538">
        <v>-5</v>
      </c>
      <c r="E85" s="630" t="s">
        <v>411</v>
      </c>
      <c r="F85" s="493">
        <v>0.05</v>
      </c>
      <c r="G85" s="494">
        <v>0.05</v>
      </c>
      <c r="H85" s="494">
        <v>0.05</v>
      </c>
      <c r="I85" s="485">
        <v>80</v>
      </c>
      <c r="J85" s="524">
        <v>0.8</v>
      </c>
      <c r="K85" s="495">
        <v>0.05</v>
      </c>
    </row>
    <row r="86" spans="1:16" ht="24.6" customHeight="1" x14ac:dyDescent="0.3">
      <c r="B86" s="612" t="s">
        <v>369</v>
      </c>
      <c r="E86" s="630" t="s">
        <v>412</v>
      </c>
      <c r="F86" s="496">
        <v>0.1</v>
      </c>
      <c r="G86" s="497">
        <v>0.1</v>
      </c>
      <c r="H86" s="497">
        <v>0.1</v>
      </c>
      <c r="I86" s="488">
        <v>90</v>
      </c>
      <c r="J86" s="527">
        <v>1.2</v>
      </c>
      <c r="K86" s="498">
        <v>0.1</v>
      </c>
    </row>
    <row r="87" spans="1:16" ht="24.6" customHeight="1" x14ac:dyDescent="0.3">
      <c r="B87" s="1" t="s">
        <v>167</v>
      </c>
      <c r="E87" s="630" t="s">
        <v>413</v>
      </c>
      <c r="F87" s="499">
        <v>0.2</v>
      </c>
      <c r="G87" s="500">
        <v>0.2</v>
      </c>
      <c r="H87" s="500">
        <v>0.2</v>
      </c>
      <c r="I87" s="491">
        <v>100</v>
      </c>
      <c r="J87" s="530">
        <v>1.8</v>
      </c>
      <c r="K87" s="501">
        <v>0.15</v>
      </c>
    </row>
    <row r="88" spans="1:16" ht="24.6" customHeight="1" x14ac:dyDescent="0.3">
      <c r="B88" s="8" t="s">
        <v>28</v>
      </c>
      <c r="C88" s="505">
        <v>-6</v>
      </c>
      <c r="F88" s="22" t="s">
        <v>121</v>
      </c>
      <c r="I88" s="22"/>
    </row>
    <row r="89" spans="1:16" ht="24.6" customHeight="1" x14ac:dyDescent="0.3">
      <c r="B89" s="8" t="s">
        <v>29</v>
      </c>
      <c r="C89" s="506">
        <v>-1</v>
      </c>
      <c r="E89" s="630" t="s">
        <v>414</v>
      </c>
      <c r="F89" s="532">
        <v>-3</v>
      </c>
      <c r="G89" s="533">
        <v>-3</v>
      </c>
      <c r="H89" s="533">
        <v>-5</v>
      </c>
      <c r="I89" s="533">
        <v>-5</v>
      </c>
      <c r="J89" s="533">
        <v>-5</v>
      </c>
      <c r="K89" s="534">
        <v>-5</v>
      </c>
    </row>
    <row r="90" spans="1:16" ht="24.6" customHeight="1" x14ac:dyDescent="0.3">
      <c r="B90" s="8" t="s">
        <v>30</v>
      </c>
      <c r="C90" s="506">
        <v>3</v>
      </c>
      <c r="E90" s="630" t="s">
        <v>415</v>
      </c>
      <c r="F90" s="539">
        <v>0</v>
      </c>
      <c r="G90" s="540">
        <v>0</v>
      </c>
      <c r="H90" s="540">
        <v>0</v>
      </c>
      <c r="I90" s="540">
        <v>0</v>
      </c>
      <c r="J90" s="540">
        <v>0</v>
      </c>
      <c r="K90" s="541">
        <v>0</v>
      </c>
    </row>
    <row r="91" spans="1:16" ht="24.6" customHeight="1" x14ac:dyDescent="0.3">
      <c r="B91" s="8" t="s">
        <v>27</v>
      </c>
      <c r="C91" s="507">
        <v>6</v>
      </c>
      <c r="E91" s="630" t="s">
        <v>416</v>
      </c>
      <c r="F91" s="535">
        <v>4</v>
      </c>
      <c r="G91" s="536">
        <v>2</v>
      </c>
      <c r="H91" s="536">
        <v>3</v>
      </c>
      <c r="I91" s="536">
        <v>3</v>
      </c>
      <c r="J91" s="536">
        <v>4</v>
      </c>
      <c r="K91" s="537">
        <v>2</v>
      </c>
    </row>
    <row r="92" spans="1:16" ht="24.6" customHeight="1" x14ac:dyDescent="0.3"/>
    <row r="93" spans="1:16" ht="24.6" customHeight="1" x14ac:dyDescent="0.3">
      <c r="A93" s="30" t="s">
        <v>402</v>
      </c>
      <c r="C93" s="21"/>
      <c r="D93" s="626" t="s">
        <v>401</v>
      </c>
      <c r="I93" s="781" t="s">
        <v>404</v>
      </c>
      <c r="J93" s="781"/>
      <c r="K93" s="781"/>
      <c r="L93" s="781" t="s">
        <v>405</v>
      </c>
      <c r="M93" s="781"/>
      <c r="N93" s="781"/>
    </row>
    <row r="94" spans="1:16" ht="24.6" customHeight="1" x14ac:dyDescent="0.25">
      <c r="A94" s="32"/>
      <c r="B94" s="32"/>
      <c r="C94" s="31" t="s">
        <v>399</v>
      </c>
      <c r="D94" s="634">
        <v>0.1</v>
      </c>
      <c r="E94" s="612" t="s">
        <v>403</v>
      </c>
      <c r="F94" s="643" t="s">
        <v>411</v>
      </c>
      <c r="G94" s="644" t="s">
        <v>412</v>
      </c>
      <c r="H94" s="645" t="s">
        <v>413</v>
      </c>
      <c r="I94" s="628" t="s">
        <v>414</v>
      </c>
      <c r="J94" s="629" t="s">
        <v>415</v>
      </c>
      <c r="K94" s="629" t="s">
        <v>416</v>
      </c>
      <c r="L94" s="639" t="s">
        <v>414</v>
      </c>
      <c r="M94" s="640" t="s">
        <v>415</v>
      </c>
      <c r="N94" s="641" t="s">
        <v>416</v>
      </c>
    </row>
    <row r="95" spans="1:16" ht="24.6" customHeight="1" x14ac:dyDescent="0.25">
      <c r="A95" s="32"/>
      <c r="B95" s="32"/>
      <c r="C95" s="31" t="s">
        <v>205</v>
      </c>
      <c r="D95" s="636">
        <v>0.05</v>
      </c>
      <c r="F95" s="679">
        <v>0.08</v>
      </c>
      <c r="G95" s="680">
        <v>0.12</v>
      </c>
      <c r="H95" s="681">
        <v>0.17</v>
      </c>
      <c r="I95" s="696">
        <v>-5</v>
      </c>
      <c r="J95" s="694">
        <v>0</v>
      </c>
      <c r="K95" s="695">
        <v>5</v>
      </c>
      <c r="L95" s="694">
        <v>3</v>
      </c>
      <c r="M95" s="694">
        <v>0</v>
      </c>
      <c r="N95" s="695">
        <v>-3</v>
      </c>
    </row>
    <row r="96" spans="1:16" ht="24.6" customHeight="1" x14ac:dyDescent="0.25">
      <c r="A96" s="32"/>
      <c r="B96" s="32"/>
      <c r="C96" s="31"/>
      <c r="I96" s="778" t="s">
        <v>406</v>
      </c>
      <c r="J96" s="778"/>
      <c r="K96" s="778"/>
    </row>
    <row r="97" spans="1:19" ht="24.6" customHeight="1" x14ac:dyDescent="0.25">
      <c r="A97" s="32"/>
      <c r="B97" s="32"/>
      <c r="C97" s="31" t="s">
        <v>396</v>
      </c>
      <c r="D97" s="637">
        <v>0.05</v>
      </c>
      <c r="F97" s="679">
        <v>0.1</v>
      </c>
      <c r="G97" s="680">
        <v>0.15</v>
      </c>
      <c r="H97" s="681">
        <v>0.2</v>
      </c>
      <c r="I97" s="680">
        <v>-0.03</v>
      </c>
      <c r="J97" s="680">
        <v>0</v>
      </c>
      <c r="K97" s="681">
        <v>0.03</v>
      </c>
    </row>
    <row r="98" spans="1:19" ht="24.6" customHeight="1" x14ac:dyDescent="0.25">
      <c r="A98" s="32"/>
      <c r="B98" s="32"/>
      <c r="C98" s="31"/>
      <c r="I98" s="778" t="s">
        <v>408</v>
      </c>
      <c r="J98" s="778"/>
      <c r="K98" s="778"/>
      <c r="L98" s="781" t="s">
        <v>409</v>
      </c>
      <c r="M98" s="781"/>
      <c r="N98" s="781"/>
      <c r="O98" s="781" t="s">
        <v>410</v>
      </c>
      <c r="P98" s="781"/>
      <c r="Q98" s="781"/>
    </row>
    <row r="99" spans="1:19" ht="24.6" customHeight="1" x14ac:dyDescent="0.25">
      <c r="A99" s="32"/>
      <c r="B99" s="32"/>
      <c r="C99" s="31" t="s">
        <v>305</v>
      </c>
      <c r="D99" s="637">
        <v>0</v>
      </c>
      <c r="F99" s="679">
        <v>0.05</v>
      </c>
      <c r="G99" s="680">
        <v>0.1</v>
      </c>
      <c r="H99" s="681">
        <v>0.15</v>
      </c>
      <c r="I99" s="679">
        <v>-0.02</v>
      </c>
      <c r="J99" s="680">
        <v>0</v>
      </c>
      <c r="K99" s="681">
        <v>0.02</v>
      </c>
      <c r="L99" s="679">
        <v>-0.02</v>
      </c>
      <c r="M99" s="680">
        <v>0</v>
      </c>
      <c r="N99" s="681">
        <v>0.02</v>
      </c>
      <c r="O99" s="694">
        <v>-2</v>
      </c>
      <c r="P99" s="694">
        <v>0</v>
      </c>
      <c r="Q99" s="695">
        <v>2</v>
      </c>
    </row>
    <row r="100" spans="1:19" ht="24.6" customHeight="1" x14ac:dyDescent="0.25">
      <c r="A100" s="32"/>
      <c r="B100" s="32"/>
      <c r="C100" s="31"/>
      <c r="I100" s="778" t="s">
        <v>407</v>
      </c>
      <c r="J100" s="778"/>
      <c r="K100" s="778"/>
    </row>
    <row r="101" spans="1:19" ht="24.6" customHeight="1" x14ac:dyDescent="0.25">
      <c r="A101" s="631" t="s">
        <v>400</v>
      </c>
      <c r="B101" s="32"/>
      <c r="C101" s="31" t="s">
        <v>388</v>
      </c>
      <c r="D101" s="634">
        <v>0</v>
      </c>
      <c r="F101" s="493">
        <v>0.05</v>
      </c>
      <c r="G101" s="494">
        <v>0.1</v>
      </c>
      <c r="H101" s="495">
        <v>0.2</v>
      </c>
      <c r="I101" s="533">
        <v>-3</v>
      </c>
      <c r="J101" s="533">
        <v>0</v>
      </c>
      <c r="K101" s="534">
        <v>3</v>
      </c>
    </row>
    <row r="102" spans="1:19" ht="24.6" customHeight="1" x14ac:dyDescent="0.25">
      <c r="A102" s="32"/>
      <c r="B102" s="32"/>
      <c r="C102" s="31" t="s">
        <v>197</v>
      </c>
      <c r="D102" s="636">
        <v>0</v>
      </c>
      <c r="F102" s="499">
        <v>0.05</v>
      </c>
      <c r="G102" s="500">
        <v>0.15</v>
      </c>
      <c r="H102" s="501">
        <v>0.2</v>
      </c>
      <c r="I102" s="536">
        <v>-2</v>
      </c>
      <c r="J102" s="536">
        <v>4</v>
      </c>
      <c r="K102" s="537">
        <v>-3</v>
      </c>
      <c r="L102" s="20"/>
    </row>
    <row r="103" spans="1:19" ht="24.6" customHeight="1" x14ac:dyDescent="0.25">
      <c r="A103" s="32"/>
      <c r="B103" s="32"/>
      <c r="C103" s="31"/>
      <c r="F103" s="775" t="s">
        <v>411</v>
      </c>
      <c r="G103" s="774" t="s">
        <v>412</v>
      </c>
      <c r="H103" s="776" t="s">
        <v>413</v>
      </c>
      <c r="I103" s="774" t="s">
        <v>418</v>
      </c>
      <c r="J103" s="776" t="s">
        <v>449</v>
      </c>
      <c r="K103" s="774" t="s">
        <v>450</v>
      </c>
    </row>
    <row r="104" spans="1:19" ht="24.6" customHeight="1" x14ac:dyDescent="0.25">
      <c r="A104" s="631" t="s">
        <v>391</v>
      </c>
      <c r="B104" s="32"/>
      <c r="C104" s="31" t="s">
        <v>390</v>
      </c>
      <c r="D104" s="634">
        <v>0</v>
      </c>
      <c r="F104" s="493">
        <v>0.05</v>
      </c>
      <c r="G104" s="494">
        <v>0.1</v>
      </c>
      <c r="H104" s="495">
        <v>0.15</v>
      </c>
      <c r="L104" s="612" t="s">
        <v>451</v>
      </c>
      <c r="R104" s="830" t="s">
        <v>452</v>
      </c>
      <c r="S104" s="830" t="s">
        <v>465</v>
      </c>
    </row>
    <row r="105" spans="1:19" ht="24.6" customHeight="1" x14ac:dyDescent="0.25">
      <c r="A105" s="32"/>
      <c r="B105" s="32"/>
      <c r="C105" s="31" t="s">
        <v>393</v>
      </c>
      <c r="D105" s="635">
        <v>0</v>
      </c>
      <c r="F105" s="679">
        <v>0.04</v>
      </c>
      <c r="G105" s="680">
        <v>0.06</v>
      </c>
      <c r="H105" s="680">
        <v>0.08</v>
      </c>
      <c r="I105" s="680">
        <v>0.1</v>
      </c>
      <c r="J105" s="680">
        <v>0.12</v>
      </c>
      <c r="K105" s="681">
        <v>0.14000000000000001</v>
      </c>
      <c r="L105" s="830" t="s">
        <v>452</v>
      </c>
      <c r="M105" s="612" t="s">
        <v>458</v>
      </c>
      <c r="N105" s="612"/>
      <c r="O105" s="612" t="s">
        <v>460</v>
      </c>
      <c r="P105" s="612"/>
      <c r="R105" s="612" t="s">
        <v>453</v>
      </c>
      <c r="S105" s="830" t="s">
        <v>458</v>
      </c>
    </row>
    <row r="106" spans="1:19" ht="24.6" customHeight="1" x14ac:dyDescent="0.25">
      <c r="A106" s="32"/>
      <c r="B106" s="32"/>
      <c r="C106" s="31" t="s">
        <v>204</v>
      </c>
      <c r="D106" s="635">
        <v>0</v>
      </c>
      <c r="F106" s="679">
        <v>0.03</v>
      </c>
      <c r="G106" s="680">
        <v>0.05</v>
      </c>
      <c r="H106" s="680">
        <v>7.0000000000000007E-2</v>
      </c>
      <c r="I106" s="680">
        <v>0.09</v>
      </c>
      <c r="J106" s="680">
        <v>0.11</v>
      </c>
      <c r="K106" s="681">
        <v>0.13</v>
      </c>
      <c r="L106" s="612" t="s">
        <v>453</v>
      </c>
      <c r="M106" s="612" t="s">
        <v>458</v>
      </c>
      <c r="N106" s="612" t="s">
        <v>457</v>
      </c>
      <c r="O106" s="612" t="s">
        <v>460</v>
      </c>
      <c r="P106" s="612"/>
      <c r="R106" s="612" t="s">
        <v>454</v>
      </c>
      <c r="S106" s="830" t="s">
        <v>460</v>
      </c>
    </row>
    <row r="107" spans="1:19" ht="24.6" customHeight="1" x14ac:dyDescent="0.25">
      <c r="A107" s="32"/>
      <c r="B107" s="32"/>
      <c r="C107" s="31" t="s">
        <v>392</v>
      </c>
      <c r="D107" s="636">
        <v>0</v>
      </c>
      <c r="F107" s="679">
        <v>7.0000000000000007E-2</v>
      </c>
      <c r="G107" s="680">
        <v>0.12</v>
      </c>
      <c r="H107" s="681">
        <v>0.15</v>
      </c>
      <c r="L107" s="612" t="s">
        <v>454</v>
      </c>
      <c r="M107" s="612" t="s">
        <v>458</v>
      </c>
      <c r="N107" s="612" t="s">
        <v>459</v>
      </c>
      <c r="O107" s="612" t="s">
        <v>460</v>
      </c>
      <c r="P107" s="612"/>
      <c r="R107" s="612" t="s">
        <v>464</v>
      </c>
      <c r="S107" s="830" t="s">
        <v>466</v>
      </c>
    </row>
    <row r="108" spans="1:19" ht="24.6" customHeight="1" x14ac:dyDescent="0.3">
      <c r="L108" s="612" t="s">
        <v>455</v>
      </c>
      <c r="M108" s="612" t="s">
        <v>458</v>
      </c>
      <c r="N108" s="612" t="s">
        <v>467</v>
      </c>
      <c r="O108" s="612" t="s">
        <v>460</v>
      </c>
      <c r="P108" s="612" t="s">
        <v>457</v>
      </c>
    </row>
    <row r="109" spans="1:19" ht="24.6" customHeight="1" x14ac:dyDescent="0.3">
      <c r="A109" s="30" t="s">
        <v>169</v>
      </c>
      <c r="C109" s="786" t="s">
        <v>151</v>
      </c>
      <c r="D109" s="786" t="s">
        <v>170</v>
      </c>
      <c r="E109" s="782" t="s">
        <v>171</v>
      </c>
      <c r="L109" s="612" t="s">
        <v>456</v>
      </c>
      <c r="M109" s="612" t="s">
        <v>458</v>
      </c>
      <c r="N109" s="612" t="s">
        <v>467</v>
      </c>
      <c r="O109" s="612" t="s">
        <v>460</v>
      </c>
      <c r="P109" s="612" t="s">
        <v>459</v>
      </c>
    </row>
    <row r="110" spans="1:19" ht="24.6" customHeight="1" x14ac:dyDescent="0.3">
      <c r="C110" s="787"/>
      <c r="D110" s="787"/>
      <c r="E110" s="781"/>
      <c r="L110" s="612" t="s">
        <v>461</v>
      </c>
      <c r="M110" s="612" t="s">
        <v>458</v>
      </c>
      <c r="N110" s="612" t="s">
        <v>463</v>
      </c>
      <c r="O110" s="612" t="s">
        <v>460</v>
      </c>
      <c r="P110" s="612" t="s">
        <v>467</v>
      </c>
    </row>
    <row r="111" spans="1:19" ht="24.6" customHeight="1" x14ac:dyDescent="0.3">
      <c r="B111" s="8" t="s">
        <v>28</v>
      </c>
      <c r="C111" s="493">
        <v>-0.2</v>
      </c>
      <c r="D111" s="494">
        <v>-0.1</v>
      </c>
      <c r="E111" s="495">
        <v>-0.05</v>
      </c>
      <c r="L111" s="830" t="s">
        <v>462</v>
      </c>
      <c r="M111" s="612" t="s">
        <v>458</v>
      </c>
      <c r="N111" s="612" t="s">
        <v>463</v>
      </c>
      <c r="O111" s="612" t="s">
        <v>460</v>
      </c>
      <c r="P111" s="612" t="s">
        <v>463</v>
      </c>
    </row>
    <row r="112" spans="1:19" ht="24.6" customHeight="1" x14ac:dyDescent="0.3">
      <c r="B112" s="8" t="s">
        <v>29</v>
      </c>
      <c r="C112" s="496">
        <v>0</v>
      </c>
      <c r="D112" s="497">
        <v>0</v>
      </c>
      <c r="E112" s="498">
        <v>0</v>
      </c>
    </row>
    <row r="113" spans="1:5" ht="24.6" customHeight="1" x14ac:dyDescent="0.3">
      <c r="B113" s="8" t="s">
        <v>30</v>
      </c>
      <c r="C113" s="496">
        <v>0.05</v>
      </c>
      <c r="D113" s="497">
        <v>0.05</v>
      </c>
      <c r="E113" s="498">
        <v>0.05</v>
      </c>
    </row>
    <row r="114" spans="1:5" ht="24.6" customHeight="1" x14ac:dyDescent="0.3">
      <c r="B114" s="8" t="s">
        <v>27</v>
      </c>
      <c r="C114" s="499">
        <v>0.25</v>
      </c>
      <c r="D114" s="500">
        <v>0.15</v>
      </c>
      <c r="E114" s="501">
        <v>0.1</v>
      </c>
    </row>
    <row r="115" spans="1:5" ht="24.6" customHeight="1" x14ac:dyDescent="0.3"/>
    <row r="116" spans="1:5" ht="24.6" customHeight="1" x14ac:dyDescent="0.3">
      <c r="A116" s="30" t="s">
        <v>159</v>
      </c>
      <c r="C116" s="64" t="s">
        <v>202</v>
      </c>
      <c r="E116" s="30"/>
    </row>
    <row r="117" spans="1:5" ht="24.6" customHeight="1" x14ac:dyDescent="0.3">
      <c r="B117" s="1" t="s">
        <v>160</v>
      </c>
      <c r="C117" s="511">
        <v>10</v>
      </c>
      <c r="D117" s="1" t="s">
        <v>201</v>
      </c>
    </row>
    <row r="118" spans="1:5" ht="24.6" customHeight="1" x14ac:dyDescent="0.3">
      <c r="B118" s="1" t="s">
        <v>199</v>
      </c>
      <c r="C118" s="542">
        <v>5</v>
      </c>
      <c r="D118" s="1" t="s">
        <v>201</v>
      </c>
    </row>
    <row r="119" spans="1:5" ht="24.6" customHeight="1" x14ac:dyDescent="0.3">
      <c r="B119" s="1" t="s">
        <v>296</v>
      </c>
      <c r="C119" s="542">
        <v>5</v>
      </c>
      <c r="D119" s="1" t="s">
        <v>201</v>
      </c>
    </row>
    <row r="120" spans="1:5" ht="24.6" customHeight="1" x14ac:dyDescent="0.3">
      <c r="B120" s="1" t="s">
        <v>161</v>
      </c>
      <c r="C120" s="542">
        <v>15</v>
      </c>
    </row>
    <row r="121" spans="1:5" ht="24.6" customHeight="1" x14ac:dyDescent="0.3">
      <c r="B121" s="1" t="s">
        <v>200</v>
      </c>
      <c r="C121" s="460">
        <v>5</v>
      </c>
    </row>
    <row r="122" spans="1:5" ht="24.6" customHeight="1" x14ac:dyDescent="0.3">
      <c r="C122" s="1">
        <f>C117*4+C118*4+C119*4+C120+C121</f>
        <v>100</v>
      </c>
    </row>
    <row r="123" spans="1:5" ht="24.6" customHeight="1" x14ac:dyDescent="0.3"/>
    <row r="124" spans="1:5" ht="24.6" customHeight="1" x14ac:dyDescent="0.3">
      <c r="A124" s="30" t="s">
        <v>177</v>
      </c>
    </row>
    <row r="125" spans="1:5" ht="24.6" customHeight="1" x14ac:dyDescent="0.3">
      <c r="B125" s="1" t="s">
        <v>195</v>
      </c>
      <c r="C125" s="1" t="s">
        <v>176</v>
      </c>
    </row>
    <row r="126" spans="1:5" ht="24.6" customHeight="1" x14ac:dyDescent="0.3">
      <c r="B126" s="543">
        <v>1</v>
      </c>
      <c r="C126" s="793" t="s">
        <v>196</v>
      </c>
      <c r="D126" s="794"/>
    </row>
    <row r="127" spans="1:5" ht="24.6" customHeight="1" x14ac:dyDescent="0.3">
      <c r="B127" s="544">
        <v>2</v>
      </c>
      <c r="C127" s="791" t="s">
        <v>197</v>
      </c>
      <c r="D127" s="791"/>
    </row>
    <row r="128" spans="1:5" ht="24.6" customHeight="1" x14ac:dyDescent="0.3">
      <c r="B128" s="544">
        <v>3</v>
      </c>
      <c r="C128" s="791" t="s">
        <v>198</v>
      </c>
      <c r="D128" s="791"/>
    </row>
    <row r="129" spans="1:13" ht="24.6" customHeight="1" x14ac:dyDescent="0.3">
      <c r="B129" s="544">
        <v>4</v>
      </c>
      <c r="C129" s="791"/>
      <c r="D129" s="791"/>
    </row>
    <row r="130" spans="1:13" ht="24.6" customHeight="1" x14ac:dyDescent="0.3">
      <c r="B130" s="544">
        <v>5</v>
      </c>
      <c r="C130" s="791"/>
      <c r="D130" s="791"/>
    </row>
    <row r="131" spans="1:13" ht="24.6" customHeight="1" x14ac:dyDescent="0.3">
      <c r="B131" s="544">
        <v>6</v>
      </c>
      <c r="C131" s="791"/>
      <c r="D131" s="791"/>
    </row>
    <row r="132" spans="1:13" ht="24.6" customHeight="1" x14ac:dyDescent="0.3">
      <c r="B132" s="544">
        <v>7</v>
      </c>
      <c r="C132" s="791"/>
      <c r="D132" s="791"/>
    </row>
    <row r="133" spans="1:13" ht="24.6" customHeight="1" x14ac:dyDescent="0.3">
      <c r="B133" s="545">
        <v>8</v>
      </c>
      <c r="C133" s="792"/>
      <c r="D133" s="792"/>
    </row>
    <row r="134" spans="1:13" ht="24.6" customHeight="1" x14ac:dyDescent="0.3"/>
    <row r="135" spans="1:13" ht="32.4" customHeight="1" x14ac:dyDescent="0.3">
      <c r="A135" s="30" t="s">
        <v>153</v>
      </c>
    </row>
    <row r="136" spans="1:13" ht="24.6" customHeight="1" x14ac:dyDescent="0.3">
      <c r="C136" s="77" t="str">
        <f>C4</f>
        <v>junior</v>
      </c>
      <c r="D136" s="77" t="str">
        <f>C5</f>
        <v>senior</v>
      </c>
      <c r="E136" s="77" t="str">
        <f>C6</f>
        <v>premium</v>
      </c>
      <c r="I136" s="108"/>
    </row>
    <row r="137" spans="1:13" ht="24.6" customHeight="1" x14ac:dyDescent="0.3">
      <c r="B137" s="31" t="s">
        <v>130</v>
      </c>
      <c r="C137" s="493">
        <v>-0.03</v>
      </c>
      <c r="D137" s="494">
        <v>-0.03</v>
      </c>
      <c r="E137" s="495">
        <v>-0.03</v>
      </c>
      <c r="F137" s="612" t="s">
        <v>369</v>
      </c>
      <c r="I137" s="108"/>
    </row>
    <row r="138" spans="1:13" ht="24.6" customHeight="1" x14ac:dyDescent="0.3">
      <c r="B138" s="31" t="s">
        <v>131</v>
      </c>
      <c r="C138" s="546">
        <v>-5</v>
      </c>
      <c r="D138" s="547">
        <v>-5</v>
      </c>
      <c r="E138" s="503">
        <v>-5</v>
      </c>
      <c r="F138" s="612" t="s">
        <v>369</v>
      </c>
      <c r="G138" s="108"/>
      <c r="I138" s="108"/>
      <c r="J138" s="20"/>
      <c r="M138" s="20"/>
    </row>
    <row r="139" spans="1:13" ht="24.6" customHeight="1" x14ac:dyDescent="0.3">
      <c r="A139" s="608" t="s">
        <v>41</v>
      </c>
      <c r="B139" s="605" t="s">
        <v>411</v>
      </c>
      <c r="C139" s="656">
        <v>0.4</v>
      </c>
      <c r="D139" s="657">
        <v>0.3</v>
      </c>
      <c r="E139" s="676">
        <v>0.15</v>
      </c>
      <c r="F139" s="612" t="s">
        <v>370</v>
      </c>
      <c r="J139" s="20"/>
    </row>
    <row r="140" spans="1:13" ht="24.6" customHeight="1" x14ac:dyDescent="0.3">
      <c r="A140" s="607"/>
      <c r="B140" s="96" t="s">
        <v>412</v>
      </c>
      <c r="C140" s="659">
        <v>0.6</v>
      </c>
      <c r="D140" s="660">
        <v>0.4</v>
      </c>
      <c r="E140" s="678">
        <v>0.25</v>
      </c>
    </row>
    <row r="141" spans="1:13" ht="24.6" customHeight="1" x14ac:dyDescent="0.3">
      <c r="A141" s="604"/>
      <c r="B141" s="606" t="s">
        <v>413</v>
      </c>
      <c r="C141" s="662">
        <v>0.7</v>
      </c>
      <c r="D141" s="663">
        <v>0.5</v>
      </c>
      <c r="E141" s="677">
        <v>0.35</v>
      </c>
    </row>
    <row r="142" spans="1:13" ht="24.6" customHeight="1" x14ac:dyDescent="0.3">
      <c r="A142" s="609" t="s">
        <v>56</v>
      </c>
      <c r="B142" s="605" t="s">
        <v>414</v>
      </c>
      <c r="C142" s="682">
        <v>2</v>
      </c>
      <c r="D142" s="683">
        <v>0</v>
      </c>
      <c r="E142" s="684">
        <v>0</v>
      </c>
      <c r="J142" s="20"/>
    </row>
    <row r="143" spans="1:13" ht="24.6" customHeight="1" x14ac:dyDescent="0.3">
      <c r="A143" s="607"/>
      <c r="B143" s="96" t="s">
        <v>415</v>
      </c>
      <c r="C143" s="685">
        <v>-10</v>
      </c>
      <c r="D143" s="686">
        <v>-5</v>
      </c>
      <c r="E143" s="687">
        <v>-8</v>
      </c>
    </row>
    <row r="144" spans="1:13" ht="24.6" customHeight="1" x14ac:dyDescent="0.3">
      <c r="A144" s="607"/>
      <c r="B144" s="96" t="s">
        <v>416</v>
      </c>
      <c r="C144" s="688">
        <v>-20</v>
      </c>
      <c r="D144" s="689">
        <v>-10</v>
      </c>
      <c r="E144" s="690">
        <v>-20</v>
      </c>
    </row>
    <row r="145" spans="1:16" ht="24.6" customHeight="1" x14ac:dyDescent="0.3">
      <c r="A145" s="609" t="s">
        <v>57</v>
      </c>
      <c r="B145" s="605" t="s">
        <v>414</v>
      </c>
      <c r="C145" s="484">
        <v>0</v>
      </c>
      <c r="D145" s="485">
        <v>0</v>
      </c>
      <c r="E145" s="486">
        <v>0</v>
      </c>
    </row>
    <row r="146" spans="1:16" ht="24.6" customHeight="1" x14ac:dyDescent="0.3">
      <c r="A146" s="607"/>
      <c r="B146" s="96" t="s">
        <v>415</v>
      </c>
      <c r="C146" s="487">
        <v>1</v>
      </c>
      <c r="D146" s="488">
        <v>1</v>
      </c>
      <c r="E146" s="489">
        <v>2</v>
      </c>
    </row>
    <row r="147" spans="1:16" ht="24.6" customHeight="1" x14ac:dyDescent="0.3">
      <c r="A147" s="607"/>
      <c r="B147" s="96" t="s">
        <v>416</v>
      </c>
      <c r="C147" s="490">
        <v>3</v>
      </c>
      <c r="D147" s="491">
        <v>3</v>
      </c>
      <c r="E147" s="492">
        <v>4</v>
      </c>
    </row>
    <row r="148" spans="1:16" ht="24.6" customHeight="1" x14ac:dyDescent="0.3">
      <c r="A148" s="609" t="s">
        <v>349</v>
      </c>
      <c r="B148" s="605" t="s">
        <v>411</v>
      </c>
      <c r="C148" s="484">
        <v>70</v>
      </c>
      <c r="D148" s="485">
        <v>70</v>
      </c>
      <c r="E148" s="486">
        <v>70</v>
      </c>
    </row>
    <row r="149" spans="1:16" ht="24.6" customHeight="1" x14ac:dyDescent="0.3">
      <c r="A149" s="607"/>
      <c r="B149" s="96" t="s">
        <v>412</v>
      </c>
      <c r="C149" s="487">
        <v>90</v>
      </c>
      <c r="D149" s="488">
        <v>90</v>
      </c>
      <c r="E149" s="489">
        <v>90</v>
      </c>
    </row>
    <row r="150" spans="1:16" ht="24.6" customHeight="1" x14ac:dyDescent="0.3">
      <c r="A150" s="607"/>
      <c r="B150" s="96" t="s">
        <v>413</v>
      </c>
      <c r="C150" s="490">
        <v>110</v>
      </c>
      <c r="D150" s="491">
        <v>110</v>
      </c>
      <c r="E150" s="492">
        <v>110</v>
      </c>
    </row>
    <row r="151" spans="1:16" ht="24.6" customHeight="1" x14ac:dyDescent="0.3">
      <c r="A151" s="609"/>
      <c r="B151" s="691" t="s">
        <v>414</v>
      </c>
      <c r="C151" s="496">
        <v>-7.0000000000000007E-2</v>
      </c>
      <c r="D151" s="497">
        <v>-7.0000000000000007E-2</v>
      </c>
      <c r="E151" s="498">
        <v>-7.0000000000000007E-2</v>
      </c>
    </row>
    <row r="152" spans="1:16" ht="24.6" customHeight="1" x14ac:dyDescent="0.3">
      <c r="A152" s="607"/>
      <c r="B152" s="692" t="s">
        <v>415</v>
      </c>
      <c r="C152" s="496">
        <v>0</v>
      </c>
      <c r="D152" s="497">
        <v>0</v>
      </c>
      <c r="E152" s="498">
        <v>0</v>
      </c>
    </row>
    <row r="153" spans="1:16" ht="24.6" customHeight="1" x14ac:dyDescent="0.3">
      <c r="A153" s="604"/>
      <c r="B153" s="693" t="s">
        <v>416</v>
      </c>
      <c r="C153" s="499">
        <v>0.05</v>
      </c>
      <c r="D153" s="500">
        <v>0.05</v>
      </c>
      <c r="E153" s="501">
        <v>0.05</v>
      </c>
    </row>
    <row r="154" spans="1:16" ht="24.6" customHeight="1" x14ac:dyDescent="0.3">
      <c r="B154" s="22"/>
    </row>
    <row r="155" spans="1:16" ht="24.6" customHeight="1" x14ac:dyDescent="0.3">
      <c r="B155" s="22"/>
    </row>
    <row r="156" spans="1:16" ht="24.6" customHeight="1" x14ac:dyDescent="0.3">
      <c r="A156" s="30" t="s">
        <v>302</v>
      </c>
      <c r="B156" s="614" t="s">
        <v>371</v>
      </c>
      <c r="E156" s="788" t="s">
        <v>4</v>
      </c>
      <c r="F156" s="789"/>
      <c r="G156" s="790"/>
      <c r="H156" s="788" t="s">
        <v>6</v>
      </c>
      <c r="I156" s="789"/>
      <c r="J156" s="790"/>
      <c r="K156" s="788" t="s">
        <v>9</v>
      </c>
      <c r="L156" s="789"/>
      <c r="M156" s="790"/>
      <c r="N156" s="788" t="s">
        <v>11</v>
      </c>
      <c r="O156" s="789"/>
      <c r="P156" s="790"/>
    </row>
    <row r="157" spans="1:16" ht="38.4" customHeight="1" x14ac:dyDescent="0.3">
      <c r="B157" s="22"/>
      <c r="C157" s="158" t="s">
        <v>292</v>
      </c>
      <c r="D157" s="158" t="s">
        <v>293</v>
      </c>
      <c r="E157" s="7" t="s">
        <v>294</v>
      </c>
      <c r="F157" s="8" t="s">
        <v>184</v>
      </c>
      <c r="G157" s="161" t="s">
        <v>295</v>
      </c>
      <c r="H157" s="7" t="s">
        <v>294</v>
      </c>
      <c r="I157" s="8" t="s">
        <v>184</v>
      </c>
      <c r="J157" s="161" t="s">
        <v>295</v>
      </c>
      <c r="K157" s="7" t="s">
        <v>294</v>
      </c>
      <c r="L157" s="8" t="s">
        <v>184</v>
      </c>
      <c r="M157" s="161" t="s">
        <v>295</v>
      </c>
      <c r="N157" s="7" t="s">
        <v>294</v>
      </c>
      <c r="O157" s="8" t="s">
        <v>184</v>
      </c>
      <c r="P157" s="161" t="s">
        <v>295</v>
      </c>
    </row>
    <row r="158" spans="1:16" ht="24.6" customHeight="1" x14ac:dyDescent="0.3">
      <c r="A158" s="22"/>
      <c r="B158" s="96" t="s">
        <v>411</v>
      </c>
      <c r="C158" s="548">
        <v>70</v>
      </c>
      <c r="D158" s="549">
        <v>30</v>
      </c>
      <c r="E158" s="550">
        <v>10000</v>
      </c>
      <c r="F158" s="549">
        <v>50</v>
      </c>
      <c r="G158" s="551">
        <v>50</v>
      </c>
      <c r="H158" s="550">
        <v>30000</v>
      </c>
      <c r="I158" s="549">
        <v>50</v>
      </c>
      <c r="J158" s="551">
        <v>20</v>
      </c>
      <c r="K158" s="550">
        <v>20000</v>
      </c>
      <c r="L158" s="549">
        <v>30</v>
      </c>
      <c r="M158" s="551">
        <v>15</v>
      </c>
      <c r="N158" s="550">
        <v>40000</v>
      </c>
      <c r="O158" s="549">
        <v>100</v>
      </c>
      <c r="P158" s="551">
        <v>100</v>
      </c>
    </row>
    <row r="159" spans="1:16" ht="24.6" customHeight="1" x14ac:dyDescent="0.3">
      <c r="B159" s="96" t="s">
        <v>412</v>
      </c>
      <c r="C159" s="552">
        <v>90</v>
      </c>
      <c r="D159" s="553">
        <v>22</v>
      </c>
      <c r="E159" s="554">
        <v>20000</v>
      </c>
      <c r="F159" s="553">
        <v>100</v>
      </c>
      <c r="G159" s="555">
        <v>80</v>
      </c>
      <c r="H159" s="554">
        <v>40000</v>
      </c>
      <c r="I159" s="553">
        <v>100</v>
      </c>
      <c r="J159" s="555">
        <v>40</v>
      </c>
      <c r="K159" s="554">
        <v>35000</v>
      </c>
      <c r="L159" s="553">
        <v>50</v>
      </c>
      <c r="M159" s="555">
        <v>30</v>
      </c>
      <c r="N159" s="554">
        <v>60000</v>
      </c>
      <c r="O159" s="553">
        <v>200</v>
      </c>
      <c r="P159" s="555">
        <v>200</v>
      </c>
    </row>
    <row r="160" spans="1:16" ht="24.6" customHeight="1" x14ac:dyDescent="0.3">
      <c r="B160" s="96" t="s">
        <v>413</v>
      </c>
      <c r="C160" s="552">
        <v>100</v>
      </c>
      <c r="D160" s="553">
        <v>15</v>
      </c>
      <c r="E160" s="554">
        <v>30000</v>
      </c>
      <c r="F160" s="553">
        <v>150</v>
      </c>
      <c r="G160" s="555">
        <v>120</v>
      </c>
      <c r="H160" s="554">
        <v>50000</v>
      </c>
      <c r="I160" s="553">
        <v>150</v>
      </c>
      <c r="J160" s="555">
        <v>60</v>
      </c>
      <c r="K160" s="554">
        <v>50000</v>
      </c>
      <c r="L160" s="553">
        <v>80</v>
      </c>
      <c r="M160" s="555">
        <v>45</v>
      </c>
      <c r="N160" s="554">
        <v>80000</v>
      </c>
      <c r="O160" s="553">
        <v>300</v>
      </c>
      <c r="P160" s="555">
        <v>300</v>
      </c>
    </row>
    <row r="161" spans="2:16" ht="24.6" customHeight="1" x14ac:dyDescent="0.3">
      <c r="B161" s="96" t="s">
        <v>418</v>
      </c>
      <c r="C161" s="556">
        <v>110</v>
      </c>
      <c r="D161" s="557">
        <v>10</v>
      </c>
      <c r="E161" s="558">
        <v>40000</v>
      </c>
      <c r="F161" s="557">
        <v>300</v>
      </c>
      <c r="G161" s="559">
        <v>200</v>
      </c>
      <c r="H161" s="558">
        <v>60000</v>
      </c>
      <c r="I161" s="557">
        <v>300</v>
      </c>
      <c r="J161" s="559">
        <v>100</v>
      </c>
      <c r="K161" s="558">
        <v>65000</v>
      </c>
      <c r="L161" s="557">
        <v>120</v>
      </c>
      <c r="M161" s="559">
        <v>60</v>
      </c>
      <c r="N161" s="558">
        <v>100000</v>
      </c>
      <c r="O161" s="557">
        <v>400</v>
      </c>
      <c r="P161" s="559">
        <v>400</v>
      </c>
    </row>
    <row r="162" spans="2:16" ht="24.6" customHeight="1" x14ac:dyDescent="0.3">
      <c r="B162" s="96" t="s">
        <v>414</v>
      </c>
      <c r="C162" s="164">
        <v>0</v>
      </c>
      <c r="D162" s="165">
        <v>0</v>
      </c>
      <c r="E162" s="164">
        <v>0</v>
      </c>
      <c r="F162" s="165">
        <v>0</v>
      </c>
      <c r="G162" s="166">
        <v>0</v>
      </c>
      <c r="H162" s="164">
        <v>0</v>
      </c>
      <c r="I162" s="165">
        <v>0</v>
      </c>
      <c r="J162" s="166">
        <v>0</v>
      </c>
      <c r="K162" s="164">
        <v>0</v>
      </c>
      <c r="L162" s="165">
        <v>0</v>
      </c>
      <c r="M162" s="166">
        <v>0</v>
      </c>
      <c r="N162" s="164">
        <v>0</v>
      </c>
      <c r="O162" s="165">
        <v>0</v>
      </c>
      <c r="P162" s="166">
        <v>0</v>
      </c>
    </row>
    <row r="163" spans="2:16" ht="24.6" customHeight="1" x14ac:dyDescent="0.3">
      <c r="B163" s="96" t="s">
        <v>415</v>
      </c>
      <c r="C163" s="560">
        <v>5</v>
      </c>
      <c r="D163" s="561">
        <v>2</v>
      </c>
      <c r="E163" s="560">
        <v>3</v>
      </c>
      <c r="F163" s="561">
        <v>2</v>
      </c>
      <c r="G163" s="562">
        <v>2</v>
      </c>
      <c r="H163" s="560">
        <v>3</v>
      </c>
      <c r="I163" s="561">
        <v>2</v>
      </c>
      <c r="J163" s="562">
        <v>2</v>
      </c>
      <c r="K163" s="560">
        <v>3</v>
      </c>
      <c r="L163" s="561">
        <v>2</v>
      </c>
      <c r="M163" s="562">
        <v>2</v>
      </c>
      <c r="N163" s="560">
        <v>3</v>
      </c>
      <c r="O163" s="561">
        <v>2</v>
      </c>
      <c r="P163" s="562">
        <v>2</v>
      </c>
    </row>
    <row r="164" spans="2:16" ht="24.6" customHeight="1" x14ac:dyDescent="0.3">
      <c r="B164" s="96" t="s">
        <v>416</v>
      </c>
      <c r="C164" s="560">
        <v>10</v>
      </c>
      <c r="D164" s="561">
        <v>3</v>
      </c>
      <c r="E164" s="560">
        <v>7</v>
      </c>
      <c r="F164" s="561">
        <v>3</v>
      </c>
      <c r="G164" s="562">
        <v>3</v>
      </c>
      <c r="H164" s="560">
        <v>7</v>
      </c>
      <c r="I164" s="561">
        <v>3</v>
      </c>
      <c r="J164" s="562">
        <v>3</v>
      </c>
      <c r="K164" s="560">
        <v>7</v>
      </c>
      <c r="L164" s="561">
        <v>3</v>
      </c>
      <c r="M164" s="562">
        <v>3</v>
      </c>
      <c r="N164" s="560">
        <v>7</v>
      </c>
      <c r="O164" s="561">
        <v>3</v>
      </c>
      <c r="P164" s="562">
        <v>3</v>
      </c>
    </row>
    <row r="165" spans="2:16" ht="24.6" customHeight="1" x14ac:dyDescent="0.3">
      <c r="B165" s="96" t="s">
        <v>417</v>
      </c>
      <c r="C165" s="162">
        <f>C120</f>
        <v>15</v>
      </c>
      <c r="D165" s="163">
        <f>C121</f>
        <v>5</v>
      </c>
      <c r="E165" s="162">
        <f>C117</f>
        <v>10</v>
      </c>
      <c r="F165" s="163">
        <f>C118</f>
        <v>5</v>
      </c>
      <c r="G165" s="167">
        <f>C119</f>
        <v>5</v>
      </c>
      <c r="H165" s="162">
        <f t="shared" ref="H165:P165" si="2">E165</f>
        <v>10</v>
      </c>
      <c r="I165" s="163">
        <f t="shared" si="2"/>
        <v>5</v>
      </c>
      <c r="J165" s="167">
        <f t="shared" si="2"/>
        <v>5</v>
      </c>
      <c r="K165" s="162">
        <f t="shared" si="2"/>
        <v>10</v>
      </c>
      <c r="L165" s="163">
        <f t="shared" si="2"/>
        <v>5</v>
      </c>
      <c r="M165" s="167">
        <f t="shared" si="2"/>
        <v>5</v>
      </c>
      <c r="N165" s="162">
        <f t="shared" si="2"/>
        <v>10</v>
      </c>
      <c r="O165" s="163">
        <f t="shared" si="2"/>
        <v>5</v>
      </c>
      <c r="P165" s="167">
        <f t="shared" si="2"/>
        <v>5</v>
      </c>
    </row>
    <row r="166" spans="2:16" ht="24.6" customHeight="1" x14ac:dyDescent="0.3">
      <c r="B166" s="22"/>
    </row>
    <row r="167" spans="2:16" ht="24.6" customHeight="1" x14ac:dyDescent="0.3">
      <c r="B167" s="22"/>
    </row>
    <row r="168" spans="2:16" ht="24.6" customHeight="1" x14ac:dyDescent="0.3">
      <c r="B168" s="22"/>
    </row>
    <row r="169" spans="2:16" ht="24.6" customHeight="1" x14ac:dyDescent="0.3">
      <c r="B169" s="22"/>
    </row>
    <row r="170" spans="2:16" ht="24.6" customHeight="1" x14ac:dyDescent="0.3">
      <c r="B170" s="22"/>
    </row>
    <row r="171" spans="2:16" ht="24.6" customHeight="1" x14ac:dyDescent="0.3">
      <c r="B171" s="22"/>
    </row>
    <row r="172" spans="2:16" ht="24.6" customHeight="1" x14ac:dyDescent="0.3">
      <c r="B172" s="22"/>
    </row>
    <row r="173" spans="2:16" ht="24.6" customHeight="1" x14ac:dyDescent="0.3">
      <c r="B173" s="22"/>
    </row>
    <row r="174" spans="2:16" ht="24.6" customHeight="1" x14ac:dyDescent="0.3">
      <c r="B174" s="22"/>
    </row>
    <row r="175" spans="2:16" ht="24.6" customHeight="1" x14ac:dyDescent="0.3">
      <c r="B175" s="22"/>
    </row>
    <row r="176" spans="2:16" ht="24.6" customHeight="1" x14ac:dyDescent="0.3">
      <c r="B176" s="22"/>
    </row>
    <row r="177" spans="2:2" ht="24.6" customHeight="1" x14ac:dyDescent="0.3">
      <c r="B177" s="22"/>
    </row>
    <row r="178" spans="2:2" ht="24.6" customHeight="1" x14ac:dyDescent="0.3">
      <c r="B178" s="22"/>
    </row>
    <row r="179" spans="2:2" ht="24.6" customHeight="1" x14ac:dyDescent="0.3">
      <c r="B179" s="22"/>
    </row>
    <row r="180" spans="2:2" ht="24.6" customHeight="1" x14ac:dyDescent="0.3">
      <c r="B180" s="22"/>
    </row>
    <row r="181" spans="2:2" ht="24.6" customHeight="1" x14ac:dyDescent="0.3">
      <c r="B181" s="22"/>
    </row>
    <row r="182" spans="2:2" ht="24.6" customHeight="1" x14ac:dyDescent="0.3">
      <c r="B182" s="22"/>
    </row>
    <row r="183" spans="2:2" ht="24.6" customHeight="1" x14ac:dyDescent="0.3">
      <c r="B183" s="22"/>
    </row>
    <row r="184" spans="2:2" ht="24.6" customHeight="1" x14ac:dyDescent="0.3">
      <c r="B184" s="22"/>
    </row>
    <row r="185" spans="2:2" ht="24.6" customHeight="1" x14ac:dyDescent="0.3">
      <c r="B185" s="22"/>
    </row>
    <row r="186" spans="2:2" ht="24.6" customHeight="1" x14ac:dyDescent="0.3">
      <c r="B186" s="22"/>
    </row>
    <row r="187" spans="2:2" ht="24.6" customHeight="1" x14ac:dyDescent="0.3">
      <c r="B187" s="22"/>
    </row>
    <row r="188" spans="2:2" ht="24.6" customHeight="1" x14ac:dyDescent="0.3">
      <c r="B188" s="22"/>
    </row>
    <row r="189" spans="2:2" ht="24.6" customHeight="1" x14ac:dyDescent="0.3">
      <c r="B189" s="22"/>
    </row>
    <row r="190" spans="2:2" ht="24.6" customHeight="1" x14ac:dyDescent="0.3">
      <c r="B190" s="22"/>
    </row>
    <row r="191" spans="2:2" ht="24.6" customHeight="1" x14ac:dyDescent="0.3">
      <c r="B191" s="22"/>
    </row>
    <row r="192" spans="2:2" ht="24.6" customHeight="1" x14ac:dyDescent="0.3">
      <c r="B192" s="22"/>
    </row>
    <row r="193" spans="2:2" ht="24.6" customHeight="1" x14ac:dyDescent="0.3">
      <c r="B193" s="22"/>
    </row>
    <row r="194" spans="2:2" ht="24.6" customHeight="1" x14ac:dyDescent="0.3">
      <c r="B194" s="22"/>
    </row>
    <row r="195" spans="2:2" ht="24.6" customHeight="1" x14ac:dyDescent="0.3">
      <c r="B195" s="22"/>
    </row>
    <row r="196" spans="2:2" ht="24.6" customHeight="1" x14ac:dyDescent="0.3">
      <c r="B196" s="22"/>
    </row>
    <row r="197" spans="2:2" ht="24.6" customHeight="1" x14ac:dyDescent="0.3">
      <c r="B197" s="22"/>
    </row>
    <row r="198" spans="2:2" ht="24.6" customHeight="1" x14ac:dyDescent="0.3">
      <c r="B198" s="22"/>
    </row>
    <row r="199" spans="2:2" ht="24.6" customHeight="1" x14ac:dyDescent="0.3">
      <c r="B199" s="22"/>
    </row>
    <row r="200" spans="2:2" ht="24.6" customHeight="1" x14ac:dyDescent="0.3">
      <c r="B200" s="22"/>
    </row>
    <row r="201" spans="2:2" ht="24.6" customHeight="1" x14ac:dyDescent="0.3">
      <c r="B201" s="22"/>
    </row>
    <row r="202" spans="2:2" ht="24.6" customHeight="1" x14ac:dyDescent="0.3">
      <c r="B202" s="22"/>
    </row>
    <row r="203" spans="2:2" ht="24.6" customHeight="1" x14ac:dyDescent="0.3">
      <c r="B203" s="22"/>
    </row>
    <row r="204" spans="2:2" ht="24.6" customHeight="1" x14ac:dyDescent="0.3">
      <c r="B204" s="22"/>
    </row>
    <row r="205" spans="2:2" ht="24.6" customHeight="1" x14ac:dyDescent="0.3">
      <c r="B205" s="22"/>
    </row>
    <row r="206" spans="2:2" ht="24.6" customHeight="1" x14ac:dyDescent="0.3">
      <c r="B206" s="22"/>
    </row>
    <row r="207" spans="2:2" ht="24.6" customHeight="1" x14ac:dyDescent="0.3">
      <c r="B207" s="22"/>
    </row>
    <row r="208" spans="2:2" ht="24.6" customHeight="1" x14ac:dyDescent="0.3">
      <c r="B208" s="22"/>
    </row>
    <row r="209" spans="2:2" ht="24.6" customHeight="1" x14ac:dyDescent="0.3">
      <c r="B209" s="22"/>
    </row>
    <row r="210" spans="2:2" ht="24.6" customHeight="1" x14ac:dyDescent="0.3">
      <c r="B210" s="22"/>
    </row>
    <row r="211" spans="2:2" ht="24.6" customHeight="1" x14ac:dyDescent="0.3">
      <c r="B211" s="22"/>
    </row>
    <row r="212" spans="2:2" ht="24.6" customHeight="1" x14ac:dyDescent="0.3">
      <c r="B212" s="22"/>
    </row>
    <row r="213" spans="2:2" ht="24.6" customHeight="1" x14ac:dyDescent="0.3">
      <c r="B213" s="22"/>
    </row>
    <row r="214" spans="2:2" ht="24.6" customHeight="1" x14ac:dyDescent="0.3">
      <c r="B214" s="22"/>
    </row>
    <row r="215" spans="2:2" ht="24.6" customHeight="1" x14ac:dyDescent="0.3">
      <c r="B215" s="22"/>
    </row>
    <row r="216" spans="2:2" ht="24.6" customHeight="1" x14ac:dyDescent="0.3">
      <c r="B216" s="22"/>
    </row>
    <row r="217" spans="2:2" ht="24.6" customHeight="1" x14ac:dyDescent="0.3">
      <c r="B217" s="22"/>
    </row>
    <row r="218" spans="2:2" ht="24.6" customHeight="1" x14ac:dyDescent="0.3">
      <c r="B218" s="22"/>
    </row>
    <row r="219" spans="2:2" ht="24.6" customHeight="1" x14ac:dyDescent="0.3">
      <c r="B219" s="22"/>
    </row>
    <row r="220" spans="2:2" ht="24.6" customHeight="1" x14ac:dyDescent="0.3">
      <c r="B220" s="22"/>
    </row>
    <row r="221" spans="2:2" ht="24.6" customHeight="1" x14ac:dyDescent="0.3">
      <c r="B221" s="22"/>
    </row>
    <row r="222" spans="2:2" ht="24.6" customHeight="1" x14ac:dyDescent="0.3">
      <c r="B222" s="22"/>
    </row>
    <row r="223" spans="2:2" ht="24.6" customHeight="1" x14ac:dyDescent="0.3">
      <c r="B223" s="22"/>
    </row>
    <row r="224" spans="2:2" ht="24.6" customHeight="1" x14ac:dyDescent="0.3">
      <c r="B224" s="22"/>
    </row>
    <row r="225" spans="2:2" ht="24.6" customHeight="1" x14ac:dyDescent="0.3">
      <c r="B225" s="22"/>
    </row>
    <row r="226" spans="2:2" ht="24.6" customHeight="1" x14ac:dyDescent="0.3"/>
    <row r="227" spans="2:2" ht="24.6" customHeight="1" x14ac:dyDescent="0.3"/>
    <row r="228" spans="2:2" ht="24.6" customHeight="1" x14ac:dyDescent="0.3"/>
    <row r="229" spans="2:2" ht="24.6" customHeight="1" x14ac:dyDescent="0.3"/>
    <row r="230" spans="2:2" ht="24.6" customHeight="1" x14ac:dyDescent="0.3"/>
    <row r="231" spans="2:2" ht="24.6" customHeight="1" x14ac:dyDescent="0.3"/>
    <row r="232" spans="2:2" ht="24.6" customHeight="1" x14ac:dyDescent="0.3"/>
    <row r="233" spans="2:2" ht="24.6" customHeight="1" x14ac:dyDescent="0.3"/>
    <row r="234" spans="2:2" ht="24.6" customHeight="1" x14ac:dyDescent="0.3"/>
    <row r="235" spans="2:2" ht="24.6" customHeight="1" x14ac:dyDescent="0.3"/>
    <row r="236" spans="2:2" ht="24.6" customHeight="1" x14ac:dyDescent="0.3"/>
    <row r="237" spans="2:2" ht="24.6" customHeight="1" x14ac:dyDescent="0.3"/>
    <row r="238" spans="2:2" ht="24.6" customHeight="1" x14ac:dyDescent="0.3"/>
    <row r="239" spans="2:2" ht="24.6" customHeight="1" x14ac:dyDescent="0.3"/>
    <row r="240" spans="2:2" ht="24.6" customHeight="1" x14ac:dyDescent="0.3"/>
    <row r="241" ht="24.6" customHeight="1" x14ac:dyDescent="0.3"/>
    <row r="242" ht="24.6" customHeight="1" x14ac:dyDescent="0.3"/>
    <row r="243" ht="24.6" customHeight="1" x14ac:dyDescent="0.3"/>
    <row r="244" ht="24.6" customHeight="1" x14ac:dyDescent="0.3"/>
    <row r="245" ht="24.6" customHeight="1" x14ac:dyDescent="0.3"/>
    <row r="246" ht="24.6" customHeight="1" x14ac:dyDescent="0.3"/>
    <row r="247" ht="24.6" customHeight="1" x14ac:dyDescent="0.3"/>
    <row r="248" ht="24.6" customHeight="1" x14ac:dyDescent="0.3"/>
    <row r="249" ht="24.6" customHeight="1" x14ac:dyDescent="0.3"/>
    <row r="250" ht="24.6" customHeight="1" x14ac:dyDescent="0.3"/>
    <row r="251" ht="24.6" customHeight="1" x14ac:dyDescent="0.3"/>
    <row r="252" ht="24.6" customHeight="1" x14ac:dyDescent="0.3"/>
    <row r="253" ht="24.6" customHeight="1" x14ac:dyDescent="0.3"/>
    <row r="254" ht="24.6" customHeight="1" x14ac:dyDescent="0.3"/>
    <row r="255" ht="24.6" customHeight="1" x14ac:dyDescent="0.3"/>
    <row r="256" ht="24.6" customHeight="1" x14ac:dyDescent="0.3"/>
    <row r="257" ht="24.6" customHeight="1" x14ac:dyDescent="0.3"/>
    <row r="258" ht="24.6" customHeight="1" x14ac:dyDescent="0.3"/>
    <row r="259" ht="24.6" customHeight="1" x14ac:dyDescent="0.3"/>
    <row r="260" ht="24.6" customHeight="1" x14ac:dyDescent="0.3"/>
    <row r="261" ht="24.6" customHeight="1" x14ac:dyDescent="0.3"/>
    <row r="262" ht="24.6" customHeight="1" x14ac:dyDescent="0.3"/>
    <row r="263" ht="24.6" customHeight="1" x14ac:dyDescent="0.3"/>
    <row r="264" ht="24.6" customHeight="1" x14ac:dyDescent="0.3"/>
    <row r="265" ht="24.6" customHeight="1" x14ac:dyDescent="0.3"/>
    <row r="266" ht="24.6" customHeight="1" x14ac:dyDescent="0.3"/>
    <row r="267" ht="24.6" customHeight="1" x14ac:dyDescent="0.3"/>
    <row r="268" ht="24.6" customHeight="1" x14ac:dyDescent="0.3"/>
    <row r="269" ht="24.6" customHeight="1" x14ac:dyDescent="0.3"/>
    <row r="270" ht="24.6" customHeight="1" x14ac:dyDescent="0.3"/>
    <row r="271" ht="24.6" customHeight="1" x14ac:dyDescent="0.3"/>
    <row r="272" ht="24.6" customHeight="1" x14ac:dyDescent="0.3"/>
    <row r="273" ht="24.6" customHeight="1" x14ac:dyDescent="0.3"/>
    <row r="274" ht="24.6" customHeight="1" x14ac:dyDescent="0.3"/>
    <row r="275" ht="24.6" customHeight="1" x14ac:dyDescent="0.3"/>
    <row r="276" ht="24.6" customHeight="1" x14ac:dyDescent="0.3"/>
    <row r="277" ht="24.6" customHeight="1" x14ac:dyDescent="0.3"/>
    <row r="278" ht="24.6" customHeight="1" x14ac:dyDescent="0.3"/>
    <row r="279" ht="24.6" customHeight="1" x14ac:dyDescent="0.3"/>
    <row r="280" ht="24.6" customHeight="1" x14ac:dyDescent="0.3"/>
    <row r="281" ht="24.6" customHeight="1" x14ac:dyDescent="0.3"/>
    <row r="282" ht="24.6" customHeight="1" x14ac:dyDescent="0.3"/>
    <row r="283" ht="24.6" customHeight="1" x14ac:dyDescent="0.3"/>
    <row r="284" ht="24.6" customHeight="1" x14ac:dyDescent="0.3"/>
    <row r="285" ht="24.6" customHeight="1" x14ac:dyDescent="0.3"/>
    <row r="286" ht="24.6" customHeight="1" x14ac:dyDescent="0.3"/>
    <row r="287" ht="24.6" customHeight="1" x14ac:dyDescent="0.3"/>
    <row r="288" ht="24.6" customHeight="1" x14ac:dyDescent="0.3"/>
    <row r="289" ht="24.6" customHeight="1" x14ac:dyDescent="0.3"/>
    <row r="290" ht="24.6" customHeight="1" x14ac:dyDescent="0.3"/>
    <row r="291" ht="24.6" customHeight="1" x14ac:dyDescent="0.3"/>
    <row r="292" ht="24.6" customHeight="1" x14ac:dyDescent="0.3"/>
    <row r="293" ht="24.6" customHeight="1" x14ac:dyDescent="0.3"/>
    <row r="294" ht="24.6" customHeight="1" x14ac:dyDescent="0.3"/>
    <row r="295" ht="24.6" customHeight="1" x14ac:dyDescent="0.3"/>
    <row r="296" ht="24.6" customHeight="1" x14ac:dyDescent="0.3"/>
    <row r="297" ht="24.6" customHeight="1" x14ac:dyDescent="0.3"/>
    <row r="298" ht="24.6" customHeight="1" x14ac:dyDescent="0.3"/>
    <row r="299" ht="24.6" customHeight="1" x14ac:dyDescent="0.3"/>
    <row r="300" ht="24.6" customHeight="1" x14ac:dyDescent="0.3"/>
    <row r="301" ht="24.6" customHeight="1" x14ac:dyDescent="0.3"/>
    <row r="302" ht="24.6" customHeight="1" x14ac:dyDescent="0.3"/>
    <row r="303" ht="24.6" customHeight="1" x14ac:dyDescent="0.3"/>
    <row r="304" ht="24.6" customHeight="1" x14ac:dyDescent="0.3"/>
    <row r="305" ht="24.6" customHeight="1" x14ac:dyDescent="0.3"/>
    <row r="306" ht="24.6" customHeight="1" x14ac:dyDescent="0.3"/>
    <row r="307" ht="24.6" customHeight="1" x14ac:dyDescent="0.3"/>
    <row r="308" ht="24.6" customHeight="1" x14ac:dyDescent="0.3"/>
  </sheetData>
  <mergeCells count="38">
    <mergeCell ref="I96:K96"/>
    <mergeCell ref="I98:K98"/>
    <mergeCell ref="L98:N98"/>
    <mergeCell ref="O98:Q98"/>
    <mergeCell ref="I100:K100"/>
    <mergeCell ref="J83:J84"/>
    <mergeCell ref="K83:K84"/>
    <mergeCell ref="I83:I84"/>
    <mergeCell ref="I93:K93"/>
    <mergeCell ref="L93:N93"/>
    <mergeCell ref="N156:P156"/>
    <mergeCell ref="C131:D131"/>
    <mergeCell ref="C132:D132"/>
    <mergeCell ref="C133:D133"/>
    <mergeCell ref="C126:D126"/>
    <mergeCell ref="C127:D127"/>
    <mergeCell ref="C128:D128"/>
    <mergeCell ref="C129:D129"/>
    <mergeCell ref="C130:D130"/>
    <mergeCell ref="E156:G156"/>
    <mergeCell ref="H156:J156"/>
    <mergeCell ref="K156:M156"/>
    <mergeCell ref="C109:C110"/>
    <mergeCell ref="D109:D110"/>
    <mergeCell ref="E109:E110"/>
    <mergeCell ref="G64:G65"/>
    <mergeCell ref="H64:H65"/>
    <mergeCell ref="F64:F65"/>
    <mergeCell ref="F83:H83"/>
    <mergeCell ref="Q8:S8"/>
    <mergeCell ref="W8:AF8"/>
    <mergeCell ref="K8:M8"/>
    <mergeCell ref="T8:V8"/>
    <mergeCell ref="D55:G55"/>
    <mergeCell ref="D48:F48"/>
    <mergeCell ref="N8:P8"/>
    <mergeCell ref="H8:J8"/>
    <mergeCell ref="E8:G8"/>
  </mergeCells>
  <pageMargins left="0.7" right="0.7" top="0.75" bottom="0.75" header="0.3" footer="0.3"/>
  <pageSetup paperSize="9" orientation="portrait" horizontalDpi="0" verticalDpi="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R36"/>
  <sheetViews>
    <sheetView zoomScaleNormal="100" workbookViewId="0">
      <selection activeCell="E16" sqref="E16"/>
    </sheetView>
  </sheetViews>
  <sheetFormatPr baseColWidth="10" defaultRowHeight="13.8" x14ac:dyDescent="0.25"/>
  <cols>
    <col min="1" max="1" width="15.21875" style="32" customWidth="1"/>
    <col min="2" max="2" width="21" style="32" customWidth="1"/>
    <col min="3" max="16384" width="11.5546875" style="32"/>
  </cols>
  <sheetData>
    <row r="1" spans="1:16" ht="25.8" customHeight="1" x14ac:dyDescent="0.25">
      <c r="A1" s="30" t="s">
        <v>129</v>
      </c>
    </row>
    <row r="2" spans="1:16" ht="41.4" x14ac:dyDescent="0.25">
      <c r="A2" s="1"/>
      <c r="C2" s="4" t="s">
        <v>325</v>
      </c>
      <c r="D2" s="4"/>
      <c r="E2" s="4"/>
    </row>
    <row r="3" spans="1:16" ht="18.600000000000001" customHeight="1" x14ac:dyDescent="0.25">
      <c r="B3" s="1" t="str">
        <f>Constantes!C4</f>
        <v>junior</v>
      </c>
      <c r="C3" s="514">
        <v>1800</v>
      </c>
    </row>
    <row r="4" spans="1:16" ht="18.600000000000001" customHeight="1" x14ac:dyDescent="0.25">
      <c r="B4" s="1" t="str">
        <f>Constantes!C5</f>
        <v>senior</v>
      </c>
      <c r="C4" s="517">
        <v>1200</v>
      </c>
    </row>
    <row r="5" spans="1:16" ht="18.600000000000001" customHeight="1" x14ac:dyDescent="0.25">
      <c r="B5" s="1" t="str">
        <f>Constantes!C6</f>
        <v>premium</v>
      </c>
      <c r="C5" s="520">
        <v>700</v>
      </c>
    </row>
    <row r="6" spans="1:16" ht="18.600000000000001" customHeight="1" x14ac:dyDescent="0.25">
      <c r="C6" s="300">
        <f>SUM(C3:C5)</f>
        <v>3700</v>
      </c>
    </row>
    <row r="8" spans="1:16" x14ac:dyDescent="0.25">
      <c r="A8" s="1"/>
      <c r="B8" s="1"/>
      <c r="C8" s="782" t="s">
        <v>317</v>
      </c>
      <c r="D8" s="782"/>
      <c r="E8" s="782"/>
      <c r="F8" s="795" t="s">
        <v>206</v>
      </c>
      <c r="G8" s="795"/>
      <c r="H8" s="795"/>
      <c r="I8" s="795" t="s">
        <v>138</v>
      </c>
      <c r="J8" s="795"/>
      <c r="K8" s="795"/>
      <c r="L8" s="795"/>
      <c r="M8" s="795" t="s">
        <v>139</v>
      </c>
      <c r="N8" s="795"/>
      <c r="O8" s="795"/>
      <c r="P8" s="795"/>
    </row>
    <row r="9" spans="1:16" ht="14.4" thickBot="1" x14ac:dyDescent="0.3">
      <c r="A9" s="1"/>
      <c r="B9" s="1"/>
      <c r="C9" s="26" t="str">
        <f>Constantes!C4</f>
        <v>junior</v>
      </c>
      <c r="D9" s="26" t="str">
        <f>Constantes!C5</f>
        <v>senior</v>
      </c>
      <c r="E9" s="26" t="str">
        <f>Constantes!C6</f>
        <v>premium</v>
      </c>
      <c r="F9" s="72" t="str">
        <f>C9</f>
        <v>junior</v>
      </c>
      <c r="G9" s="711" t="str">
        <f>D9</f>
        <v>senior</v>
      </c>
      <c r="H9" s="711" t="str">
        <f>E9</f>
        <v>premium</v>
      </c>
      <c r="I9" s="34" t="s">
        <v>137</v>
      </c>
      <c r="J9" s="34" t="s">
        <v>136</v>
      </c>
      <c r="K9" s="34" t="s">
        <v>135</v>
      </c>
      <c r="L9" s="34" t="s">
        <v>134</v>
      </c>
      <c r="M9" s="34" t="s">
        <v>137</v>
      </c>
      <c r="N9" s="34" t="s">
        <v>136</v>
      </c>
      <c r="O9" s="34" t="s">
        <v>135</v>
      </c>
      <c r="P9" s="34" t="s">
        <v>134</v>
      </c>
    </row>
    <row r="10" spans="1:16" ht="22.2" customHeight="1" x14ac:dyDescent="0.25">
      <c r="A10" s="12" t="s">
        <v>4</v>
      </c>
      <c r="B10" s="23" t="str">
        <f>Constantes!B10</f>
        <v>Court terme</v>
      </c>
      <c r="C10" s="564">
        <v>1</v>
      </c>
      <c r="D10" s="564">
        <v>2</v>
      </c>
      <c r="E10" s="564">
        <v>2</v>
      </c>
      <c r="F10" s="621">
        <f>M23*Constantes!Q10</f>
        <v>2000</v>
      </c>
      <c r="G10" s="621">
        <f>N23*Constantes!R10</f>
        <v>3600</v>
      </c>
      <c r="H10" s="621">
        <f>O23*Constantes!S10</f>
        <v>7000</v>
      </c>
      <c r="I10" s="564"/>
      <c r="J10" s="564"/>
      <c r="K10" s="564"/>
      <c r="L10" s="65"/>
      <c r="M10" s="564"/>
      <c r="N10" s="564"/>
      <c r="O10" s="564"/>
      <c r="P10" s="65"/>
    </row>
    <row r="11" spans="1:16" ht="22.2" customHeight="1" thickBot="1" x14ac:dyDescent="0.3">
      <c r="A11" s="15"/>
      <c r="B11" s="25" t="str">
        <f>Constantes!B11</f>
        <v>Moyen et long terme</v>
      </c>
      <c r="C11" s="565">
        <v>0</v>
      </c>
      <c r="D11" s="565">
        <v>1</v>
      </c>
      <c r="E11" s="565">
        <v>1</v>
      </c>
      <c r="F11" s="622">
        <f>M24*Constantes!Q11</f>
        <v>3200</v>
      </c>
      <c r="G11" s="622">
        <f>N24*Constantes!R11</f>
        <v>10800</v>
      </c>
      <c r="H11" s="622">
        <f>O24*Constantes!S11</f>
        <v>24000</v>
      </c>
      <c r="I11" s="565"/>
      <c r="J11" s="565"/>
      <c r="K11" s="565"/>
      <c r="L11" s="66"/>
      <c r="M11" s="565"/>
      <c r="N11" s="565"/>
      <c r="O11" s="565"/>
      <c r="P11" s="66"/>
    </row>
    <row r="12" spans="1:16" ht="22.2" customHeight="1" x14ac:dyDescent="0.25">
      <c r="A12" s="12" t="s">
        <v>6</v>
      </c>
      <c r="B12" s="23" t="str">
        <f>Constantes!B12</f>
        <v>Immobilier</v>
      </c>
      <c r="C12" s="564">
        <v>0</v>
      </c>
      <c r="D12" s="564">
        <v>1</v>
      </c>
      <c r="E12" s="564">
        <v>2</v>
      </c>
      <c r="F12" s="623">
        <f>M25*Constantes!Q12</f>
        <v>20000</v>
      </c>
      <c r="G12" s="623">
        <f>N25*Constantes!R12</f>
        <v>45000</v>
      </c>
      <c r="H12" s="623">
        <f>O25*Constantes!S12</f>
        <v>50000</v>
      </c>
      <c r="I12" s="564"/>
      <c r="J12" s="564"/>
      <c r="K12" s="564"/>
      <c r="L12" s="65"/>
      <c r="M12" s="564"/>
      <c r="N12" s="564"/>
      <c r="O12" s="564"/>
      <c r="P12" s="65"/>
    </row>
    <row r="13" spans="1:16" ht="22.2" customHeight="1" x14ac:dyDescent="0.25">
      <c r="A13" s="17"/>
      <c r="B13" s="14" t="str">
        <f>Constantes!B13</f>
        <v>Consommation</v>
      </c>
      <c r="C13" s="566">
        <v>1</v>
      </c>
      <c r="D13" s="566">
        <v>1</v>
      </c>
      <c r="E13" s="566">
        <v>1</v>
      </c>
      <c r="F13" s="624">
        <f>M26*Constantes!Q13</f>
        <v>800</v>
      </c>
      <c r="G13" s="624">
        <f>N26*Constantes!R13</f>
        <v>1200</v>
      </c>
      <c r="H13" s="624">
        <f>O26*Constantes!S13</f>
        <v>900</v>
      </c>
      <c r="I13" s="566"/>
      <c r="J13" s="566"/>
      <c r="K13" s="566"/>
      <c r="L13" s="67"/>
      <c r="M13" s="566"/>
      <c r="N13" s="566"/>
      <c r="O13" s="566"/>
      <c r="P13" s="67"/>
    </row>
    <row r="14" spans="1:16" ht="22.2" customHeight="1" thickBot="1" x14ac:dyDescent="0.3">
      <c r="A14" s="15"/>
      <c r="B14" s="25" t="str">
        <f>Constantes!B14</f>
        <v>Renouvelable</v>
      </c>
      <c r="C14" s="565">
        <v>0</v>
      </c>
      <c r="D14" s="565">
        <v>1</v>
      </c>
      <c r="E14" s="565">
        <v>1</v>
      </c>
      <c r="F14" s="622">
        <f>M27*Constantes!Q14</f>
        <v>300</v>
      </c>
      <c r="G14" s="625">
        <f>N27*Constantes!R14</f>
        <v>200</v>
      </c>
      <c r="H14" s="625">
        <f>O27*Constantes!S14</f>
        <v>125</v>
      </c>
      <c r="I14" s="565"/>
      <c r="J14" s="565"/>
      <c r="K14" s="565"/>
      <c r="L14" s="66"/>
      <c r="M14" s="565"/>
      <c r="N14" s="565"/>
      <c r="O14" s="565"/>
      <c r="P14" s="66"/>
    </row>
    <row r="15" spans="1:16" ht="22.2" customHeight="1" x14ac:dyDescent="0.25">
      <c r="A15" s="12" t="s">
        <v>9</v>
      </c>
      <c r="B15" s="23" t="str">
        <f>Constantes!B15</f>
        <v>IARD</v>
      </c>
      <c r="C15" s="567">
        <v>0</v>
      </c>
      <c r="D15" s="567">
        <v>1</v>
      </c>
      <c r="E15" s="567">
        <v>0</v>
      </c>
      <c r="F15" s="567">
        <f>M28*Constantes!Q15</f>
        <v>4.5</v>
      </c>
      <c r="G15" s="567">
        <f>N28*Constantes!R15</f>
        <v>3.5999999999999996</v>
      </c>
      <c r="H15" s="567">
        <f>O28*Constantes!S15</f>
        <v>2.4</v>
      </c>
      <c r="I15" s="567"/>
      <c r="J15" s="567"/>
      <c r="K15" s="567"/>
      <c r="L15" s="68"/>
      <c r="M15" s="567"/>
      <c r="N15" s="567"/>
      <c r="O15" s="567"/>
      <c r="P15" s="68"/>
    </row>
    <row r="16" spans="1:16" ht="22.2" customHeight="1" thickBot="1" x14ac:dyDescent="0.3">
      <c r="A16" s="15"/>
      <c r="B16" s="25" t="str">
        <f>Constantes!B16</f>
        <v>Prévoyance</v>
      </c>
      <c r="C16" s="565">
        <v>0</v>
      </c>
      <c r="D16" s="565">
        <v>1</v>
      </c>
      <c r="E16" s="565">
        <v>1</v>
      </c>
      <c r="F16" s="565">
        <f>M29*Constantes!Q16</f>
        <v>1.2000000000000002</v>
      </c>
      <c r="G16" s="565">
        <f>N29*Constantes!R16</f>
        <v>3.5999999999999996</v>
      </c>
      <c r="H16" s="565">
        <f>O29*Constantes!S16</f>
        <v>8</v>
      </c>
      <c r="I16" s="565"/>
      <c r="J16" s="565"/>
      <c r="K16" s="565"/>
      <c r="L16" s="66"/>
      <c r="M16" s="565"/>
      <c r="N16" s="565"/>
      <c r="O16" s="565"/>
      <c r="P16" s="66"/>
    </row>
    <row r="17" spans="1:18" ht="22.2" customHeight="1" x14ac:dyDescent="0.25">
      <c r="A17" s="12" t="s">
        <v>11</v>
      </c>
      <c r="B17" s="23" t="str">
        <f>Constantes!B17</f>
        <v>Moyens de paiement</v>
      </c>
      <c r="C17" s="564">
        <v>1</v>
      </c>
      <c r="D17" s="564">
        <v>1</v>
      </c>
      <c r="E17" s="564">
        <v>1</v>
      </c>
      <c r="F17" s="564">
        <f>M30*Constantes!Q17</f>
        <v>5.4</v>
      </c>
      <c r="G17" s="564">
        <f>N30*Constantes!R17</f>
        <v>6.8</v>
      </c>
      <c r="H17" s="564">
        <f>O30*Constantes!S17</f>
        <v>12.8</v>
      </c>
      <c r="I17" s="564"/>
      <c r="J17" s="564"/>
      <c r="K17" s="564"/>
      <c r="L17" s="65"/>
      <c r="M17" s="564"/>
      <c r="N17" s="564"/>
      <c r="O17" s="564"/>
      <c r="P17" s="65"/>
    </row>
    <row r="18" spans="1:18" ht="22.2" customHeight="1" x14ac:dyDescent="0.25">
      <c r="A18" s="17"/>
      <c r="B18" s="14" t="str">
        <f>Constantes!B18</f>
        <v>Ouverture compte</v>
      </c>
      <c r="C18" s="566">
        <v>1</v>
      </c>
      <c r="D18" s="566">
        <v>2</v>
      </c>
      <c r="E18" s="566">
        <v>1</v>
      </c>
      <c r="F18" s="566">
        <f>M31*Constantes!Q18</f>
        <v>6</v>
      </c>
      <c r="G18" s="566">
        <f>N31*Constantes!R18</f>
        <v>8</v>
      </c>
      <c r="H18" s="566">
        <f>O31*Constantes!S18</f>
        <v>8</v>
      </c>
      <c r="I18" s="566"/>
      <c r="J18" s="566"/>
      <c r="K18" s="566"/>
      <c r="L18" s="67"/>
      <c r="M18" s="566"/>
      <c r="N18" s="566"/>
      <c r="O18" s="566"/>
      <c r="P18" s="67"/>
    </row>
    <row r="19" spans="1:18" ht="22.2" customHeight="1" thickBot="1" x14ac:dyDescent="0.3">
      <c r="A19" s="15"/>
      <c r="B19" s="25" t="str">
        <f>Constantes!B19</f>
        <v>Téléphonie</v>
      </c>
      <c r="C19" s="565">
        <v>0</v>
      </c>
      <c r="D19" s="569">
        <v>0</v>
      </c>
      <c r="E19" s="569">
        <v>0</v>
      </c>
      <c r="F19" s="565">
        <f>M32*Constantes!Q19</f>
        <v>0</v>
      </c>
      <c r="G19" s="569">
        <f>N32*Constantes!R19</f>
        <v>0</v>
      </c>
      <c r="H19" s="569">
        <f>O32*Constantes!S19</f>
        <v>0</v>
      </c>
      <c r="I19" s="565"/>
      <c r="J19" s="569"/>
      <c r="K19" s="569"/>
      <c r="L19" s="69"/>
      <c r="M19" s="565"/>
      <c r="N19" s="569"/>
      <c r="O19" s="569"/>
      <c r="P19" s="69"/>
    </row>
    <row r="20" spans="1:18" x14ac:dyDescent="0.25">
      <c r="F20" s="35"/>
      <c r="G20" s="35"/>
      <c r="H20" s="35"/>
      <c r="L20" s="59">
        <f>SUM(L10:L19)</f>
        <v>0</v>
      </c>
      <c r="P20" s="59">
        <f>SUM(P10:P19)</f>
        <v>0</v>
      </c>
    </row>
    <row r="21" spans="1:18" ht="21.6" customHeight="1" x14ac:dyDescent="0.25">
      <c r="A21" s="36" t="s">
        <v>119</v>
      </c>
      <c r="B21" s="1"/>
      <c r="R21" s="70"/>
    </row>
    <row r="22" spans="1:18" ht="21.6" customHeight="1" x14ac:dyDescent="0.25">
      <c r="B22" s="1" t="s">
        <v>123</v>
      </c>
      <c r="C22" s="441">
        <v>100</v>
      </c>
      <c r="H22" s="37"/>
      <c r="L22" s="326" t="s">
        <v>334</v>
      </c>
      <c r="M22" s="325" t="str">
        <f>F9</f>
        <v>junior</v>
      </c>
      <c r="N22" s="325" t="str">
        <f>G9</f>
        <v>senior</v>
      </c>
      <c r="O22" s="325" t="str">
        <f>H9</f>
        <v>premium</v>
      </c>
    </row>
    <row r="23" spans="1:18" ht="21.6" customHeight="1" x14ac:dyDescent="0.25">
      <c r="E23" s="1" t="s">
        <v>374</v>
      </c>
      <c r="H23" s="1"/>
      <c r="I23" s="38"/>
      <c r="J23" s="38"/>
      <c r="K23" s="38"/>
      <c r="L23" s="31" t="str">
        <f>B10</f>
        <v>Court terme</v>
      </c>
      <c r="M23" s="58">
        <v>0.8</v>
      </c>
      <c r="N23" s="58">
        <v>0.9</v>
      </c>
      <c r="O23" s="58">
        <v>1</v>
      </c>
    </row>
    <row r="24" spans="1:18" ht="21.6" customHeight="1" x14ac:dyDescent="0.25">
      <c r="A24" s="36" t="s">
        <v>83</v>
      </c>
      <c r="C24" s="1"/>
      <c r="E24" s="36" t="s">
        <v>333</v>
      </c>
      <c r="G24" s="611"/>
      <c r="H24" s="39"/>
      <c r="I24" s="38"/>
      <c r="J24" s="38"/>
      <c r="K24" s="38"/>
      <c r="L24" s="31" t="str">
        <f t="shared" ref="L24:L31" si="0">B11</f>
        <v>Moyen et long terme</v>
      </c>
      <c r="M24" s="58">
        <v>0.4</v>
      </c>
      <c r="N24" s="58">
        <v>0.6</v>
      </c>
      <c r="O24" s="58">
        <v>0.8</v>
      </c>
    </row>
    <row r="25" spans="1:18" ht="21.6" customHeight="1" x14ac:dyDescent="0.25">
      <c r="A25" s="1"/>
      <c r="C25" s="26"/>
      <c r="G25" s="611"/>
      <c r="H25" s="40"/>
      <c r="I25" s="26"/>
      <c r="J25" s="26"/>
      <c r="K25" s="26"/>
      <c r="L25" s="31" t="str">
        <f t="shared" si="0"/>
        <v>Immobilier</v>
      </c>
      <c r="M25" s="58">
        <v>0.2</v>
      </c>
      <c r="N25" s="58">
        <v>0.3</v>
      </c>
      <c r="O25" s="58">
        <v>0.2</v>
      </c>
    </row>
    <row r="26" spans="1:18" ht="21.6" customHeight="1" x14ac:dyDescent="0.25">
      <c r="A26" s="1" t="s">
        <v>133</v>
      </c>
      <c r="B26" s="1" t="str">
        <f>Constantes!C4</f>
        <v>junior</v>
      </c>
      <c r="C26" s="571">
        <v>104</v>
      </c>
      <c r="D26" s="1" t="str">
        <f>B26</f>
        <v>junior</v>
      </c>
      <c r="E26" s="511">
        <v>12000</v>
      </c>
      <c r="G26" s="611"/>
      <c r="H26" s="41"/>
      <c r="I26" s="26"/>
      <c r="J26" s="26"/>
      <c r="K26" s="26"/>
      <c r="L26" s="31" t="str">
        <f t="shared" si="0"/>
        <v>Consommation</v>
      </c>
      <c r="M26" s="58">
        <v>0.4</v>
      </c>
      <c r="N26" s="58">
        <v>0.3</v>
      </c>
      <c r="O26" s="58">
        <v>0.15</v>
      </c>
    </row>
    <row r="27" spans="1:18" ht="21.6" customHeight="1" x14ac:dyDescent="0.25">
      <c r="A27" s="1" t="s">
        <v>330</v>
      </c>
      <c r="B27" s="1" t="str">
        <f>Constantes!C5</f>
        <v>senior</v>
      </c>
      <c r="C27" s="572">
        <v>85</v>
      </c>
      <c r="D27" s="1" t="str">
        <f>B27</f>
        <v>senior</v>
      </c>
      <c r="E27" s="542">
        <v>15000</v>
      </c>
      <c r="G27" s="611"/>
      <c r="H27" s="42"/>
      <c r="I27" s="38"/>
      <c r="J27" s="38"/>
      <c r="K27" s="38"/>
      <c r="L27" s="31" t="str">
        <f t="shared" si="0"/>
        <v>Renouvelable</v>
      </c>
      <c r="M27" s="58">
        <v>0.2</v>
      </c>
      <c r="N27" s="58">
        <v>0.1</v>
      </c>
      <c r="O27" s="58">
        <v>0.05</v>
      </c>
    </row>
    <row r="28" spans="1:18" ht="21.6" customHeight="1" x14ac:dyDescent="0.25">
      <c r="B28" s="1" t="str">
        <f>Constantes!C6</f>
        <v>premium</v>
      </c>
      <c r="C28" s="440">
        <v>105</v>
      </c>
      <c r="D28" s="1" t="str">
        <f>B28</f>
        <v>premium</v>
      </c>
      <c r="E28" s="542">
        <v>21000</v>
      </c>
      <c r="G28" s="611"/>
      <c r="H28" s="41"/>
      <c r="I28" s="26"/>
      <c r="J28" s="26"/>
      <c r="K28" s="26"/>
      <c r="L28" s="31" t="str">
        <f t="shared" si="0"/>
        <v>IARD</v>
      </c>
      <c r="M28" s="58">
        <v>0.15</v>
      </c>
      <c r="N28" s="58">
        <v>0.12</v>
      </c>
      <c r="O28" s="58">
        <v>0.08</v>
      </c>
    </row>
    <row r="29" spans="1:18" ht="21.6" customHeight="1" x14ac:dyDescent="0.25">
      <c r="D29" s="1" t="s">
        <v>326</v>
      </c>
      <c r="E29" s="460">
        <v>21000</v>
      </c>
      <c r="G29" s="611"/>
      <c r="H29" s="41"/>
      <c r="I29" s="26"/>
      <c r="J29" s="26"/>
      <c r="K29" s="26"/>
      <c r="L29" s="31" t="str">
        <f t="shared" si="0"/>
        <v>Prévoyance</v>
      </c>
      <c r="M29" s="58">
        <v>0.2</v>
      </c>
      <c r="N29" s="58">
        <v>0.3</v>
      </c>
      <c r="O29" s="58">
        <v>0.4</v>
      </c>
    </row>
    <row r="30" spans="1:18" ht="21.6" customHeight="1" x14ac:dyDescent="0.25">
      <c r="B30" s="1"/>
      <c r="H30" s="42"/>
      <c r="I30" s="38"/>
      <c r="J30" s="38"/>
      <c r="K30" s="38"/>
      <c r="L30" s="31" t="str">
        <f t="shared" si="0"/>
        <v>Moyens de paiement</v>
      </c>
      <c r="M30" s="58">
        <v>0.9</v>
      </c>
      <c r="N30" s="58">
        <v>0.85</v>
      </c>
      <c r="O30" s="58">
        <v>0.8</v>
      </c>
    </row>
    <row r="31" spans="1:18" ht="21.6" customHeight="1" x14ac:dyDescent="0.25">
      <c r="D31" s="1" t="s">
        <v>327</v>
      </c>
      <c r="E31" s="542">
        <v>12000</v>
      </c>
      <c r="L31" s="31" t="str">
        <f t="shared" si="0"/>
        <v>Ouverture compte</v>
      </c>
      <c r="M31" s="58">
        <v>1</v>
      </c>
      <c r="N31" s="58">
        <v>1</v>
      </c>
      <c r="O31" s="58">
        <v>1</v>
      </c>
    </row>
    <row r="32" spans="1:18" ht="21.6" customHeight="1" x14ac:dyDescent="0.25">
      <c r="D32" s="1" t="s">
        <v>328</v>
      </c>
      <c r="E32" s="542">
        <v>30000</v>
      </c>
    </row>
    <row r="33" spans="4:12" ht="26.4" customHeight="1" x14ac:dyDescent="0.25">
      <c r="D33" s="3" t="s">
        <v>329</v>
      </c>
      <c r="E33" s="1"/>
    </row>
    <row r="34" spans="4:12" x14ac:dyDescent="0.25">
      <c r="D34" s="1"/>
      <c r="E34" s="24">
        <f>SUM(E26:E32)</f>
        <v>111000</v>
      </c>
      <c r="H34" s="3"/>
      <c r="I34" s="43"/>
      <c r="J34" s="43"/>
      <c r="K34" s="43"/>
      <c r="L34" s="1"/>
    </row>
    <row r="36" spans="4:12" x14ac:dyDescent="0.25">
      <c r="D36" s="620" t="s">
        <v>375</v>
      </c>
    </row>
  </sheetData>
  <mergeCells count="4">
    <mergeCell ref="C8:E8"/>
    <mergeCell ref="I8:L8"/>
    <mergeCell ref="M8:P8"/>
    <mergeCell ref="F8:H8"/>
  </mergeCell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B1:V26"/>
  <sheetViews>
    <sheetView zoomScale="85" zoomScaleNormal="85" workbookViewId="0">
      <selection activeCell="P24" sqref="P24"/>
    </sheetView>
  </sheetViews>
  <sheetFormatPr baseColWidth="10" defaultRowHeight="13.8" x14ac:dyDescent="0.3"/>
  <cols>
    <col min="1" max="1" width="5.5546875" style="1" customWidth="1"/>
    <col min="2" max="2" width="9.77734375" style="1" customWidth="1"/>
    <col min="3" max="3" width="30.109375" style="1" customWidth="1"/>
    <col min="4" max="4" width="55.77734375" style="1" customWidth="1"/>
    <col min="5" max="5" width="12.33203125" style="1" customWidth="1"/>
    <col min="6" max="6" width="11.5546875" style="1"/>
    <col min="7" max="9" width="14.33203125" style="1" customWidth="1"/>
    <col min="10" max="16384" width="11.5546875" style="1"/>
  </cols>
  <sheetData>
    <row r="1" spans="2:22" ht="17.399999999999999" x14ac:dyDescent="0.3">
      <c r="B1" s="30" t="s">
        <v>175</v>
      </c>
    </row>
    <row r="2" spans="2:22" x14ac:dyDescent="0.3">
      <c r="G2" s="788" t="s">
        <v>117</v>
      </c>
      <c r="H2" s="789"/>
      <c r="I2" s="789"/>
      <c r="J2" s="790"/>
      <c r="K2" s="788" t="s">
        <v>335</v>
      </c>
      <c r="L2" s="789"/>
      <c r="M2" s="789"/>
      <c r="N2" s="790"/>
      <c r="O2" s="788" t="s">
        <v>125</v>
      </c>
      <c r="P2" s="789"/>
      <c r="Q2" s="789"/>
      <c r="R2" s="790"/>
      <c r="S2" s="788" t="s">
        <v>49</v>
      </c>
      <c r="T2" s="789"/>
      <c r="U2" s="789"/>
      <c r="V2" s="790"/>
    </row>
    <row r="3" spans="2:22" x14ac:dyDescent="0.3">
      <c r="B3" s="347" t="s">
        <v>147</v>
      </c>
      <c r="C3" s="347" t="s">
        <v>91</v>
      </c>
      <c r="D3" s="347" t="s">
        <v>93</v>
      </c>
      <c r="E3" s="348" t="s">
        <v>176</v>
      </c>
      <c r="F3" s="347" t="s">
        <v>92</v>
      </c>
      <c r="G3" s="7" t="s">
        <v>4</v>
      </c>
      <c r="H3" s="327" t="s">
        <v>6</v>
      </c>
      <c r="I3" s="327" t="s">
        <v>9</v>
      </c>
      <c r="J3" s="161" t="s">
        <v>11</v>
      </c>
      <c r="K3" s="7" t="s">
        <v>4</v>
      </c>
      <c r="L3" s="327" t="s">
        <v>6</v>
      </c>
      <c r="M3" s="327" t="s">
        <v>9</v>
      </c>
      <c r="N3" s="161" t="s">
        <v>11</v>
      </c>
      <c r="O3" s="7" t="s">
        <v>114</v>
      </c>
      <c r="P3" s="327" t="s">
        <v>115</v>
      </c>
      <c r="Q3" s="756" t="s">
        <v>116</v>
      </c>
      <c r="R3" s="161" t="s">
        <v>337</v>
      </c>
      <c r="S3" s="7" t="s">
        <v>114</v>
      </c>
      <c r="T3" s="756" t="s">
        <v>115</v>
      </c>
      <c r="U3" s="7" t="s">
        <v>116</v>
      </c>
      <c r="V3" s="161" t="s">
        <v>337</v>
      </c>
    </row>
    <row r="4" spans="2:22" ht="30.6" customHeight="1" x14ac:dyDescent="0.3">
      <c r="B4" s="572">
        <v>1</v>
      </c>
      <c r="C4" s="572" t="s">
        <v>95</v>
      </c>
      <c r="D4" s="761" t="s">
        <v>94</v>
      </c>
      <c r="E4" s="572">
        <v>1</v>
      </c>
      <c r="F4" s="542">
        <v>3000</v>
      </c>
      <c r="G4" s="573"/>
      <c r="H4" s="574"/>
      <c r="I4" s="574"/>
      <c r="J4" s="575"/>
      <c r="K4" s="573"/>
      <c r="L4" s="574"/>
      <c r="M4" s="574"/>
      <c r="N4" s="575"/>
      <c r="O4" s="576">
        <v>4</v>
      </c>
      <c r="P4" s="577">
        <v>2</v>
      </c>
      <c r="Q4" s="577">
        <v>1</v>
      </c>
      <c r="R4" s="578"/>
      <c r="S4" s="579"/>
      <c r="T4" s="580"/>
      <c r="U4" s="580"/>
      <c r="V4" s="581"/>
    </row>
    <row r="5" spans="2:22" ht="30.6" customHeight="1" x14ac:dyDescent="0.3">
      <c r="B5" s="572">
        <v>2</v>
      </c>
      <c r="C5" s="572" t="s">
        <v>96</v>
      </c>
      <c r="D5" s="761" t="s">
        <v>98</v>
      </c>
      <c r="E5" s="572">
        <v>1</v>
      </c>
      <c r="F5" s="542">
        <v>10000</v>
      </c>
      <c r="G5" s="573"/>
      <c r="H5" s="574"/>
      <c r="I5" s="574"/>
      <c r="J5" s="575"/>
      <c r="K5" s="573"/>
      <c r="L5" s="574"/>
      <c r="M5" s="574"/>
      <c r="N5" s="575"/>
      <c r="O5" s="576">
        <v>6</v>
      </c>
      <c r="P5" s="577">
        <v>6</v>
      </c>
      <c r="Q5" s="577">
        <v>6</v>
      </c>
      <c r="R5" s="578">
        <v>6</v>
      </c>
      <c r="S5" s="579"/>
      <c r="T5" s="580"/>
      <c r="U5" s="580"/>
      <c r="V5" s="581"/>
    </row>
    <row r="6" spans="2:22" ht="30.6" customHeight="1" x14ac:dyDescent="0.3">
      <c r="B6" s="572">
        <v>3</v>
      </c>
      <c r="C6" s="572" t="s">
        <v>434</v>
      </c>
      <c r="D6" s="761" t="s">
        <v>97</v>
      </c>
      <c r="E6" s="572">
        <v>1</v>
      </c>
      <c r="F6" s="542">
        <v>2000</v>
      </c>
      <c r="G6" s="573"/>
      <c r="H6" s="574"/>
      <c r="I6" s="574"/>
      <c r="J6" s="575"/>
      <c r="K6" s="573"/>
      <c r="L6" s="574"/>
      <c r="M6" s="574"/>
      <c r="N6" s="575"/>
      <c r="O6" s="576">
        <v>6</v>
      </c>
      <c r="P6" s="577">
        <v>2</v>
      </c>
      <c r="Q6" s="577"/>
      <c r="R6" s="578"/>
      <c r="S6" s="579"/>
      <c r="T6" s="580"/>
      <c r="U6" s="580"/>
      <c r="V6" s="581"/>
    </row>
    <row r="7" spans="2:22" ht="30.6" customHeight="1" x14ac:dyDescent="0.3">
      <c r="B7" s="572">
        <v>4</v>
      </c>
      <c r="C7" s="572" t="s">
        <v>435</v>
      </c>
      <c r="D7" s="761" t="s">
        <v>99</v>
      </c>
      <c r="E7" s="572">
        <v>1</v>
      </c>
      <c r="F7" s="542">
        <v>1500</v>
      </c>
      <c r="G7" s="573"/>
      <c r="H7" s="574"/>
      <c r="I7" s="574"/>
      <c r="J7" s="575"/>
      <c r="K7" s="573"/>
      <c r="L7" s="574"/>
      <c r="M7" s="574"/>
      <c r="N7" s="575"/>
      <c r="O7" s="576">
        <v>4</v>
      </c>
      <c r="P7" s="577">
        <v>3</v>
      </c>
      <c r="Q7" s="577">
        <v>2</v>
      </c>
      <c r="R7" s="578">
        <v>1</v>
      </c>
      <c r="S7" s="579"/>
      <c r="T7" s="580"/>
      <c r="U7" s="580"/>
      <c r="V7" s="581"/>
    </row>
    <row r="8" spans="2:22" ht="30.6" customHeight="1" x14ac:dyDescent="0.3">
      <c r="B8" s="572">
        <v>5</v>
      </c>
      <c r="C8" s="572" t="s">
        <v>429</v>
      </c>
      <c r="D8" s="761" t="s">
        <v>431</v>
      </c>
      <c r="E8" s="572">
        <v>1</v>
      </c>
      <c r="F8" s="542">
        <v>4000</v>
      </c>
      <c r="G8" s="573"/>
      <c r="H8" s="574"/>
      <c r="I8" s="574"/>
      <c r="J8" s="575"/>
      <c r="K8" s="573"/>
      <c r="L8" s="574"/>
      <c r="M8" s="574"/>
      <c r="N8" s="575"/>
      <c r="O8" s="576"/>
      <c r="P8" s="577"/>
      <c r="Q8" s="577"/>
      <c r="R8" s="578"/>
      <c r="S8" s="579"/>
      <c r="T8" s="580"/>
      <c r="U8" s="580"/>
      <c r="V8" s="581"/>
    </row>
    <row r="9" spans="2:22" ht="30.6" customHeight="1" x14ac:dyDescent="0.3">
      <c r="B9" s="572">
        <v>6</v>
      </c>
      <c r="C9" s="572" t="s">
        <v>101</v>
      </c>
      <c r="D9" s="761" t="s">
        <v>436</v>
      </c>
      <c r="E9" s="572">
        <v>2</v>
      </c>
      <c r="F9" s="542">
        <v>1000</v>
      </c>
      <c r="G9" s="573">
        <v>0.05</v>
      </c>
      <c r="H9" s="574"/>
      <c r="I9" s="574"/>
      <c r="J9" s="575"/>
      <c r="K9" s="573">
        <v>0.04</v>
      </c>
      <c r="L9" s="574"/>
      <c r="M9" s="574"/>
      <c r="N9" s="575"/>
      <c r="O9" s="576"/>
      <c r="P9" s="577"/>
      <c r="Q9" s="577"/>
      <c r="R9" s="578"/>
      <c r="S9" s="579"/>
      <c r="T9" s="580"/>
      <c r="U9" s="580"/>
      <c r="V9" s="581"/>
    </row>
    <row r="10" spans="2:22" ht="30.6" customHeight="1" x14ac:dyDescent="0.3">
      <c r="B10" s="572">
        <v>7</v>
      </c>
      <c r="C10" s="572" t="s">
        <v>103</v>
      </c>
      <c r="D10" s="761" t="s">
        <v>437</v>
      </c>
      <c r="E10" s="572">
        <v>2</v>
      </c>
      <c r="F10" s="542">
        <v>1000</v>
      </c>
      <c r="G10" s="573"/>
      <c r="H10" s="574">
        <v>0.05</v>
      </c>
      <c r="I10" s="574"/>
      <c r="J10" s="575"/>
      <c r="K10" s="573"/>
      <c r="L10" s="574">
        <v>0.04</v>
      </c>
      <c r="M10" s="574"/>
      <c r="N10" s="575"/>
      <c r="O10" s="576"/>
      <c r="P10" s="577"/>
      <c r="Q10" s="577"/>
      <c r="R10" s="578"/>
      <c r="S10" s="579"/>
      <c r="T10" s="580"/>
      <c r="U10" s="580"/>
      <c r="V10" s="581"/>
    </row>
    <row r="11" spans="2:22" ht="30.6" customHeight="1" x14ac:dyDescent="0.3">
      <c r="B11" s="572">
        <v>8</v>
      </c>
      <c r="C11" s="572" t="s">
        <v>102</v>
      </c>
      <c r="D11" s="761" t="s">
        <v>438</v>
      </c>
      <c r="E11" s="572">
        <v>2</v>
      </c>
      <c r="F11" s="542">
        <v>1000</v>
      </c>
      <c r="G11" s="573"/>
      <c r="H11" s="574"/>
      <c r="I11" s="574">
        <v>0.05</v>
      </c>
      <c r="J11" s="575"/>
      <c r="K11" s="573"/>
      <c r="L11" s="574"/>
      <c r="M11" s="574">
        <v>0.04</v>
      </c>
      <c r="N11" s="575"/>
      <c r="O11" s="576"/>
      <c r="P11" s="577"/>
      <c r="Q11" s="577"/>
      <c r="R11" s="578"/>
      <c r="S11" s="579"/>
      <c r="T11" s="580"/>
      <c r="U11" s="580"/>
      <c r="V11" s="581"/>
    </row>
    <row r="12" spans="2:22" ht="30.6" customHeight="1" x14ac:dyDescent="0.3">
      <c r="B12" s="572">
        <v>9</v>
      </c>
      <c r="C12" s="572" t="s">
        <v>104</v>
      </c>
      <c r="D12" s="761" t="s">
        <v>439</v>
      </c>
      <c r="E12" s="572">
        <v>2</v>
      </c>
      <c r="F12" s="542">
        <v>1000</v>
      </c>
      <c r="G12" s="573"/>
      <c r="H12" s="574"/>
      <c r="I12" s="574"/>
      <c r="J12" s="575">
        <v>0.05</v>
      </c>
      <c r="K12" s="573"/>
      <c r="L12" s="574"/>
      <c r="M12" s="574"/>
      <c r="N12" s="575">
        <v>0.04</v>
      </c>
      <c r="O12" s="576"/>
      <c r="P12" s="577"/>
      <c r="Q12" s="577"/>
      <c r="R12" s="578"/>
      <c r="S12" s="579"/>
      <c r="T12" s="580"/>
      <c r="U12" s="580"/>
      <c r="V12" s="581"/>
    </row>
    <row r="13" spans="2:22" ht="30.6" customHeight="1" x14ac:dyDescent="0.3">
      <c r="B13" s="572">
        <v>10</v>
      </c>
      <c r="C13" s="572" t="s">
        <v>105</v>
      </c>
      <c r="D13" s="761" t="s">
        <v>106</v>
      </c>
      <c r="E13" s="572">
        <v>2</v>
      </c>
      <c r="F13" s="542">
        <v>600</v>
      </c>
      <c r="G13" s="573">
        <v>0.08</v>
      </c>
      <c r="H13" s="574"/>
      <c r="I13" s="574"/>
      <c r="J13" s="575"/>
      <c r="K13" s="573">
        <v>0.02</v>
      </c>
      <c r="L13" s="574"/>
      <c r="M13" s="574"/>
      <c r="N13" s="575"/>
      <c r="O13" s="576"/>
      <c r="P13" s="577"/>
      <c r="Q13" s="577"/>
      <c r="R13" s="578"/>
      <c r="S13" s="579"/>
      <c r="T13" s="580"/>
      <c r="U13" s="580"/>
      <c r="V13" s="581"/>
    </row>
    <row r="14" spans="2:22" ht="30.6" customHeight="1" x14ac:dyDescent="0.3">
      <c r="B14" s="572">
        <v>11</v>
      </c>
      <c r="C14" s="572" t="s">
        <v>107</v>
      </c>
      <c r="D14" s="761" t="s">
        <v>108</v>
      </c>
      <c r="E14" s="572">
        <v>2</v>
      </c>
      <c r="F14" s="542">
        <v>600</v>
      </c>
      <c r="G14" s="573"/>
      <c r="H14" s="574">
        <v>0.08</v>
      </c>
      <c r="I14" s="574"/>
      <c r="J14" s="575"/>
      <c r="K14" s="573"/>
      <c r="L14" s="574">
        <v>0.02</v>
      </c>
      <c r="M14" s="574"/>
      <c r="N14" s="575"/>
      <c r="O14" s="576"/>
      <c r="P14" s="577"/>
      <c r="Q14" s="577"/>
      <c r="R14" s="578"/>
      <c r="S14" s="579"/>
      <c r="T14" s="580"/>
      <c r="U14" s="580"/>
      <c r="V14" s="581"/>
    </row>
    <row r="15" spans="2:22" ht="30.6" customHeight="1" x14ac:dyDescent="0.3">
      <c r="B15" s="572">
        <v>12</v>
      </c>
      <c r="C15" s="572" t="s">
        <v>109</v>
      </c>
      <c r="D15" s="761" t="s">
        <v>110</v>
      </c>
      <c r="E15" s="572">
        <v>2</v>
      </c>
      <c r="F15" s="542">
        <v>600</v>
      </c>
      <c r="G15" s="573"/>
      <c r="H15" s="574"/>
      <c r="I15" s="574">
        <v>0.08</v>
      </c>
      <c r="J15" s="575"/>
      <c r="K15" s="573"/>
      <c r="L15" s="574"/>
      <c r="M15" s="574">
        <v>0.02</v>
      </c>
      <c r="N15" s="575"/>
      <c r="O15" s="576"/>
      <c r="P15" s="577"/>
      <c r="Q15" s="577"/>
      <c r="R15" s="578"/>
      <c r="S15" s="579"/>
      <c r="T15" s="580"/>
      <c r="U15" s="580"/>
      <c r="V15" s="581"/>
    </row>
    <row r="16" spans="2:22" ht="30.6" customHeight="1" x14ac:dyDescent="0.3">
      <c r="B16" s="572">
        <v>13</v>
      </c>
      <c r="C16" s="572" t="s">
        <v>111</v>
      </c>
      <c r="D16" s="761" t="s">
        <v>112</v>
      </c>
      <c r="E16" s="572">
        <v>2</v>
      </c>
      <c r="F16" s="542">
        <v>600</v>
      </c>
      <c r="G16" s="573"/>
      <c r="H16" s="574"/>
      <c r="I16" s="574"/>
      <c r="J16" s="575">
        <v>0.08</v>
      </c>
      <c r="K16" s="573"/>
      <c r="L16" s="574"/>
      <c r="M16" s="574"/>
      <c r="N16" s="575">
        <v>0.02</v>
      </c>
      <c r="O16" s="576"/>
      <c r="P16" s="577"/>
      <c r="Q16" s="577"/>
      <c r="R16" s="578"/>
      <c r="S16" s="579"/>
      <c r="T16" s="580"/>
      <c r="U16" s="580"/>
      <c r="V16" s="581"/>
    </row>
    <row r="17" spans="2:22" ht="30.6" customHeight="1" x14ac:dyDescent="0.3">
      <c r="B17" s="572">
        <v>14</v>
      </c>
      <c r="C17" s="572" t="s">
        <v>382</v>
      </c>
      <c r="D17" s="761" t="s">
        <v>442</v>
      </c>
      <c r="E17" s="572">
        <v>2</v>
      </c>
      <c r="F17" s="542">
        <v>800</v>
      </c>
      <c r="G17" s="573">
        <v>0.04</v>
      </c>
      <c r="H17" s="574"/>
      <c r="I17" s="574"/>
      <c r="J17" s="575"/>
      <c r="K17" s="573">
        <v>0.03</v>
      </c>
      <c r="L17" s="574"/>
      <c r="M17" s="574"/>
      <c r="N17" s="575"/>
      <c r="O17" s="576">
        <v>2</v>
      </c>
      <c r="P17" s="577"/>
      <c r="Q17" s="577"/>
      <c r="R17" s="578"/>
      <c r="S17" s="579"/>
      <c r="T17" s="580"/>
      <c r="U17" s="580"/>
      <c r="V17" s="581"/>
    </row>
    <row r="18" spans="2:22" ht="30.6" customHeight="1" x14ac:dyDescent="0.3">
      <c r="B18" s="572">
        <v>15</v>
      </c>
      <c r="C18" s="572" t="s">
        <v>381</v>
      </c>
      <c r="D18" s="761" t="s">
        <v>441</v>
      </c>
      <c r="E18" s="572">
        <v>2</v>
      </c>
      <c r="F18" s="542">
        <v>800</v>
      </c>
      <c r="G18" s="573"/>
      <c r="H18" s="574">
        <v>0.04</v>
      </c>
      <c r="I18" s="574"/>
      <c r="J18" s="575"/>
      <c r="K18" s="573"/>
      <c r="L18" s="574">
        <v>0.03</v>
      </c>
      <c r="M18" s="574"/>
      <c r="N18" s="575"/>
      <c r="O18" s="576">
        <v>2</v>
      </c>
      <c r="P18" s="577"/>
      <c r="Q18" s="577"/>
      <c r="R18" s="578"/>
      <c r="S18" s="579"/>
      <c r="T18" s="580"/>
      <c r="U18" s="580"/>
      <c r="V18" s="581"/>
    </row>
    <row r="19" spans="2:22" ht="30.6" customHeight="1" x14ac:dyDescent="0.3">
      <c r="B19" s="572">
        <v>16</v>
      </c>
      <c r="C19" s="572" t="s">
        <v>383</v>
      </c>
      <c r="D19" s="761" t="s">
        <v>443</v>
      </c>
      <c r="E19" s="572">
        <v>2</v>
      </c>
      <c r="F19" s="542">
        <v>800</v>
      </c>
      <c r="G19" s="573"/>
      <c r="H19" s="574"/>
      <c r="I19" s="574">
        <v>0.04</v>
      </c>
      <c r="J19" s="575"/>
      <c r="K19" s="573"/>
      <c r="L19" s="574"/>
      <c r="M19" s="574">
        <v>0.03</v>
      </c>
      <c r="N19" s="575"/>
      <c r="O19" s="576">
        <v>2</v>
      </c>
      <c r="P19" s="577"/>
      <c r="Q19" s="577"/>
      <c r="R19" s="578"/>
      <c r="S19" s="579"/>
      <c r="T19" s="580"/>
      <c r="U19" s="580"/>
      <c r="V19" s="581"/>
    </row>
    <row r="20" spans="2:22" ht="30.6" customHeight="1" x14ac:dyDescent="0.3">
      <c r="B20" s="572">
        <v>17</v>
      </c>
      <c r="C20" s="572" t="s">
        <v>430</v>
      </c>
      <c r="D20" s="761" t="s">
        <v>444</v>
      </c>
      <c r="E20" s="572">
        <v>2</v>
      </c>
      <c r="F20" s="542">
        <v>1200</v>
      </c>
      <c r="G20" s="573"/>
      <c r="H20" s="574"/>
      <c r="I20" s="574"/>
      <c r="J20" s="575"/>
      <c r="K20" s="573"/>
      <c r="L20" s="574"/>
      <c r="M20" s="574"/>
      <c r="N20" s="575"/>
      <c r="O20" s="576">
        <v>3</v>
      </c>
      <c r="P20" s="577">
        <v>1</v>
      </c>
      <c r="Q20" s="577"/>
      <c r="R20" s="578"/>
      <c r="S20" s="579"/>
      <c r="T20" s="580"/>
      <c r="U20" s="580"/>
      <c r="V20" s="581"/>
    </row>
    <row r="21" spans="2:22" ht="30.6" customHeight="1" x14ac:dyDescent="0.3">
      <c r="B21" s="572">
        <v>18</v>
      </c>
      <c r="C21" s="572" t="s">
        <v>384</v>
      </c>
      <c r="D21" s="761" t="s">
        <v>445</v>
      </c>
      <c r="E21" s="572">
        <v>2</v>
      </c>
      <c r="F21" s="542">
        <v>3000</v>
      </c>
      <c r="G21" s="573"/>
      <c r="H21" s="574"/>
      <c r="I21" s="574"/>
      <c r="J21" s="575"/>
      <c r="K21" s="573"/>
      <c r="L21" s="574"/>
      <c r="M21" s="574"/>
      <c r="N21" s="575"/>
      <c r="O21" s="576">
        <v>3</v>
      </c>
      <c r="P21" s="577">
        <v>2</v>
      </c>
      <c r="Q21" s="577"/>
      <c r="R21" s="578"/>
      <c r="S21" s="579">
        <v>2</v>
      </c>
      <c r="T21" s="580">
        <v>2</v>
      </c>
      <c r="U21" s="580">
        <v>2</v>
      </c>
      <c r="V21" s="581"/>
    </row>
    <row r="22" spans="2:22" ht="30.6" customHeight="1" x14ac:dyDescent="0.3">
      <c r="B22" s="572">
        <v>19</v>
      </c>
      <c r="C22" s="572" t="s">
        <v>447</v>
      </c>
      <c r="D22" s="761" t="s">
        <v>448</v>
      </c>
      <c r="E22" s="572">
        <v>2</v>
      </c>
      <c r="F22" s="542">
        <v>2500</v>
      </c>
      <c r="G22" s="573"/>
      <c r="H22" s="574"/>
      <c r="I22" s="574"/>
      <c r="J22" s="575"/>
      <c r="K22" s="573"/>
      <c r="L22" s="574"/>
      <c r="M22" s="574"/>
      <c r="N22" s="575"/>
      <c r="O22" s="576">
        <v>4</v>
      </c>
      <c r="P22" s="577">
        <v>3</v>
      </c>
      <c r="Q22" s="577">
        <v>2</v>
      </c>
      <c r="R22" s="578"/>
      <c r="S22" s="579">
        <v>1</v>
      </c>
      <c r="T22" s="580">
        <v>1</v>
      </c>
      <c r="U22" s="580"/>
      <c r="V22" s="581"/>
    </row>
    <row r="23" spans="2:22" ht="30.6" customHeight="1" x14ac:dyDescent="0.3">
      <c r="B23" s="572">
        <v>20</v>
      </c>
      <c r="C23" s="572" t="s">
        <v>432</v>
      </c>
      <c r="D23" s="761" t="s">
        <v>433</v>
      </c>
      <c r="E23" s="572">
        <v>3</v>
      </c>
      <c r="F23" s="542">
        <v>200</v>
      </c>
      <c r="G23" s="573"/>
      <c r="H23" s="574"/>
      <c r="I23" s="574"/>
      <c r="J23" s="575"/>
      <c r="K23" s="573"/>
      <c r="L23" s="574"/>
      <c r="M23" s="574"/>
      <c r="N23" s="575"/>
      <c r="O23" s="576"/>
      <c r="P23" s="577"/>
      <c r="Q23" s="577"/>
      <c r="R23" s="578"/>
      <c r="S23" s="579">
        <v>2</v>
      </c>
      <c r="T23" s="580"/>
      <c r="U23" s="580"/>
      <c r="V23" s="581"/>
    </row>
    <row r="24" spans="2:22" ht="30.6" customHeight="1" x14ac:dyDescent="0.3">
      <c r="B24" s="572">
        <v>21</v>
      </c>
      <c r="C24" s="572" t="s">
        <v>113</v>
      </c>
      <c r="D24" s="761" t="s">
        <v>440</v>
      </c>
      <c r="E24" s="572">
        <v>3</v>
      </c>
      <c r="F24" s="542">
        <v>300</v>
      </c>
      <c r="G24" s="573"/>
      <c r="H24" s="574"/>
      <c r="I24" s="574"/>
      <c r="J24" s="575"/>
      <c r="K24" s="573"/>
      <c r="L24" s="574"/>
      <c r="M24" s="574"/>
      <c r="N24" s="575"/>
      <c r="O24" s="576"/>
      <c r="P24" s="577"/>
      <c r="Q24" s="577"/>
      <c r="R24" s="578"/>
      <c r="S24" s="579">
        <v>5</v>
      </c>
      <c r="T24" s="580">
        <v>2</v>
      </c>
      <c r="U24" s="580"/>
      <c r="V24" s="581"/>
    </row>
    <row r="25" spans="2:22" ht="30.6" customHeight="1" x14ac:dyDescent="0.3">
      <c r="B25" s="572">
        <v>22</v>
      </c>
      <c r="C25" s="572" t="s">
        <v>178</v>
      </c>
      <c r="D25" s="761" t="s">
        <v>380</v>
      </c>
      <c r="E25" s="572">
        <v>3</v>
      </c>
      <c r="F25" s="542">
        <v>200</v>
      </c>
      <c r="G25" s="573"/>
      <c r="H25" s="574"/>
      <c r="I25" s="574"/>
      <c r="J25" s="575"/>
      <c r="K25" s="573"/>
      <c r="L25" s="574"/>
      <c r="M25" s="574"/>
      <c r="N25" s="575"/>
      <c r="O25" s="576"/>
      <c r="P25" s="577"/>
      <c r="Q25" s="577"/>
      <c r="R25" s="578"/>
      <c r="S25" s="579">
        <v>3</v>
      </c>
      <c r="T25" s="580"/>
      <c r="U25" s="580"/>
      <c r="V25" s="581"/>
    </row>
    <row r="26" spans="2:22" ht="30.6" customHeight="1" x14ac:dyDescent="0.3">
      <c r="B26" s="572">
        <v>23</v>
      </c>
      <c r="C26" s="572" t="s">
        <v>385</v>
      </c>
      <c r="D26" s="761" t="s">
        <v>446</v>
      </c>
      <c r="E26" s="572">
        <v>3</v>
      </c>
      <c r="F26" s="542">
        <v>500</v>
      </c>
      <c r="G26" s="573"/>
      <c r="H26" s="574"/>
      <c r="I26" s="574"/>
      <c r="J26" s="575"/>
      <c r="K26" s="573"/>
      <c r="L26" s="574"/>
      <c r="M26" s="574"/>
      <c r="N26" s="575"/>
      <c r="O26" s="576"/>
      <c r="P26" s="577"/>
      <c r="Q26" s="577"/>
      <c r="R26" s="578"/>
      <c r="S26" s="579">
        <v>3</v>
      </c>
      <c r="T26" s="580">
        <v>2</v>
      </c>
      <c r="U26" s="580">
        <v>1</v>
      </c>
      <c r="V26" s="581"/>
    </row>
  </sheetData>
  <mergeCells count="4">
    <mergeCell ref="G2:J2"/>
    <mergeCell ref="K2:N2"/>
    <mergeCell ref="S2:V2"/>
    <mergeCell ref="O2:R2"/>
  </mergeCells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O52"/>
  <sheetViews>
    <sheetView topLeftCell="A7" workbookViewId="0">
      <selection activeCell="E44" sqref="E44"/>
    </sheetView>
  </sheetViews>
  <sheetFormatPr baseColWidth="10" defaultRowHeight="13.8" x14ac:dyDescent="0.3"/>
  <cols>
    <col min="1" max="1" width="11.5546875" style="1"/>
    <col min="2" max="2" width="18.5546875" style="1" bestFit="1" customWidth="1"/>
    <col min="3" max="16384" width="11.5546875" style="1"/>
  </cols>
  <sheetData>
    <row r="1" spans="1:15" ht="19.2" customHeight="1" x14ac:dyDescent="0.3">
      <c r="C1" s="60" t="s">
        <v>85</v>
      </c>
      <c r="F1" s="612" t="s">
        <v>372</v>
      </c>
    </row>
    <row r="2" spans="1:15" ht="19.2" customHeight="1" thickBot="1" x14ac:dyDescent="0.35">
      <c r="A2" s="60" t="str">
        <f>Constantes!C4</f>
        <v>junior</v>
      </c>
      <c r="C2" s="44" t="s">
        <v>134</v>
      </c>
      <c r="D2" s="44" t="s">
        <v>15</v>
      </c>
      <c r="E2" s="134" t="s">
        <v>16</v>
      </c>
      <c r="F2" s="134" t="s">
        <v>17</v>
      </c>
      <c r="G2" s="134" t="s">
        <v>18</v>
      </c>
      <c r="H2" s="134" t="s">
        <v>19</v>
      </c>
      <c r="I2" s="134" t="s">
        <v>20</v>
      </c>
      <c r="J2" s="134" t="s">
        <v>21</v>
      </c>
      <c r="K2" s="134" t="s">
        <v>22</v>
      </c>
      <c r="L2" s="134" t="s">
        <v>163</v>
      </c>
      <c r="M2" s="134" t="s">
        <v>164</v>
      </c>
      <c r="N2" s="134" t="s">
        <v>165</v>
      </c>
      <c r="O2" s="134" t="s">
        <v>166</v>
      </c>
    </row>
    <row r="3" spans="1:15" ht="19.2" customHeight="1" x14ac:dyDescent="0.3">
      <c r="A3" s="12" t="s">
        <v>4</v>
      </c>
      <c r="B3" s="61" t="str">
        <f>'Historique T=0'!B10</f>
        <v>Court terme</v>
      </c>
      <c r="C3" s="568">
        <v>0.2</v>
      </c>
      <c r="D3" s="568">
        <v>0.2</v>
      </c>
      <c r="E3" s="568">
        <v>0.2</v>
      </c>
      <c r="F3" s="568">
        <v>0.3</v>
      </c>
      <c r="G3" s="568">
        <v>0.2</v>
      </c>
      <c r="H3" s="568"/>
      <c r="I3" s="568"/>
      <c r="J3" s="568"/>
      <c r="K3" s="568"/>
      <c r="L3" s="568"/>
      <c r="M3" s="568"/>
      <c r="N3" s="568"/>
      <c r="O3" s="568"/>
    </row>
    <row r="4" spans="1:15" ht="19.2" customHeight="1" thickBot="1" x14ac:dyDescent="0.35">
      <c r="A4" s="15"/>
      <c r="B4" s="62" t="str">
        <f>'Historique T=0'!B11</f>
        <v>Moyen et long terme</v>
      </c>
      <c r="C4" s="570"/>
      <c r="D4" s="570"/>
      <c r="E4" s="570">
        <v>0.1</v>
      </c>
      <c r="F4" s="570">
        <v>0.15</v>
      </c>
      <c r="G4" s="570">
        <v>0.1</v>
      </c>
      <c r="H4" s="570"/>
      <c r="I4" s="570"/>
      <c r="J4" s="570"/>
      <c r="K4" s="570"/>
      <c r="L4" s="570"/>
      <c r="M4" s="570"/>
      <c r="N4" s="570"/>
      <c r="O4" s="570"/>
    </row>
    <row r="5" spans="1:15" ht="19.2" customHeight="1" x14ac:dyDescent="0.3">
      <c r="A5" s="12" t="s">
        <v>6</v>
      </c>
      <c r="B5" s="61" t="str">
        <f>'Historique T=0'!B12</f>
        <v>Immobilier</v>
      </c>
      <c r="C5" s="568"/>
      <c r="D5" s="568"/>
      <c r="E5" s="568">
        <v>0.25</v>
      </c>
      <c r="F5" s="568">
        <v>0.05</v>
      </c>
      <c r="G5" s="568">
        <v>0.1</v>
      </c>
      <c r="H5" s="568"/>
      <c r="I5" s="568"/>
      <c r="J5" s="568"/>
      <c r="K5" s="568"/>
      <c r="L5" s="568"/>
      <c r="M5" s="568"/>
      <c r="N5" s="568"/>
      <c r="O5" s="568"/>
    </row>
    <row r="6" spans="1:15" ht="19.2" customHeight="1" x14ac:dyDescent="0.3">
      <c r="A6" s="17"/>
      <c r="B6" s="63" t="str">
        <f>'Historique T=0'!B13</f>
        <v>Consommation</v>
      </c>
      <c r="C6" s="582">
        <v>0.1</v>
      </c>
      <c r="D6" s="582">
        <v>0.1</v>
      </c>
      <c r="E6" s="582">
        <v>0.1</v>
      </c>
      <c r="F6" s="582">
        <v>0.15</v>
      </c>
      <c r="G6" s="582">
        <v>0.15</v>
      </c>
      <c r="H6" s="582"/>
      <c r="I6" s="582"/>
      <c r="J6" s="582"/>
      <c r="K6" s="582"/>
      <c r="L6" s="582"/>
      <c r="M6" s="582"/>
      <c r="N6" s="582"/>
      <c r="O6" s="582"/>
    </row>
    <row r="7" spans="1:15" ht="19.2" customHeight="1" thickBot="1" x14ac:dyDescent="0.35">
      <c r="A7" s="15"/>
      <c r="B7" s="62" t="str">
        <f>'Historique T=0'!B14</f>
        <v>Renouvelable</v>
      </c>
      <c r="C7" s="570"/>
      <c r="D7" s="570">
        <v>0.1</v>
      </c>
      <c r="E7" s="570">
        <v>0.15</v>
      </c>
      <c r="F7" s="570">
        <v>0.15</v>
      </c>
      <c r="G7" s="570">
        <v>0.15</v>
      </c>
      <c r="H7" s="570"/>
      <c r="I7" s="570"/>
      <c r="J7" s="570"/>
      <c r="K7" s="570"/>
      <c r="L7" s="570"/>
      <c r="M7" s="570"/>
      <c r="N7" s="570"/>
      <c r="O7" s="570"/>
    </row>
    <row r="8" spans="1:15" ht="19.2" customHeight="1" x14ac:dyDescent="0.3">
      <c r="A8" s="12" t="s">
        <v>9</v>
      </c>
      <c r="B8" s="61" t="str">
        <f>'Historique T=0'!B15</f>
        <v>IARD</v>
      </c>
      <c r="C8" s="568"/>
      <c r="D8" s="568"/>
      <c r="E8" s="568">
        <v>0.15</v>
      </c>
      <c r="F8" s="568">
        <v>0.1</v>
      </c>
      <c r="G8" s="568">
        <v>0.2</v>
      </c>
      <c r="H8" s="568"/>
      <c r="I8" s="568"/>
      <c r="J8" s="568"/>
      <c r="K8" s="568"/>
      <c r="L8" s="568"/>
      <c r="M8" s="568"/>
      <c r="N8" s="568"/>
      <c r="O8" s="568"/>
    </row>
    <row r="9" spans="1:15" ht="19.2" customHeight="1" thickBot="1" x14ac:dyDescent="0.35">
      <c r="A9" s="15"/>
      <c r="B9" s="62" t="str">
        <f>'Historique T=0'!B16</f>
        <v>Prévoyance</v>
      </c>
      <c r="C9" s="570"/>
      <c r="D9" s="570"/>
      <c r="E9" s="570">
        <v>0.1</v>
      </c>
      <c r="F9" s="570">
        <v>0.1</v>
      </c>
      <c r="G9" s="570">
        <v>0.1</v>
      </c>
      <c r="H9" s="570"/>
      <c r="I9" s="570"/>
      <c r="J9" s="570"/>
      <c r="K9" s="570"/>
      <c r="L9" s="570"/>
      <c r="M9" s="570"/>
      <c r="N9" s="570"/>
      <c r="O9" s="570"/>
    </row>
    <row r="10" spans="1:15" ht="19.2" customHeight="1" x14ac:dyDescent="0.3">
      <c r="A10" s="12" t="s">
        <v>11</v>
      </c>
      <c r="B10" s="61" t="str">
        <f>'Historique T=0'!B17</f>
        <v>Moyens de paiement</v>
      </c>
      <c r="C10" s="568">
        <v>0.45</v>
      </c>
      <c r="D10" s="568">
        <v>0.45</v>
      </c>
      <c r="E10" s="568">
        <v>0.3</v>
      </c>
      <c r="F10" s="568">
        <v>0.45</v>
      </c>
      <c r="G10" s="568">
        <v>0.35</v>
      </c>
      <c r="H10" s="568"/>
      <c r="I10" s="568"/>
      <c r="J10" s="568"/>
      <c r="K10" s="568"/>
      <c r="L10" s="568"/>
      <c r="M10" s="568"/>
      <c r="N10" s="568"/>
      <c r="O10" s="568"/>
    </row>
    <row r="11" spans="1:15" ht="19.2" customHeight="1" x14ac:dyDescent="0.3">
      <c r="A11" s="17"/>
      <c r="B11" s="63" t="str">
        <f>'Historique T=0'!B18</f>
        <v>Ouverture compte</v>
      </c>
      <c r="C11" s="582">
        <v>0.45</v>
      </c>
      <c r="D11" s="582">
        <v>0.35</v>
      </c>
      <c r="E11" s="582">
        <v>0.25</v>
      </c>
      <c r="F11" s="582">
        <v>0.2</v>
      </c>
      <c r="G11" s="582">
        <v>0.3</v>
      </c>
      <c r="H11" s="582"/>
      <c r="I11" s="582"/>
      <c r="J11" s="582"/>
      <c r="K11" s="582"/>
      <c r="L11" s="582"/>
      <c r="M11" s="582"/>
      <c r="N11" s="582"/>
      <c r="O11" s="582"/>
    </row>
    <row r="12" spans="1:15" ht="19.2" customHeight="1" thickBot="1" x14ac:dyDescent="0.35">
      <c r="A12" s="15"/>
      <c r="B12" s="62" t="str">
        <f>'Historique T=0'!B19</f>
        <v>Téléphonie</v>
      </c>
      <c r="C12" s="570"/>
      <c r="D12" s="570"/>
      <c r="E12" s="570">
        <v>0.2</v>
      </c>
      <c r="F12" s="570">
        <v>0.2</v>
      </c>
      <c r="G12" s="570">
        <v>0.25</v>
      </c>
      <c r="H12" s="570"/>
      <c r="I12" s="570"/>
      <c r="J12" s="570"/>
      <c r="K12" s="570"/>
      <c r="L12" s="570"/>
      <c r="M12" s="570"/>
      <c r="N12" s="570"/>
      <c r="O12" s="570"/>
    </row>
    <row r="13" spans="1:15" ht="19.2" customHeight="1" x14ac:dyDescent="0.3">
      <c r="C13" s="1">
        <f>SUM(C3:C12)</f>
        <v>1.2</v>
      </c>
      <c r="D13" s="1">
        <f>SUM(D3:D12)</f>
        <v>1.2000000000000002</v>
      </c>
      <c r="E13" s="1">
        <f>SUM(E3:E12)</f>
        <v>1.8</v>
      </c>
      <c r="F13" s="1">
        <f>SUM(F3:F12)</f>
        <v>1.8499999999999999</v>
      </c>
      <c r="G13" s="1">
        <f>SUM(G3:G12)</f>
        <v>1.9000000000000001</v>
      </c>
    </row>
    <row r="14" spans="1:15" ht="19.2" customHeight="1" thickBot="1" x14ac:dyDescent="0.35">
      <c r="A14" s="60" t="str">
        <f>Constantes!C5</f>
        <v>senior</v>
      </c>
      <c r="C14" s="134" t="s">
        <v>134</v>
      </c>
      <c r="D14" s="134" t="s">
        <v>15</v>
      </c>
      <c r="E14" s="134" t="s">
        <v>16</v>
      </c>
      <c r="F14" s="134" t="s">
        <v>17</v>
      </c>
      <c r="G14" s="134" t="s">
        <v>18</v>
      </c>
      <c r="H14" s="134" t="s">
        <v>19</v>
      </c>
      <c r="I14" s="134" t="s">
        <v>20</v>
      </c>
      <c r="J14" s="134" t="s">
        <v>21</v>
      </c>
      <c r="K14" s="134" t="s">
        <v>22</v>
      </c>
      <c r="L14" s="134" t="s">
        <v>163</v>
      </c>
      <c r="M14" s="134" t="s">
        <v>164</v>
      </c>
      <c r="N14" s="134" t="s">
        <v>165</v>
      </c>
      <c r="O14" s="134" t="s">
        <v>166</v>
      </c>
    </row>
    <row r="15" spans="1:15" ht="19.2" customHeight="1" x14ac:dyDescent="0.3">
      <c r="A15" s="12" t="s">
        <v>4</v>
      </c>
      <c r="B15" s="61" t="str">
        <f>B3</f>
        <v>Court terme</v>
      </c>
      <c r="C15" s="568">
        <v>0.25</v>
      </c>
      <c r="D15" s="568">
        <v>0.25</v>
      </c>
      <c r="E15" s="568">
        <v>0.25</v>
      </c>
      <c r="F15" s="568">
        <v>0.25</v>
      </c>
      <c r="G15" s="568">
        <v>0.25</v>
      </c>
      <c r="H15" s="568"/>
      <c r="I15" s="568"/>
      <c r="J15" s="568"/>
      <c r="K15" s="568"/>
      <c r="L15" s="568"/>
      <c r="M15" s="568"/>
      <c r="N15" s="568"/>
      <c r="O15" s="568"/>
    </row>
    <row r="16" spans="1:15" ht="19.2" customHeight="1" thickBot="1" x14ac:dyDescent="0.35">
      <c r="A16" s="15"/>
      <c r="B16" s="62" t="str">
        <f t="shared" ref="B16:B24" si="0">B4</f>
        <v>Moyen et long terme</v>
      </c>
      <c r="C16" s="570">
        <v>0.05</v>
      </c>
      <c r="D16" s="570">
        <v>0.05</v>
      </c>
      <c r="E16" s="570">
        <v>0.15</v>
      </c>
      <c r="F16" s="570">
        <v>0.15</v>
      </c>
      <c r="G16" s="570">
        <v>0.15</v>
      </c>
      <c r="H16" s="570"/>
      <c r="I16" s="570"/>
      <c r="J16" s="570"/>
      <c r="K16" s="570"/>
      <c r="L16" s="570"/>
      <c r="M16" s="570"/>
      <c r="N16" s="570"/>
      <c r="O16" s="570"/>
    </row>
    <row r="17" spans="1:15" ht="19.2" customHeight="1" x14ac:dyDescent="0.3">
      <c r="A17" s="12" t="s">
        <v>6</v>
      </c>
      <c r="B17" s="61" t="str">
        <f t="shared" si="0"/>
        <v>Immobilier</v>
      </c>
      <c r="C17" s="568">
        <v>0.1</v>
      </c>
      <c r="D17" s="568">
        <v>0.1</v>
      </c>
      <c r="E17" s="568">
        <v>0.35</v>
      </c>
      <c r="F17" s="568">
        <v>0.1</v>
      </c>
      <c r="G17" s="568">
        <v>0.2</v>
      </c>
      <c r="H17" s="568"/>
      <c r="I17" s="568"/>
      <c r="J17" s="568"/>
      <c r="K17" s="568"/>
      <c r="L17" s="568"/>
      <c r="M17" s="568"/>
      <c r="N17" s="568"/>
      <c r="O17" s="568"/>
    </row>
    <row r="18" spans="1:15" ht="19.2" customHeight="1" x14ac:dyDescent="0.3">
      <c r="A18" s="17"/>
      <c r="B18" s="63" t="str">
        <f t="shared" si="0"/>
        <v>Consommation</v>
      </c>
      <c r="C18" s="582">
        <v>0.15</v>
      </c>
      <c r="D18" s="582">
        <v>0.15</v>
      </c>
      <c r="E18" s="582">
        <v>0.2</v>
      </c>
      <c r="F18" s="582">
        <v>0.2</v>
      </c>
      <c r="G18" s="582">
        <v>0.2</v>
      </c>
      <c r="H18" s="582"/>
      <c r="I18" s="582"/>
      <c r="J18" s="582"/>
      <c r="K18" s="582"/>
      <c r="L18" s="582"/>
      <c r="M18" s="582"/>
      <c r="N18" s="582"/>
      <c r="O18" s="582"/>
    </row>
    <row r="19" spans="1:15" ht="19.2" customHeight="1" thickBot="1" x14ac:dyDescent="0.35">
      <c r="A19" s="15"/>
      <c r="B19" s="62" t="str">
        <f t="shared" si="0"/>
        <v>Renouvelable</v>
      </c>
      <c r="C19" s="570">
        <v>0.1</v>
      </c>
      <c r="D19" s="570">
        <v>0.1</v>
      </c>
      <c r="E19" s="570">
        <v>0.15</v>
      </c>
      <c r="F19" s="570">
        <v>0.15</v>
      </c>
      <c r="G19" s="570">
        <v>0.15</v>
      </c>
      <c r="H19" s="570"/>
      <c r="I19" s="570"/>
      <c r="J19" s="570"/>
      <c r="K19" s="570"/>
      <c r="L19" s="570"/>
      <c r="M19" s="570"/>
      <c r="N19" s="570"/>
      <c r="O19" s="570"/>
    </row>
    <row r="20" spans="1:15" ht="19.2" customHeight="1" x14ac:dyDescent="0.3">
      <c r="A20" s="12" t="s">
        <v>9</v>
      </c>
      <c r="B20" s="61" t="str">
        <f t="shared" si="0"/>
        <v>IARD</v>
      </c>
      <c r="C20" s="568">
        <v>0.1</v>
      </c>
      <c r="D20" s="568">
        <v>0.1</v>
      </c>
      <c r="E20" s="568">
        <v>0.2</v>
      </c>
      <c r="F20" s="568">
        <v>0.15</v>
      </c>
      <c r="G20" s="568">
        <v>0.3</v>
      </c>
      <c r="H20" s="568"/>
      <c r="I20" s="568"/>
      <c r="J20" s="568"/>
      <c r="K20" s="568"/>
      <c r="L20" s="568"/>
      <c r="M20" s="568"/>
      <c r="N20" s="568"/>
      <c r="O20" s="568"/>
    </row>
    <row r="21" spans="1:15" ht="19.2" customHeight="1" thickBot="1" x14ac:dyDescent="0.35">
      <c r="A21" s="15"/>
      <c r="B21" s="62" t="str">
        <f t="shared" si="0"/>
        <v>Prévoyance</v>
      </c>
      <c r="C21" s="570">
        <v>0.1</v>
      </c>
      <c r="D21" s="570">
        <v>0.1</v>
      </c>
      <c r="E21" s="570">
        <v>0.15</v>
      </c>
      <c r="F21" s="570">
        <v>0.15</v>
      </c>
      <c r="G21" s="570">
        <v>0.15</v>
      </c>
      <c r="H21" s="570"/>
      <c r="I21" s="570"/>
      <c r="J21" s="570"/>
      <c r="K21" s="570"/>
      <c r="L21" s="570"/>
      <c r="M21" s="570"/>
      <c r="N21" s="570"/>
      <c r="O21" s="570"/>
    </row>
    <row r="22" spans="1:15" ht="19.2" customHeight="1" x14ac:dyDescent="0.3">
      <c r="A22" s="12" t="s">
        <v>11</v>
      </c>
      <c r="B22" s="61" t="str">
        <f t="shared" si="0"/>
        <v>Moyens de paiement</v>
      </c>
      <c r="C22" s="568">
        <v>0.25</v>
      </c>
      <c r="D22" s="568">
        <v>0.25</v>
      </c>
      <c r="E22" s="568">
        <v>0.2</v>
      </c>
      <c r="F22" s="568">
        <v>0.3</v>
      </c>
      <c r="G22" s="568">
        <v>0.2</v>
      </c>
      <c r="H22" s="568"/>
      <c r="I22" s="568"/>
      <c r="J22" s="568"/>
      <c r="K22" s="568"/>
      <c r="L22" s="568"/>
      <c r="M22" s="568"/>
      <c r="N22" s="568"/>
      <c r="O22" s="568"/>
    </row>
    <row r="23" spans="1:15" ht="19.2" customHeight="1" x14ac:dyDescent="0.3">
      <c r="A23" s="17"/>
      <c r="B23" s="63" t="str">
        <f t="shared" si="0"/>
        <v>Ouverture compte</v>
      </c>
      <c r="C23" s="582">
        <v>0.2</v>
      </c>
      <c r="D23" s="582">
        <v>0.2</v>
      </c>
      <c r="E23" s="582">
        <v>0.15</v>
      </c>
      <c r="F23" s="582">
        <v>0.25</v>
      </c>
      <c r="G23" s="582">
        <v>0.25</v>
      </c>
      <c r="H23" s="582"/>
      <c r="I23" s="582"/>
      <c r="J23" s="582"/>
      <c r="K23" s="582"/>
      <c r="L23" s="582"/>
      <c r="M23" s="582"/>
      <c r="N23" s="582"/>
      <c r="O23" s="582"/>
    </row>
    <row r="24" spans="1:15" ht="19.2" customHeight="1" thickBot="1" x14ac:dyDescent="0.35">
      <c r="A24" s="15"/>
      <c r="B24" s="62" t="str">
        <f t="shared" si="0"/>
        <v>Téléphonie</v>
      </c>
      <c r="C24" s="570"/>
      <c r="D24" s="570"/>
      <c r="E24" s="570">
        <v>0.1</v>
      </c>
      <c r="F24" s="570">
        <v>0.1</v>
      </c>
      <c r="G24" s="570">
        <v>0.15</v>
      </c>
      <c r="H24" s="570"/>
      <c r="I24" s="570"/>
      <c r="J24" s="570"/>
      <c r="K24" s="570"/>
      <c r="L24" s="570"/>
      <c r="M24" s="570"/>
      <c r="N24" s="570"/>
      <c r="O24" s="570"/>
    </row>
    <row r="25" spans="1:15" ht="19.2" customHeight="1" x14ac:dyDescent="0.3">
      <c r="C25" s="1">
        <f>SUM(C15:C24)</f>
        <v>1.3</v>
      </c>
      <c r="D25" s="1">
        <f>SUM(D15:D24)</f>
        <v>1.3</v>
      </c>
      <c r="E25" s="1">
        <f>SUM(E15:E24)</f>
        <v>1.8999999999999997</v>
      </c>
      <c r="F25" s="1">
        <f>SUM(F15:F24)</f>
        <v>1.8</v>
      </c>
      <c r="G25" s="1">
        <f>SUM(G15:G24)</f>
        <v>1.9999999999999998</v>
      </c>
    </row>
    <row r="26" spans="1:15" ht="19.2" customHeight="1" thickBot="1" x14ac:dyDescent="0.35">
      <c r="A26" s="60" t="str">
        <f>Constantes!C6</f>
        <v>premium</v>
      </c>
      <c r="C26" s="134" t="s">
        <v>134</v>
      </c>
      <c r="D26" s="134" t="s">
        <v>15</v>
      </c>
      <c r="E26" s="134" t="s">
        <v>16</v>
      </c>
      <c r="F26" s="134" t="s">
        <v>17</v>
      </c>
      <c r="G26" s="134" t="s">
        <v>18</v>
      </c>
      <c r="H26" s="134" t="s">
        <v>19</v>
      </c>
      <c r="I26" s="134" t="s">
        <v>20</v>
      </c>
      <c r="J26" s="134" t="s">
        <v>21</v>
      </c>
      <c r="K26" s="134" t="s">
        <v>22</v>
      </c>
      <c r="L26" s="134" t="s">
        <v>163</v>
      </c>
      <c r="M26" s="134" t="s">
        <v>164</v>
      </c>
      <c r="N26" s="134" t="s">
        <v>165</v>
      </c>
      <c r="O26" s="134" t="s">
        <v>166</v>
      </c>
    </row>
    <row r="27" spans="1:15" ht="19.2" customHeight="1" x14ac:dyDescent="0.3">
      <c r="A27" s="12" t="s">
        <v>4</v>
      </c>
      <c r="B27" s="61" t="str">
        <f>B15</f>
        <v>Court terme</v>
      </c>
      <c r="C27" s="568">
        <v>0.1</v>
      </c>
      <c r="D27" s="568">
        <v>0.1</v>
      </c>
      <c r="E27" s="568">
        <v>0.15</v>
      </c>
      <c r="F27" s="568">
        <v>0.15</v>
      </c>
      <c r="G27" s="568">
        <v>0.15</v>
      </c>
      <c r="H27" s="568"/>
      <c r="I27" s="568"/>
      <c r="J27" s="568"/>
      <c r="K27" s="568"/>
      <c r="L27" s="568"/>
      <c r="M27" s="568"/>
      <c r="N27" s="568"/>
      <c r="O27" s="568"/>
    </row>
    <row r="28" spans="1:15" ht="19.2" customHeight="1" thickBot="1" x14ac:dyDescent="0.35">
      <c r="A28" s="15"/>
      <c r="B28" s="62" t="str">
        <f t="shared" ref="B28:B36" si="1">B16</f>
        <v>Moyen et long terme</v>
      </c>
      <c r="C28" s="570">
        <v>0.25</v>
      </c>
      <c r="D28" s="570">
        <v>0.25</v>
      </c>
      <c r="E28" s="570">
        <v>0.2</v>
      </c>
      <c r="F28" s="570">
        <v>0.2</v>
      </c>
      <c r="G28" s="570">
        <v>0.2</v>
      </c>
      <c r="H28" s="570"/>
      <c r="I28" s="570"/>
      <c r="J28" s="570"/>
      <c r="K28" s="570"/>
      <c r="L28" s="570"/>
      <c r="M28" s="570"/>
      <c r="N28" s="570"/>
      <c r="O28" s="570"/>
    </row>
    <row r="29" spans="1:15" ht="19.2" customHeight="1" x14ac:dyDescent="0.3">
      <c r="A29" s="12" t="s">
        <v>6</v>
      </c>
      <c r="B29" s="61" t="str">
        <f t="shared" si="1"/>
        <v>Immobilier</v>
      </c>
      <c r="C29" s="568">
        <v>0.15</v>
      </c>
      <c r="D29" s="568">
        <v>0.15</v>
      </c>
      <c r="E29" s="568">
        <v>0.4</v>
      </c>
      <c r="F29" s="568">
        <v>0.15</v>
      </c>
      <c r="G29" s="568">
        <v>0.25</v>
      </c>
      <c r="H29" s="568"/>
      <c r="I29" s="568"/>
      <c r="J29" s="568"/>
      <c r="K29" s="568"/>
      <c r="L29" s="568"/>
      <c r="M29" s="568"/>
      <c r="N29" s="568"/>
      <c r="O29" s="568"/>
    </row>
    <row r="30" spans="1:15" ht="19.2" customHeight="1" x14ac:dyDescent="0.3">
      <c r="A30" s="17"/>
      <c r="B30" s="63" t="str">
        <f t="shared" si="1"/>
        <v>Consommation</v>
      </c>
      <c r="C30" s="582">
        <v>0.15</v>
      </c>
      <c r="D30" s="582">
        <v>0.15</v>
      </c>
      <c r="E30" s="582">
        <v>0.2</v>
      </c>
      <c r="F30" s="582">
        <v>0.2</v>
      </c>
      <c r="G30" s="582">
        <v>0.2</v>
      </c>
      <c r="H30" s="582"/>
      <c r="I30" s="582"/>
      <c r="J30" s="582"/>
      <c r="K30" s="582"/>
      <c r="L30" s="582"/>
      <c r="M30" s="582"/>
      <c r="N30" s="582"/>
      <c r="O30" s="582"/>
    </row>
    <row r="31" spans="1:15" ht="19.2" customHeight="1" thickBot="1" x14ac:dyDescent="0.35">
      <c r="A31" s="15"/>
      <c r="B31" s="62" t="str">
        <f t="shared" si="1"/>
        <v>Renouvelable</v>
      </c>
      <c r="C31" s="570">
        <v>0.1</v>
      </c>
      <c r="D31" s="570">
        <v>0.1</v>
      </c>
      <c r="E31" s="570">
        <v>0.25</v>
      </c>
      <c r="F31" s="570">
        <v>0.25</v>
      </c>
      <c r="G31" s="570">
        <v>0.25</v>
      </c>
      <c r="H31" s="570"/>
      <c r="I31" s="570"/>
      <c r="J31" s="570"/>
      <c r="K31" s="570"/>
      <c r="L31" s="570"/>
      <c r="M31" s="570"/>
      <c r="N31" s="570"/>
      <c r="O31" s="570"/>
    </row>
    <row r="32" spans="1:15" ht="19.2" customHeight="1" x14ac:dyDescent="0.3">
      <c r="A32" s="12" t="s">
        <v>9</v>
      </c>
      <c r="B32" s="61" t="str">
        <f t="shared" si="1"/>
        <v>IARD</v>
      </c>
      <c r="C32" s="568"/>
      <c r="D32" s="568"/>
      <c r="E32" s="568">
        <v>0.2</v>
      </c>
      <c r="F32" s="568">
        <v>0.15</v>
      </c>
      <c r="G32" s="568">
        <v>0.3</v>
      </c>
      <c r="H32" s="568"/>
      <c r="I32" s="568"/>
      <c r="J32" s="568"/>
      <c r="K32" s="568"/>
      <c r="L32" s="568"/>
      <c r="M32" s="568"/>
      <c r="N32" s="568"/>
      <c r="O32" s="568"/>
    </row>
    <row r="33" spans="1:15" ht="19.2" customHeight="1" thickBot="1" x14ac:dyDescent="0.35">
      <c r="A33" s="15"/>
      <c r="B33" s="62" t="str">
        <f t="shared" si="1"/>
        <v>Prévoyance</v>
      </c>
      <c r="C33" s="570">
        <v>0.2</v>
      </c>
      <c r="D33" s="570">
        <v>0.2</v>
      </c>
      <c r="E33" s="570">
        <v>0.2</v>
      </c>
      <c r="F33" s="570">
        <v>0.2</v>
      </c>
      <c r="G33" s="570">
        <v>0.2</v>
      </c>
      <c r="H33" s="570"/>
      <c r="I33" s="570"/>
      <c r="J33" s="570"/>
      <c r="K33" s="570"/>
      <c r="L33" s="570"/>
      <c r="M33" s="570"/>
      <c r="N33" s="570"/>
      <c r="O33" s="570"/>
    </row>
    <row r="34" spans="1:15" ht="19.2" customHeight="1" x14ac:dyDescent="0.3">
      <c r="A34" s="12" t="s">
        <v>11</v>
      </c>
      <c r="B34" s="61" t="str">
        <f t="shared" si="1"/>
        <v>Moyens de paiement</v>
      </c>
      <c r="C34" s="568">
        <v>0.15</v>
      </c>
      <c r="D34" s="568">
        <v>0.15</v>
      </c>
      <c r="E34" s="568">
        <v>0.15</v>
      </c>
      <c r="F34" s="568">
        <v>0.25</v>
      </c>
      <c r="G34" s="568">
        <v>0.2</v>
      </c>
      <c r="H34" s="568"/>
      <c r="I34" s="568"/>
      <c r="J34" s="568"/>
      <c r="K34" s="568"/>
      <c r="L34" s="568"/>
      <c r="M34" s="568"/>
      <c r="N34" s="568"/>
      <c r="O34" s="568"/>
    </row>
    <row r="35" spans="1:15" ht="19.2" customHeight="1" x14ac:dyDescent="0.3">
      <c r="A35" s="17"/>
      <c r="B35" s="63" t="str">
        <f t="shared" si="1"/>
        <v>Ouverture compte</v>
      </c>
      <c r="C35" s="582">
        <v>0.15</v>
      </c>
      <c r="D35" s="582">
        <v>0.15</v>
      </c>
      <c r="E35" s="582">
        <v>0.15</v>
      </c>
      <c r="F35" s="582">
        <v>0.25</v>
      </c>
      <c r="G35" s="582">
        <v>0.2</v>
      </c>
      <c r="H35" s="582"/>
      <c r="I35" s="582"/>
      <c r="J35" s="582"/>
      <c r="K35" s="582"/>
      <c r="L35" s="582"/>
      <c r="M35" s="582"/>
      <c r="N35" s="582"/>
      <c r="O35" s="582"/>
    </row>
    <row r="36" spans="1:15" ht="19.2" customHeight="1" thickBot="1" x14ac:dyDescent="0.35">
      <c r="A36" s="15"/>
      <c r="B36" s="62" t="str">
        <f t="shared" si="1"/>
        <v>Téléphonie</v>
      </c>
      <c r="C36" s="570"/>
      <c r="D36" s="570"/>
      <c r="E36" s="570">
        <v>0.1</v>
      </c>
      <c r="F36" s="570">
        <v>0.1</v>
      </c>
      <c r="G36" s="570">
        <v>0.15</v>
      </c>
      <c r="H36" s="570"/>
      <c r="I36" s="570"/>
      <c r="J36" s="570"/>
      <c r="K36" s="570"/>
      <c r="L36" s="570"/>
      <c r="M36" s="570"/>
      <c r="N36" s="570"/>
      <c r="O36" s="570"/>
    </row>
    <row r="37" spans="1:15" ht="19.2" customHeight="1" x14ac:dyDescent="0.3">
      <c r="C37" s="1">
        <f>SUM(C27:C36)</f>
        <v>1.2499999999999998</v>
      </c>
      <c r="D37" s="1">
        <f>SUM(D27:D36)</f>
        <v>1.2499999999999998</v>
      </c>
      <c r="E37" s="1">
        <f>SUM(E27:E36)</f>
        <v>1.9999999999999998</v>
      </c>
      <c r="F37" s="1">
        <f>SUM(F27:F36)</f>
        <v>1.9</v>
      </c>
      <c r="G37" s="1">
        <f>SUM(G27:G36)</f>
        <v>2.1</v>
      </c>
    </row>
    <row r="38" spans="1:15" ht="19.2" customHeight="1" x14ac:dyDescent="0.3">
      <c r="C38" s="60" t="s">
        <v>297</v>
      </c>
    </row>
    <row r="39" spans="1:15" ht="19.2" customHeight="1" thickBot="1" x14ac:dyDescent="0.35">
      <c r="C39" s="159" t="s">
        <v>134</v>
      </c>
      <c r="D39" s="159" t="s">
        <v>15</v>
      </c>
      <c r="E39" s="159" t="s">
        <v>16</v>
      </c>
      <c r="F39" s="159" t="s">
        <v>17</v>
      </c>
      <c r="G39" s="159" t="s">
        <v>18</v>
      </c>
      <c r="H39" s="159" t="s">
        <v>19</v>
      </c>
      <c r="I39" s="159" t="s">
        <v>20</v>
      </c>
      <c r="J39" s="159" t="s">
        <v>21</v>
      </c>
      <c r="K39" s="159" t="s">
        <v>22</v>
      </c>
      <c r="L39" s="159" t="s">
        <v>163</v>
      </c>
      <c r="M39" s="159" t="s">
        <v>164</v>
      </c>
      <c r="N39" s="159" t="s">
        <v>165</v>
      </c>
      <c r="O39" s="159" t="s">
        <v>166</v>
      </c>
    </row>
    <row r="40" spans="1:15" ht="19.2" customHeight="1" thickBot="1" x14ac:dyDescent="0.35">
      <c r="C40" s="583">
        <v>100</v>
      </c>
      <c r="D40" s="584">
        <v>100</v>
      </c>
      <c r="E40" s="584">
        <v>100</v>
      </c>
      <c r="F40" s="584">
        <v>75</v>
      </c>
      <c r="G40" s="584">
        <v>100</v>
      </c>
      <c r="H40" s="584">
        <v>102</v>
      </c>
      <c r="I40" s="584">
        <v>102</v>
      </c>
      <c r="J40" s="584">
        <v>77</v>
      </c>
      <c r="K40" s="584">
        <v>102</v>
      </c>
      <c r="L40" s="584">
        <v>104</v>
      </c>
      <c r="M40" s="584">
        <v>104</v>
      </c>
      <c r="N40" s="584">
        <v>79</v>
      </c>
      <c r="O40" s="585">
        <v>104</v>
      </c>
    </row>
    <row r="41" spans="1:15" ht="19.2" customHeight="1" x14ac:dyDescent="0.3"/>
    <row r="42" spans="1:15" ht="23.4" customHeight="1" thickBot="1" x14ac:dyDescent="0.35">
      <c r="C42" s="157" t="s">
        <v>307</v>
      </c>
      <c r="D42" s="223" t="s">
        <v>308</v>
      </c>
      <c r="E42" s="223" t="s">
        <v>309</v>
      </c>
    </row>
    <row r="43" spans="1:15" ht="23.4" customHeight="1" thickBot="1" x14ac:dyDescent="0.35">
      <c r="B43" s="1" t="s">
        <v>289</v>
      </c>
      <c r="C43" s="586">
        <v>650000</v>
      </c>
      <c r="D43" s="587">
        <v>700000</v>
      </c>
      <c r="E43" s="588">
        <v>750000</v>
      </c>
    </row>
    <row r="44" spans="1:15" ht="23.4" customHeight="1" x14ac:dyDescent="0.3"/>
    <row r="45" spans="1:15" ht="23.4" customHeight="1" thickBot="1" x14ac:dyDescent="0.35">
      <c r="C45" s="157" t="s">
        <v>15</v>
      </c>
      <c r="D45" s="157" t="s">
        <v>16</v>
      </c>
      <c r="E45" s="157" t="s">
        <v>17</v>
      </c>
      <c r="F45" s="157" t="s">
        <v>18</v>
      </c>
    </row>
    <row r="46" spans="1:15" ht="23.4" customHeight="1" thickBot="1" x14ac:dyDescent="0.35">
      <c r="B46" s="1" t="s">
        <v>290</v>
      </c>
      <c r="C46" s="589">
        <v>0.28000000000000003</v>
      </c>
      <c r="D46" s="590">
        <v>0.6</v>
      </c>
      <c r="E46" s="590">
        <v>0.75</v>
      </c>
      <c r="F46" s="591">
        <v>1</v>
      </c>
      <c r="G46" s="33"/>
    </row>
    <row r="47" spans="1:15" ht="19.2" customHeight="1" x14ac:dyDescent="0.3"/>
    <row r="48" spans="1:15" ht="19.2" customHeight="1" x14ac:dyDescent="0.3"/>
    <row r="49" spans="3:15" ht="19.2" customHeight="1" x14ac:dyDescent="0.3">
      <c r="C49" s="60" t="s">
        <v>162</v>
      </c>
    </row>
    <row r="50" spans="3:15" ht="19.2" customHeight="1" thickBot="1" x14ac:dyDescent="0.35">
      <c r="C50" s="134" t="s">
        <v>134</v>
      </c>
      <c r="D50" s="134" t="s">
        <v>15</v>
      </c>
      <c r="E50" s="134" t="s">
        <v>16</v>
      </c>
      <c r="F50" s="134" t="s">
        <v>17</v>
      </c>
      <c r="G50" s="134" t="s">
        <v>18</v>
      </c>
      <c r="H50" s="134" t="s">
        <v>19</v>
      </c>
      <c r="I50" s="134" t="s">
        <v>20</v>
      </c>
      <c r="J50" s="134" t="s">
        <v>21</v>
      </c>
      <c r="K50" s="134" t="s">
        <v>22</v>
      </c>
      <c r="L50" s="134" t="s">
        <v>163</v>
      </c>
      <c r="M50" s="134" t="s">
        <v>164</v>
      </c>
      <c r="N50" s="134" t="s">
        <v>165</v>
      </c>
      <c r="O50" s="134" t="s">
        <v>166</v>
      </c>
    </row>
    <row r="51" spans="3:15" ht="19.2" customHeight="1" thickBot="1" x14ac:dyDescent="0.35">
      <c r="C51" s="583">
        <v>1</v>
      </c>
      <c r="D51" s="584">
        <v>1</v>
      </c>
      <c r="E51" s="584">
        <v>1</v>
      </c>
      <c r="F51" s="584">
        <v>1</v>
      </c>
      <c r="G51" s="584">
        <v>2</v>
      </c>
      <c r="H51" s="584">
        <v>2</v>
      </c>
      <c r="I51" s="584">
        <v>2</v>
      </c>
      <c r="J51" s="584">
        <v>2</v>
      </c>
      <c r="K51" s="584">
        <v>3</v>
      </c>
      <c r="L51" s="584">
        <v>3</v>
      </c>
      <c r="M51" s="584">
        <v>3</v>
      </c>
      <c r="N51" s="584">
        <v>3</v>
      </c>
      <c r="O51" s="585">
        <v>3</v>
      </c>
    </row>
    <row r="52" spans="3:15" ht="19.2" customHeight="1" x14ac:dyDescent="0.3">
      <c r="C52" s="1" t="s">
        <v>386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/>
  <dimension ref="A1:BC151"/>
  <sheetViews>
    <sheetView showGridLines="0" showZeros="0" topLeftCell="AC10" zoomScaleNormal="100" workbookViewId="0">
      <selection activeCell="BB33" sqref="BB33"/>
    </sheetView>
  </sheetViews>
  <sheetFormatPr baseColWidth="10" defaultRowHeight="13.8" x14ac:dyDescent="0.25"/>
  <cols>
    <col min="1" max="1" width="3.5546875" style="32" customWidth="1"/>
    <col min="2" max="2" width="11.21875" style="32" customWidth="1"/>
    <col min="3" max="3" width="21" style="32" customWidth="1"/>
    <col min="4" max="7" width="9.88671875" style="32" customWidth="1"/>
    <col min="8" max="8" width="11.5546875" style="32"/>
    <col min="9" max="9" width="14.5546875" style="32" customWidth="1"/>
    <col min="10" max="10" width="11.5546875" style="32"/>
    <col min="11" max="12" width="3.5546875" style="32" customWidth="1"/>
    <col min="13" max="13" width="11.21875" style="32" customWidth="1"/>
    <col min="14" max="14" width="21" style="32" customWidth="1"/>
    <col min="15" max="18" width="9.88671875" style="32" customWidth="1"/>
    <col min="19" max="21" width="11.5546875" style="32"/>
    <col min="22" max="22" width="4" style="32" customWidth="1"/>
    <col min="23" max="23" width="3.5546875" style="32" customWidth="1"/>
    <col min="24" max="24" width="11.21875" style="32" customWidth="1"/>
    <col min="25" max="25" width="21" style="32" customWidth="1"/>
    <col min="26" max="29" width="9.88671875" style="32" customWidth="1"/>
    <col min="30" max="32" width="11.5546875" style="32"/>
    <col min="33" max="33" width="3.77734375" style="32" customWidth="1"/>
    <col min="34" max="34" width="3.5546875" style="32" customWidth="1"/>
    <col min="35" max="35" width="11.21875" style="32" customWidth="1"/>
    <col min="36" max="36" width="21" style="32" customWidth="1"/>
    <col min="37" max="40" width="9.88671875" style="32" customWidth="1"/>
    <col min="41" max="43" width="11.5546875" style="32"/>
    <col min="44" max="44" width="5.109375" style="32" customWidth="1"/>
    <col min="45" max="45" width="3.5546875" style="32" customWidth="1"/>
    <col min="46" max="46" width="11.21875" style="32" customWidth="1"/>
    <col min="47" max="47" width="21" style="32" customWidth="1"/>
    <col min="48" max="51" width="9.88671875" style="32" customWidth="1"/>
    <col min="52" max="54" width="11.5546875" style="32"/>
    <col min="55" max="55" width="3.88671875" style="32" customWidth="1"/>
    <col min="56" max="16384" width="11.5546875" style="32"/>
  </cols>
  <sheetData>
    <row r="1" spans="1:55" ht="28.2" customHeight="1" thickBot="1" x14ac:dyDescent="0.3">
      <c r="A1" s="811" t="s">
        <v>209</v>
      </c>
      <c r="B1" s="812"/>
      <c r="C1" s="812"/>
      <c r="D1" s="812"/>
      <c r="E1" s="812"/>
      <c r="F1" s="812"/>
      <c r="G1" s="812"/>
      <c r="H1" s="812"/>
      <c r="I1" s="78" t="s">
        <v>210</v>
      </c>
      <c r="J1" s="102">
        <v>0</v>
      </c>
      <c r="K1" s="649"/>
      <c r="L1" s="811" t="s">
        <v>209</v>
      </c>
      <c r="M1" s="812"/>
      <c r="N1" s="812"/>
      <c r="O1" s="812"/>
      <c r="P1" s="812"/>
      <c r="Q1" s="812"/>
      <c r="R1" s="812"/>
      <c r="S1" s="812"/>
      <c r="T1" s="78" t="s">
        <v>210</v>
      </c>
      <c r="U1" s="423">
        <v>1</v>
      </c>
      <c r="V1" s="726"/>
      <c r="W1" s="811" t="s">
        <v>209</v>
      </c>
      <c r="X1" s="812"/>
      <c r="Y1" s="812"/>
      <c r="Z1" s="812"/>
      <c r="AA1" s="812"/>
      <c r="AB1" s="812"/>
      <c r="AC1" s="812"/>
      <c r="AD1" s="812"/>
      <c r="AE1" s="78" t="s">
        <v>210</v>
      </c>
      <c r="AF1" s="424">
        <v>2</v>
      </c>
      <c r="AG1" s="726"/>
      <c r="AH1" s="811" t="s">
        <v>209</v>
      </c>
      <c r="AI1" s="812"/>
      <c r="AJ1" s="812"/>
      <c r="AK1" s="812"/>
      <c r="AL1" s="812"/>
      <c r="AM1" s="812"/>
      <c r="AN1" s="812"/>
      <c r="AO1" s="812"/>
      <c r="AP1" s="78" t="s">
        <v>210</v>
      </c>
      <c r="AQ1" s="426">
        <v>3</v>
      </c>
      <c r="AR1" s="726"/>
      <c r="AS1" s="811" t="s">
        <v>209</v>
      </c>
      <c r="AT1" s="812"/>
      <c r="AU1" s="812"/>
      <c r="AV1" s="812"/>
      <c r="AW1" s="812"/>
      <c r="AX1" s="812"/>
      <c r="AY1" s="812"/>
      <c r="AZ1" s="812"/>
      <c r="BA1" s="78" t="s">
        <v>210</v>
      </c>
      <c r="BB1" s="425">
        <v>4</v>
      </c>
      <c r="BC1" s="727"/>
    </row>
    <row r="2" spans="1:55" ht="15.6" customHeight="1" thickBot="1" x14ac:dyDescent="0.3">
      <c r="A2" s="79"/>
      <c r="B2" s="80"/>
      <c r="C2" s="80"/>
      <c r="E2" s="81" t="s">
        <v>28</v>
      </c>
      <c r="F2" s="81" t="s">
        <v>29</v>
      </c>
      <c r="G2" s="81" t="s">
        <v>30</v>
      </c>
      <c r="H2" s="81" t="s">
        <v>27</v>
      </c>
      <c r="I2" s="80"/>
      <c r="J2" s="80"/>
      <c r="K2" s="82"/>
      <c r="L2" s="79"/>
      <c r="M2" s="80"/>
      <c r="N2" s="80"/>
      <c r="P2" s="81" t="s">
        <v>28</v>
      </c>
      <c r="Q2" s="81" t="s">
        <v>29</v>
      </c>
      <c r="R2" s="81" t="s">
        <v>30</v>
      </c>
      <c r="S2" s="81" t="s">
        <v>27</v>
      </c>
      <c r="T2" s="80"/>
      <c r="U2" s="80"/>
      <c r="V2" s="82"/>
      <c r="W2" s="79"/>
      <c r="X2" s="80"/>
      <c r="Y2" s="80"/>
      <c r="AA2" s="81" t="s">
        <v>28</v>
      </c>
      <c r="AB2" s="81" t="s">
        <v>29</v>
      </c>
      <c r="AC2" s="81" t="s">
        <v>30</v>
      </c>
      <c r="AD2" s="81" t="s">
        <v>27</v>
      </c>
      <c r="AE2" s="80"/>
      <c r="AF2" s="80"/>
      <c r="AG2" s="82"/>
      <c r="AH2" s="79"/>
      <c r="AI2" s="80"/>
      <c r="AJ2" s="80"/>
      <c r="AL2" s="81" t="s">
        <v>28</v>
      </c>
      <c r="AM2" s="81" t="s">
        <v>29</v>
      </c>
      <c r="AN2" s="81" t="s">
        <v>30</v>
      </c>
      <c r="AO2" s="81" t="s">
        <v>27</v>
      </c>
      <c r="AP2" s="80"/>
      <c r="AQ2" s="80"/>
      <c r="AR2" s="82"/>
      <c r="AS2" s="79"/>
      <c r="AT2" s="80"/>
      <c r="AU2" s="80"/>
      <c r="AV2" s="80"/>
      <c r="AW2" s="81" t="s">
        <v>28</v>
      </c>
      <c r="AX2" s="81" t="s">
        <v>29</v>
      </c>
      <c r="AY2" s="81" t="s">
        <v>30</v>
      </c>
      <c r="AZ2" s="81" t="s">
        <v>27</v>
      </c>
      <c r="BA2" s="80"/>
      <c r="BB2" s="80"/>
      <c r="BC2" s="82"/>
    </row>
    <row r="3" spans="1:55" ht="22.8" customHeight="1" thickBot="1" x14ac:dyDescent="0.3">
      <c r="A3" s="83"/>
      <c r="B3" s="84" t="s">
        <v>211</v>
      </c>
      <c r="C3" s="85"/>
      <c r="E3" s="718"/>
      <c r="F3" s="719" t="s">
        <v>13</v>
      </c>
      <c r="G3" s="719"/>
      <c r="H3" s="720"/>
      <c r="J3" s="96" t="s">
        <v>212</v>
      </c>
      <c r="K3" s="86"/>
      <c r="L3" s="83"/>
      <c r="M3" s="84" t="s">
        <v>211</v>
      </c>
      <c r="N3" s="85"/>
      <c r="P3" s="403"/>
      <c r="Q3" s="404" t="s">
        <v>13</v>
      </c>
      <c r="R3" s="404"/>
      <c r="S3" s="405"/>
      <c r="U3" s="96" t="s">
        <v>212</v>
      </c>
      <c r="V3" s="86"/>
      <c r="W3" s="83"/>
      <c r="X3" s="84" t="s">
        <v>211</v>
      </c>
      <c r="Y3" s="85"/>
      <c r="AA3" s="366"/>
      <c r="AB3" s="367"/>
      <c r="AC3" s="367" t="s">
        <v>13</v>
      </c>
      <c r="AD3" s="368"/>
      <c r="AF3" s="96" t="s">
        <v>212</v>
      </c>
      <c r="AG3" s="86"/>
      <c r="AH3" s="83"/>
      <c r="AI3" s="84" t="s">
        <v>211</v>
      </c>
      <c r="AJ3" s="85"/>
      <c r="AL3" s="363"/>
      <c r="AM3" s="364"/>
      <c r="AN3" s="364" t="s">
        <v>13</v>
      </c>
      <c r="AO3" s="365"/>
      <c r="AQ3" s="96" t="s">
        <v>212</v>
      </c>
      <c r="AR3" s="86"/>
      <c r="AS3" s="83"/>
      <c r="AT3" s="84" t="s">
        <v>211</v>
      </c>
      <c r="AU3" s="85"/>
      <c r="AV3" s="85"/>
      <c r="AW3" s="171"/>
      <c r="AX3" s="172"/>
      <c r="AY3" s="172" t="s">
        <v>13</v>
      </c>
      <c r="AZ3" s="173"/>
      <c r="BA3" s="85"/>
      <c r="BB3" s="96" t="s">
        <v>212</v>
      </c>
      <c r="BC3" s="86"/>
    </row>
    <row r="4" spans="1:55" ht="15" customHeight="1" x14ac:dyDescent="0.25">
      <c r="A4" s="83"/>
      <c r="B4" s="87"/>
      <c r="C4" s="85"/>
      <c r="D4" s="85"/>
      <c r="E4" s="181">
        <f>IF(E3="X",1,0)</f>
        <v>0</v>
      </c>
      <c r="F4" s="181">
        <f>IF(F3="X",2,0)</f>
        <v>2</v>
      </c>
      <c r="G4" s="181">
        <f>IF(G3="X",3,0)</f>
        <v>0</v>
      </c>
      <c r="H4" s="181">
        <f>IF(H3="X",4,0)</f>
        <v>0</v>
      </c>
      <c r="I4" s="182">
        <f>SUM(E4:H4)</f>
        <v>2</v>
      </c>
      <c r="J4" s="85"/>
      <c r="K4" s="88"/>
      <c r="L4" s="83"/>
      <c r="M4" s="87"/>
      <c r="N4" s="85"/>
      <c r="O4" s="85"/>
      <c r="P4" s="181">
        <f>IF(P3="X",1,0)</f>
        <v>0</v>
      </c>
      <c r="Q4" s="181">
        <f>IF(Q3="X",2,0)</f>
        <v>2</v>
      </c>
      <c r="R4" s="181">
        <f>IF(R3="X",3,0)</f>
        <v>0</v>
      </c>
      <c r="S4" s="181">
        <f>IF(S3="X",4,0)</f>
        <v>0</v>
      </c>
      <c r="T4" s="182">
        <f>SUM(P4:S4)</f>
        <v>2</v>
      </c>
      <c r="U4" s="85"/>
      <c r="V4" s="88"/>
      <c r="W4" s="83"/>
      <c r="X4" s="87"/>
      <c r="Y4" s="85"/>
      <c r="Z4" s="85"/>
      <c r="AA4" s="181">
        <f>IF(AA3="X",1,0)</f>
        <v>0</v>
      </c>
      <c r="AB4" s="181">
        <f>IF(AB3="X",2,0)</f>
        <v>0</v>
      </c>
      <c r="AC4" s="181">
        <f>IF(AC3="X",3,0)</f>
        <v>3</v>
      </c>
      <c r="AD4" s="181">
        <f>IF(AD3="X",4,0)</f>
        <v>0</v>
      </c>
      <c r="AE4" s="182">
        <f>SUM(AA4:AD4)</f>
        <v>3</v>
      </c>
      <c r="AF4" s="85"/>
      <c r="AG4" s="88"/>
      <c r="AH4" s="83"/>
      <c r="AI4" s="87"/>
      <c r="AJ4" s="85"/>
      <c r="AK4" s="85"/>
      <c r="AL4" s="181">
        <f>IF(AL3="X",1,0)</f>
        <v>0</v>
      </c>
      <c r="AM4" s="181">
        <f>IF(AM3="X",2,0)</f>
        <v>0</v>
      </c>
      <c r="AN4" s="181">
        <f>IF(AN3="X",3,0)</f>
        <v>3</v>
      </c>
      <c r="AO4" s="181">
        <f>IF(AO3="X",4,0)</f>
        <v>0</v>
      </c>
      <c r="AP4" s="182">
        <f>SUM(AL4:AO4)</f>
        <v>3</v>
      </c>
      <c r="AQ4" s="85"/>
      <c r="AR4" s="88"/>
      <c r="AS4" s="83"/>
      <c r="AT4" s="87"/>
      <c r="AU4" s="85"/>
      <c r="AV4" s="85"/>
      <c r="AW4" s="181">
        <f>IF(AW3="X",1,0)</f>
        <v>0</v>
      </c>
      <c r="AX4" s="181">
        <f>IF(AX3="X",2,0)</f>
        <v>0</v>
      </c>
      <c r="AY4" s="181">
        <f>IF(AY3="X",3,0)</f>
        <v>3</v>
      </c>
      <c r="AZ4" s="181">
        <f>IF(AZ3="X",4,0)</f>
        <v>0</v>
      </c>
      <c r="BA4" s="182">
        <f>SUM(AW4:AZ4)</f>
        <v>3</v>
      </c>
      <c r="BB4" s="85"/>
      <c r="BC4" s="88"/>
    </row>
    <row r="5" spans="1:55" ht="22.8" customHeight="1" x14ac:dyDescent="0.25">
      <c r="A5" s="83"/>
      <c r="I5" s="85"/>
      <c r="J5" s="85"/>
      <c r="K5" s="88"/>
      <c r="L5" s="83"/>
      <c r="M5" s="89"/>
      <c r="N5" s="90"/>
      <c r="O5" s="725"/>
      <c r="P5" s="725"/>
      <c r="Q5" s="725"/>
      <c r="R5" s="85"/>
      <c r="S5" s="85"/>
      <c r="T5" s="85"/>
      <c r="U5" s="85"/>
      <c r="V5" s="88"/>
      <c r="W5" s="83"/>
      <c r="X5" s="89"/>
      <c r="Y5" s="90"/>
      <c r="Z5" s="725"/>
      <c r="AA5" s="725"/>
      <c r="AB5" s="725"/>
      <c r="AC5" s="85"/>
      <c r="AD5" s="85"/>
      <c r="AE5" s="85"/>
      <c r="AF5" s="85"/>
      <c r="AG5" s="88"/>
      <c r="AH5" s="83"/>
      <c r="AI5" s="89"/>
      <c r="AJ5" s="90"/>
      <c r="AK5" s="725"/>
      <c r="AL5" s="725"/>
      <c r="AM5" s="725"/>
      <c r="AN5" s="85"/>
      <c r="AO5" s="85"/>
      <c r="AP5" s="85"/>
      <c r="AQ5" s="85"/>
      <c r="AR5" s="88"/>
      <c r="AS5" s="83"/>
      <c r="AT5" s="89"/>
      <c r="AU5" s="90"/>
      <c r="AV5" s="725"/>
      <c r="AW5" s="725"/>
      <c r="AX5" s="725"/>
      <c r="AY5" s="85"/>
      <c r="AZ5" s="85"/>
      <c r="BA5" s="85"/>
      <c r="BB5" s="85"/>
      <c r="BC5" s="88"/>
    </row>
    <row r="6" spans="1:55" ht="22.8" customHeight="1" thickBot="1" x14ac:dyDescent="0.3">
      <c r="A6" s="83"/>
      <c r="B6" s="84" t="s">
        <v>398</v>
      </c>
      <c r="F6" s="85"/>
      <c r="G6" s="626" t="s">
        <v>401</v>
      </c>
      <c r="J6" s="85"/>
      <c r="K6" s="88"/>
      <c r="L6" s="83"/>
      <c r="M6" s="84" t="s">
        <v>398</v>
      </c>
      <c r="O6" s="85"/>
      <c r="P6" s="85"/>
      <c r="Q6" s="85"/>
      <c r="R6" s="710" t="s">
        <v>401</v>
      </c>
      <c r="U6" s="85"/>
      <c r="V6" s="88"/>
      <c r="W6" s="83"/>
      <c r="X6" s="84" t="s">
        <v>398</v>
      </c>
      <c r="Z6" s="85"/>
      <c r="AA6" s="85"/>
      <c r="AB6" s="85"/>
      <c r="AC6" s="710" t="s">
        <v>401</v>
      </c>
      <c r="AF6" s="85"/>
      <c r="AG6" s="88"/>
      <c r="AH6" s="83"/>
      <c r="AI6" s="84" t="s">
        <v>398</v>
      </c>
      <c r="AK6" s="85"/>
      <c r="AL6" s="85"/>
      <c r="AM6" s="85"/>
      <c r="AN6" s="710" t="s">
        <v>401</v>
      </c>
      <c r="AQ6" s="85"/>
      <c r="AR6" s="88"/>
      <c r="AS6" s="83"/>
      <c r="AT6" s="84" t="s">
        <v>398</v>
      </c>
      <c r="AU6" s="85"/>
      <c r="AV6" s="85"/>
      <c r="AW6" s="85"/>
      <c r="AX6" s="85"/>
      <c r="AY6" s="713" t="s">
        <v>401</v>
      </c>
      <c r="AZ6" s="85"/>
      <c r="BA6" s="85"/>
      <c r="BB6" s="85"/>
      <c r="BC6" s="88"/>
    </row>
    <row r="7" spans="1:55" ht="22.8" customHeight="1" x14ac:dyDescent="0.25">
      <c r="A7" s="83"/>
      <c r="E7" s="31" t="s">
        <v>399</v>
      </c>
      <c r="F7" s="714">
        <v>0.15</v>
      </c>
      <c r="G7" s="318">
        <f>Constantes!$D$94</f>
        <v>0.1</v>
      </c>
      <c r="J7" s="85"/>
      <c r="K7" s="88"/>
      <c r="L7" s="83"/>
      <c r="P7" s="31" t="s">
        <v>399</v>
      </c>
      <c r="Q7" s="416">
        <v>0.2</v>
      </c>
      <c r="R7" s="318">
        <f>Constantes!$D$94</f>
        <v>0.1</v>
      </c>
      <c r="U7" s="85"/>
      <c r="V7" s="88"/>
      <c r="W7" s="83"/>
      <c r="AA7" s="31" t="s">
        <v>399</v>
      </c>
      <c r="AB7" s="379">
        <v>0.2</v>
      </c>
      <c r="AC7" s="318">
        <f>Constantes!$D$94</f>
        <v>0.1</v>
      </c>
      <c r="AF7" s="85"/>
      <c r="AG7" s="88"/>
      <c r="AH7" s="83"/>
      <c r="AL7" s="31" t="s">
        <v>399</v>
      </c>
      <c r="AM7" s="396">
        <v>0.2</v>
      </c>
      <c r="AN7" s="318">
        <f>Constantes!$D$94</f>
        <v>0.1</v>
      </c>
      <c r="AQ7" s="85"/>
      <c r="AR7" s="88"/>
      <c r="AS7" s="83"/>
      <c r="AT7" s="85"/>
      <c r="AU7" s="85"/>
      <c r="AV7" s="85"/>
      <c r="AW7" s="96" t="s">
        <v>399</v>
      </c>
      <c r="AX7" s="178">
        <v>0.2</v>
      </c>
      <c r="AY7" s="318">
        <f>Constantes!$D$94</f>
        <v>0.1</v>
      </c>
      <c r="AZ7" s="85"/>
      <c r="BA7" s="85"/>
      <c r="BB7" s="85"/>
      <c r="BC7" s="88"/>
    </row>
    <row r="8" spans="1:55" ht="22.8" customHeight="1" x14ac:dyDescent="0.25">
      <c r="A8" s="83"/>
      <c r="E8" s="31" t="s">
        <v>205</v>
      </c>
      <c r="F8" s="715">
        <v>0.1</v>
      </c>
      <c r="G8" s="318">
        <f>Constantes!$D$95</f>
        <v>0.05</v>
      </c>
      <c r="J8" s="85"/>
      <c r="K8" s="88"/>
      <c r="L8" s="83"/>
      <c r="P8" s="31" t="s">
        <v>205</v>
      </c>
      <c r="Q8" s="418">
        <v>0.15</v>
      </c>
      <c r="R8" s="318">
        <f>Constantes!$D$95</f>
        <v>0.05</v>
      </c>
      <c r="U8" s="85"/>
      <c r="V8" s="88"/>
      <c r="W8" s="83"/>
      <c r="AA8" s="31" t="s">
        <v>205</v>
      </c>
      <c r="AB8" s="381">
        <v>0.15</v>
      </c>
      <c r="AC8" s="318">
        <f>Constantes!$D$95</f>
        <v>0.05</v>
      </c>
      <c r="AF8" s="85"/>
      <c r="AG8" s="88"/>
      <c r="AH8" s="83"/>
      <c r="AL8" s="31" t="s">
        <v>205</v>
      </c>
      <c r="AM8" s="398">
        <v>0.15</v>
      </c>
      <c r="AN8" s="318">
        <f>Constantes!$D$95</f>
        <v>0.05</v>
      </c>
      <c r="AQ8" s="85"/>
      <c r="AR8" s="88"/>
      <c r="AS8" s="83"/>
      <c r="AT8" s="85"/>
      <c r="AU8" s="85"/>
      <c r="AV8" s="85"/>
      <c r="AW8" s="96" t="s">
        <v>205</v>
      </c>
      <c r="AX8" s="180">
        <v>0.15</v>
      </c>
      <c r="AY8" s="318">
        <f>Constantes!$D$95</f>
        <v>0.05</v>
      </c>
      <c r="AZ8" s="85"/>
      <c r="BA8" s="85"/>
      <c r="BB8" s="85"/>
      <c r="BC8" s="88"/>
    </row>
    <row r="9" spans="1:55" ht="22.8" customHeight="1" x14ac:dyDescent="0.25">
      <c r="A9" s="83"/>
      <c r="E9" s="31" t="s">
        <v>396</v>
      </c>
      <c r="F9" s="715">
        <v>0.08</v>
      </c>
      <c r="G9" s="318">
        <f>Constantes!$D$97</f>
        <v>0.05</v>
      </c>
      <c r="J9" s="85"/>
      <c r="K9" s="88"/>
      <c r="L9" s="83"/>
      <c r="P9" s="31" t="s">
        <v>396</v>
      </c>
      <c r="Q9" s="418">
        <v>0.1</v>
      </c>
      <c r="R9" s="318">
        <f>Constantes!$D$97</f>
        <v>0.05</v>
      </c>
      <c r="U9" s="85"/>
      <c r="V9" s="88"/>
      <c r="W9" s="83"/>
      <c r="AA9" s="31" t="s">
        <v>396</v>
      </c>
      <c r="AB9" s="381">
        <v>0.15</v>
      </c>
      <c r="AC9" s="318">
        <f>Constantes!$D$97</f>
        <v>0.05</v>
      </c>
      <c r="AF9" s="85"/>
      <c r="AG9" s="88"/>
      <c r="AH9" s="83"/>
      <c r="AL9" s="31" t="s">
        <v>396</v>
      </c>
      <c r="AM9" s="398">
        <v>0.15</v>
      </c>
      <c r="AN9" s="318">
        <f>Constantes!$D$97</f>
        <v>0.05</v>
      </c>
      <c r="AQ9" s="85"/>
      <c r="AR9" s="88"/>
      <c r="AS9" s="83"/>
      <c r="AT9" s="85"/>
      <c r="AU9" s="85"/>
      <c r="AV9" s="85"/>
      <c r="AW9" s="96" t="s">
        <v>396</v>
      </c>
      <c r="AX9" s="180">
        <v>0.15</v>
      </c>
      <c r="AY9" s="318">
        <f>Constantes!$D$97</f>
        <v>0.05</v>
      </c>
      <c r="AZ9" s="85"/>
      <c r="BA9" s="85"/>
      <c r="BB9" s="85"/>
      <c r="BC9" s="88"/>
    </row>
    <row r="10" spans="1:55" ht="22.8" customHeight="1" x14ac:dyDescent="0.25">
      <c r="A10" s="83"/>
      <c r="E10" s="31" t="s">
        <v>305</v>
      </c>
      <c r="F10" s="715">
        <v>0.1</v>
      </c>
      <c r="G10" s="318">
        <f>Constantes!$D$99</f>
        <v>0</v>
      </c>
      <c r="J10" s="85"/>
      <c r="K10" s="88"/>
      <c r="L10" s="83"/>
      <c r="P10" s="31" t="s">
        <v>305</v>
      </c>
      <c r="Q10" s="418">
        <v>0.1</v>
      </c>
      <c r="R10" s="318">
        <f>Constantes!$D$99</f>
        <v>0</v>
      </c>
      <c r="U10" s="85"/>
      <c r="V10" s="88"/>
      <c r="W10" s="83"/>
      <c r="AA10" s="31" t="s">
        <v>305</v>
      </c>
      <c r="AB10" s="381">
        <v>0.1</v>
      </c>
      <c r="AC10" s="318">
        <f>Constantes!$D$99</f>
        <v>0</v>
      </c>
      <c r="AF10" s="85"/>
      <c r="AG10" s="88"/>
      <c r="AH10" s="83"/>
      <c r="AL10" s="31" t="s">
        <v>305</v>
      </c>
      <c r="AM10" s="398">
        <v>0.1</v>
      </c>
      <c r="AN10" s="318">
        <f>Constantes!$D$99</f>
        <v>0</v>
      </c>
      <c r="AQ10" s="85"/>
      <c r="AR10" s="88"/>
      <c r="AS10" s="83"/>
      <c r="AT10" s="85"/>
      <c r="AU10" s="85"/>
      <c r="AV10" s="85"/>
      <c r="AW10" s="96" t="s">
        <v>305</v>
      </c>
      <c r="AX10" s="180">
        <v>0.1</v>
      </c>
      <c r="AY10" s="318">
        <f>Constantes!$D$99</f>
        <v>0</v>
      </c>
      <c r="AZ10" s="85"/>
      <c r="BA10" s="85"/>
      <c r="BB10" s="85"/>
      <c r="BC10" s="88"/>
    </row>
    <row r="11" spans="1:55" ht="22.8" customHeight="1" x14ac:dyDescent="0.25">
      <c r="A11" s="83"/>
      <c r="B11" s="631" t="s">
        <v>400</v>
      </c>
      <c r="E11" s="31" t="s">
        <v>388</v>
      </c>
      <c r="F11" s="715">
        <v>0.12</v>
      </c>
      <c r="G11" s="168">
        <f>Constantes!$D$101</f>
        <v>0</v>
      </c>
      <c r="H11" s="22"/>
      <c r="I11" s="85"/>
      <c r="J11" s="85"/>
      <c r="K11" s="88"/>
      <c r="L11" s="83"/>
      <c r="M11" s="631" t="s">
        <v>400</v>
      </c>
      <c r="P11" s="31" t="s">
        <v>388</v>
      </c>
      <c r="Q11" s="418">
        <v>0.05</v>
      </c>
      <c r="R11" s="168">
        <f>Constantes!$D$101</f>
        <v>0</v>
      </c>
      <c r="S11" s="22"/>
      <c r="T11" s="85"/>
      <c r="U11" s="85"/>
      <c r="V11" s="88"/>
      <c r="W11" s="83"/>
      <c r="X11" s="631" t="s">
        <v>400</v>
      </c>
      <c r="AA11" s="31" t="s">
        <v>388</v>
      </c>
      <c r="AB11" s="381">
        <v>0.05</v>
      </c>
      <c r="AC11" s="168">
        <f>Constantes!$D$101</f>
        <v>0</v>
      </c>
      <c r="AD11" s="22"/>
      <c r="AE11" s="85"/>
      <c r="AF11" s="85"/>
      <c r="AG11" s="88"/>
      <c r="AH11" s="83"/>
      <c r="AI11" s="631" t="s">
        <v>400</v>
      </c>
      <c r="AL11" s="31" t="s">
        <v>388</v>
      </c>
      <c r="AM11" s="398">
        <v>0.1</v>
      </c>
      <c r="AN11" s="168">
        <f>Constantes!$D$101</f>
        <v>0</v>
      </c>
      <c r="AO11" s="22"/>
      <c r="AP11" s="85"/>
      <c r="AQ11" s="85"/>
      <c r="AR11" s="88"/>
      <c r="AS11" s="83"/>
      <c r="AT11" s="728" t="s">
        <v>400</v>
      </c>
      <c r="AU11" s="85"/>
      <c r="AV11" s="85"/>
      <c r="AW11" s="96" t="s">
        <v>388</v>
      </c>
      <c r="AX11" s="180">
        <v>0.05</v>
      </c>
      <c r="AY11" s="168">
        <f>Constantes!$D$101</f>
        <v>0</v>
      </c>
      <c r="AZ11" s="22"/>
      <c r="BA11" s="85"/>
      <c r="BB11" s="85"/>
      <c r="BC11" s="88"/>
    </row>
    <row r="12" spans="1:55" ht="22.8" customHeight="1" thickBot="1" x14ac:dyDescent="0.3">
      <c r="A12" s="83"/>
      <c r="E12" s="31" t="s">
        <v>197</v>
      </c>
      <c r="F12" s="715">
        <v>0.1</v>
      </c>
      <c r="G12" s="168">
        <f>Constantes!$D$102</f>
        <v>0</v>
      </c>
      <c r="H12" s="633" t="s">
        <v>395</v>
      </c>
      <c r="I12" s="627" t="s">
        <v>397</v>
      </c>
      <c r="J12" s="85"/>
      <c r="K12" s="88"/>
      <c r="L12" s="83"/>
      <c r="P12" s="31" t="s">
        <v>197</v>
      </c>
      <c r="Q12" s="418">
        <v>0.1</v>
      </c>
      <c r="R12" s="168">
        <f>Constantes!$D$102</f>
        <v>0</v>
      </c>
      <c r="S12" s="633" t="s">
        <v>395</v>
      </c>
      <c r="T12" s="713" t="s">
        <v>397</v>
      </c>
      <c r="U12" s="85"/>
      <c r="V12" s="88"/>
      <c r="W12" s="83"/>
      <c r="AA12" s="31" t="s">
        <v>197</v>
      </c>
      <c r="AB12" s="381">
        <v>0.05</v>
      </c>
      <c r="AC12" s="168">
        <f>Constantes!$D$102</f>
        <v>0</v>
      </c>
      <c r="AD12" s="633" t="s">
        <v>395</v>
      </c>
      <c r="AE12" s="713" t="s">
        <v>397</v>
      </c>
      <c r="AF12" s="85"/>
      <c r="AG12" s="88"/>
      <c r="AH12" s="83"/>
      <c r="AL12" s="31" t="s">
        <v>197</v>
      </c>
      <c r="AM12" s="398">
        <v>0.05</v>
      </c>
      <c r="AN12" s="168">
        <f>Constantes!$D$102</f>
        <v>0</v>
      </c>
      <c r="AO12" s="633" t="s">
        <v>395</v>
      </c>
      <c r="AP12" s="713" t="s">
        <v>397</v>
      </c>
      <c r="AQ12" s="85"/>
      <c r="AR12" s="88"/>
      <c r="AS12" s="83"/>
      <c r="AT12" s="85"/>
      <c r="AU12" s="85"/>
      <c r="AV12" s="85"/>
      <c r="AW12" s="96" t="s">
        <v>197</v>
      </c>
      <c r="AX12" s="180">
        <v>0.1</v>
      </c>
      <c r="AY12" s="168">
        <f>Constantes!$D$102</f>
        <v>0</v>
      </c>
      <c r="AZ12" s="633" t="s">
        <v>395</v>
      </c>
      <c r="BA12" s="713" t="s">
        <v>397</v>
      </c>
      <c r="BB12" s="85"/>
      <c r="BC12" s="88"/>
    </row>
    <row r="13" spans="1:55" ht="22.8" customHeight="1" x14ac:dyDescent="0.25">
      <c r="A13" s="83"/>
      <c r="B13" s="631" t="s">
        <v>391</v>
      </c>
      <c r="E13" s="31" t="s">
        <v>390</v>
      </c>
      <c r="F13" s="715">
        <v>0.05</v>
      </c>
      <c r="G13" s="168">
        <f>Constantes!$D$104</f>
        <v>0</v>
      </c>
      <c r="H13" s="22" t="str">
        <f>B20</f>
        <v>Collecte</v>
      </c>
      <c r="I13" s="732">
        <v>1</v>
      </c>
      <c r="J13" s="85"/>
      <c r="K13" s="88"/>
      <c r="L13" s="83"/>
      <c r="M13" s="631" t="s">
        <v>391</v>
      </c>
      <c r="P13" s="31" t="s">
        <v>390</v>
      </c>
      <c r="Q13" s="418">
        <v>0.05</v>
      </c>
      <c r="R13" s="168">
        <f>Constantes!$D$104</f>
        <v>0</v>
      </c>
      <c r="S13" s="22" t="str">
        <f>M20</f>
        <v>Collecte</v>
      </c>
      <c r="T13" s="762">
        <v>1</v>
      </c>
      <c r="U13" s="85"/>
      <c r="V13" s="88"/>
      <c r="W13" s="83"/>
      <c r="X13" s="631" t="s">
        <v>391</v>
      </c>
      <c r="AA13" s="31" t="s">
        <v>390</v>
      </c>
      <c r="AB13" s="381">
        <v>0.1</v>
      </c>
      <c r="AC13" s="168">
        <f>Constantes!$D$104</f>
        <v>0</v>
      </c>
      <c r="AD13" s="22" t="str">
        <f>X20</f>
        <v>Collecte</v>
      </c>
      <c r="AE13" s="765">
        <v>1</v>
      </c>
      <c r="AF13" s="85"/>
      <c r="AG13" s="88"/>
      <c r="AH13" s="83"/>
      <c r="AI13" s="631" t="s">
        <v>391</v>
      </c>
      <c r="AL13" s="31" t="s">
        <v>390</v>
      </c>
      <c r="AM13" s="398">
        <v>0.05</v>
      </c>
      <c r="AN13" s="168">
        <f>Constantes!$D$104</f>
        <v>0</v>
      </c>
      <c r="AO13" s="22" t="str">
        <f>AI20</f>
        <v>Collecte</v>
      </c>
      <c r="AP13" s="768">
        <v>1</v>
      </c>
      <c r="AQ13" s="85"/>
      <c r="AR13" s="88"/>
      <c r="AS13" s="83"/>
      <c r="AT13" s="728" t="s">
        <v>391</v>
      </c>
      <c r="AU13" s="85"/>
      <c r="AV13" s="85"/>
      <c r="AW13" s="96" t="s">
        <v>390</v>
      </c>
      <c r="AX13" s="180">
        <v>0.1</v>
      </c>
      <c r="AY13" s="168">
        <f>Constantes!$D$104</f>
        <v>0</v>
      </c>
      <c r="AZ13" s="22" t="str">
        <f>AT20</f>
        <v>Collecte</v>
      </c>
      <c r="BA13" s="771">
        <v>1</v>
      </c>
      <c r="BB13" s="85"/>
      <c r="BC13" s="88"/>
    </row>
    <row r="14" spans="1:55" ht="22.8" customHeight="1" x14ac:dyDescent="0.25">
      <c r="A14" s="83"/>
      <c r="E14" s="31" t="s">
        <v>393</v>
      </c>
      <c r="F14" s="715">
        <v>0.15</v>
      </c>
      <c r="G14" s="168">
        <f>Constantes!$D$105</f>
        <v>0</v>
      </c>
      <c r="H14" s="22" t="str">
        <f>B22</f>
        <v>Crédit</v>
      </c>
      <c r="I14" s="733">
        <v>2</v>
      </c>
      <c r="J14" s="85"/>
      <c r="K14" s="88"/>
      <c r="L14" s="83"/>
      <c r="P14" s="31" t="s">
        <v>393</v>
      </c>
      <c r="Q14" s="418">
        <v>0.05</v>
      </c>
      <c r="R14" s="168">
        <f>Constantes!$D$105</f>
        <v>0</v>
      </c>
      <c r="S14" s="22" t="str">
        <f>M22</f>
        <v>Crédit</v>
      </c>
      <c r="T14" s="763">
        <v>2</v>
      </c>
      <c r="U14" s="85"/>
      <c r="V14" s="88"/>
      <c r="W14" s="83"/>
      <c r="AA14" s="31" t="s">
        <v>393</v>
      </c>
      <c r="AB14" s="381">
        <v>0.05</v>
      </c>
      <c r="AC14" s="168">
        <f>Constantes!$D$105</f>
        <v>0</v>
      </c>
      <c r="AD14" s="22" t="str">
        <f>X22</f>
        <v>Crédit</v>
      </c>
      <c r="AE14" s="766">
        <v>2</v>
      </c>
      <c r="AF14" s="85"/>
      <c r="AG14" s="88"/>
      <c r="AH14" s="83"/>
      <c r="AL14" s="31" t="s">
        <v>393</v>
      </c>
      <c r="AM14" s="398">
        <v>0.1</v>
      </c>
      <c r="AN14" s="168">
        <f>Constantes!$D$105</f>
        <v>0</v>
      </c>
      <c r="AO14" s="22" t="str">
        <f>AI22</f>
        <v>Crédit</v>
      </c>
      <c r="AP14" s="769">
        <v>2</v>
      </c>
      <c r="AQ14" s="85"/>
      <c r="AR14" s="88"/>
      <c r="AS14" s="83"/>
      <c r="AT14" s="85"/>
      <c r="AU14" s="85"/>
      <c r="AV14" s="85"/>
      <c r="AW14" s="96" t="s">
        <v>393</v>
      </c>
      <c r="AX14" s="180">
        <v>0.05</v>
      </c>
      <c r="AY14" s="168">
        <f>Constantes!$D$105</f>
        <v>0</v>
      </c>
      <c r="AZ14" s="22" t="str">
        <f>AT22</f>
        <v>Crédit</v>
      </c>
      <c r="BA14" s="772">
        <v>2</v>
      </c>
      <c r="BB14" s="85"/>
      <c r="BC14" s="88"/>
    </row>
    <row r="15" spans="1:55" ht="22.8" customHeight="1" x14ac:dyDescent="0.25">
      <c r="A15" s="83"/>
      <c r="E15" s="31" t="s">
        <v>204</v>
      </c>
      <c r="F15" s="715">
        <v>0.05</v>
      </c>
      <c r="G15" s="168">
        <f>Constantes!$D$106</f>
        <v>0</v>
      </c>
      <c r="H15" s="22" t="str">
        <f>B25</f>
        <v>Assurance</v>
      </c>
      <c r="I15" s="733">
        <v>3</v>
      </c>
      <c r="J15" s="85"/>
      <c r="K15" s="88"/>
      <c r="L15" s="83"/>
      <c r="P15" s="31" t="s">
        <v>204</v>
      </c>
      <c r="Q15" s="418">
        <v>0.05</v>
      </c>
      <c r="R15" s="168">
        <f>Constantes!$D$106</f>
        <v>0</v>
      </c>
      <c r="S15" s="22" t="str">
        <f>M25</f>
        <v>Assurance</v>
      </c>
      <c r="T15" s="763">
        <v>3</v>
      </c>
      <c r="U15" s="85"/>
      <c r="V15" s="88"/>
      <c r="W15" s="83"/>
      <c r="AA15" s="31" t="s">
        <v>204</v>
      </c>
      <c r="AB15" s="381">
        <v>0.1</v>
      </c>
      <c r="AC15" s="168">
        <f>Constantes!$D$106</f>
        <v>0</v>
      </c>
      <c r="AD15" s="22" t="str">
        <f>X25</f>
        <v>Assurance</v>
      </c>
      <c r="AE15" s="766">
        <v>3</v>
      </c>
      <c r="AF15" s="85"/>
      <c r="AG15" s="88"/>
      <c r="AH15" s="83"/>
      <c r="AL15" s="31" t="s">
        <v>204</v>
      </c>
      <c r="AM15" s="398">
        <v>0.05</v>
      </c>
      <c r="AN15" s="168">
        <f>Constantes!$D$106</f>
        <v>0</v>
      </c>
      <c r="AO15" s="22" t="str">
        <f>AI25</f>
        <v>Assurance</v>
      </c>
      <c r="AP15" s="769">
        <v>3</v>
      </c>
      <c r="AQ15" s="85"/>
      <c r="AR15" s="88"/>
      <c r="AS15" s="83"/>
      <c r="AT15" s="85"/>
      <c r="AU15" s="85"/>
      <c r="AV15" s="85"/>
      <c r="AW15" s="96" t="s">
        <v>204</v>
      </c>
      <c r="AX15" s="180">
        <v>0.05</v>
      </c>
      <c r="AY15" s="168">
        <f>Constantes!$D$106</f>
        <v>0</v>
      </c>
      <c r="AZ15" s="22" t="str">
        <f>AT25</f>
        <v>Assurance</v>
      </c>
      <c r="BA15" s="772">
        <v>3</v>
      </c>
      <c r="BB15" s="85"/>
      <c r="BC15" s="88"/>
    </row>
    <row r="16" spans="1:55" ht="22.8" customHeight="1" thickBot="1" x14ac:dyDescent="0.3">
      <c r="A16" s="83"/>
      <c r="E16" s="31" t="s">
        <v>392</v>
      </c>
      <c r="F16" s="716">
        <v>0.1</v>
      </c>
      <c r="G16" s="168">
        <f>Constantes!$D$107</f>
        <v>0</v>
      </c>
      <c r="H16" s="22" t="str">
        <f>B27</f>
        <v>Services</v>
      </c>
      <c r="I16" s="734">
        <v>4</v>
      </c>
      <c r="J16" s="85"/>
      <c r="K16" s="88"/>
      <c r="L16" s="83"/>
      <c r="P16" s="31" t="s">
        <v>392</v>
      </c>
      <c r="Q16" s="417">
        <v>0.15</v>
      </c>
      <c r="R16" s="168">
        <f>Constantes!$D$107</f>
        <v>0</v>
      </c>
      <c r="S16" s="22" t="str">
        <f>M27</f>
        <v>Services</v>
      </c>
      <c r="T16" s="764">
        <v>4</v>
      </c>
      <c r="U16" s="85"/>
      <c r="V16" s="88"/>
      <c r="W16" s="83"/>
      <c r="AA16" s="31" t="s">
        <v>392</v>
      </c>
      <c r="AB16" s="380">
        <v>0.05</v>
      </c>
      <c r="AC16" s="168">
        <f>Constantes!$D$107</f>
        <v>0</v>
      </c>
      <c r="AD16" s="22" t="str">
        <f>X27</f>
        <v>Services</v>
      </c>
      <c r="AE16" s="767">
        <v>4</v>
      </c>
      <c r="AF16" s="85"/>
      <c r="AG16" s="88"/>
      <c r="AH16" s="83"/>
      <c r="AL16" s="31" t="s">
        <v>392</v>
      </c>
      <c r="AM16" s="397">
        <v>0.05</v>
      </c>
      <c r="AN16" s="168">
        <f>Constantes!$D$107</f>
        <v>0</v>
      </c>
      <c r="AO16" s="22" t="str">
        <f>AI27</f>
        <v>Services</v>
      </c>
      <c r="AP16" s="770">
        <v>4</v>
      </c>
      <c r="AQ16" s="85"/>
      <c r="AR16" s="88"/>
      <c r="AS16" s="83"/>
      <c r="AT16" s="85"/>
      <c r="AU16" s="85"/>
      <c r="AV16" s="85"/>
      <c r="AW16" s="96" t="s">
        <v>392</v>
      </c>
      <c r="AX16" s="179">
        <v>0.05</v>
      </c>
      <c r="AY16" s="168">
        <f>Constantes!$D$107</f>
        <v>0</v>
      </c>
      <c r="AZ16" s="22" t="str">
        <f>AT27</f>
        <v>Services</v>
      </c>
      <c r="BA16" s="773">
        <v>4</v>
      </c>
      <c r="BB16" s="85"/>
      <c r="BC16" s="88"/>
    </row>
    <row r="17" spans="1:55" ht="22.8" customHeight="1" x14ac:dyDescent="0.25">
      <c r="A17" s="83"/>
      <c r="F17" s="168">
        <f>SUM(F7:F16)</f>
        <v>1.0000000000000002</v>
      </c>
      <c r="G17" s="85"/>
      <c r="H17" s="85"/>
      <c r="I17" s="85"/>
      <c r="J17" s="85"/>
      <c r="K17" s="88"/>
      <c r="L17" s="83"/>
      <c r="Q17" s="168">
        <f>SUM(Q7:Q16)</f>
        <v>1</v>
      </c>
      <c r="R17" s="85"/>
      <c r="S17" s="85"/>
      <c r="T17" s="85"/>
      <c r="U17" s="85"/>
      <c r="V17" s="88"/>
      <c r="W17" s="83"/>
      <c r="AB17" s="168">
        <f>SUM(AB7:AB16)</f>
        <v>1</v>
      </c>
      <c r="AC17" s="85"/>
      <c r="AD17" s="85"/>
      <c r="AE17" s="85"/>
      <c r="AF17" s="85"/>
      <c r="AG17" s="88"/>
      <c r="AH17" s="83"/>
      <c r="AM17" s="168">
        <f>SUM(AM7:AM16)</f>
        <v>1</v>
      </c>
      <c r="AN17" s="85"/>
      <c r="AO17" s="85"/>
      <c r="AP17" s="85"/>
      <c r="AQ17" s="85"/>
      <c r="AR17" s="88"/>
      <c r="AS17" s="83"/>
      <c r="AT17" s="85"/>
      <c r="AU17" s="85"/>
      <c r="AV17" s="85"/>
      <c r="AW17" s="85"/>
      <c r="AX17" s="168">
        <f>SUM(AX7:AX16)</f>
        <v>1</v>
      </c>
      <c r="AY17" s="85"/>
      <c r="AZ17" s="85"/>
      <c r="BA17" s="85"/>
      <c r="BB17" s="85"/>
      <c r="BC17" s="88"/>
    </row>
    <row r="18" spans="1:55" ht="22.8" customHeight="1" x14ac:dyDescent="0.25">
      <c r="A18" s="83"/>
      <c r="B18" s="84" t="s">
        <v>214</v>
      </c>
      <c r="C18" s="22"/>
      <c r="E18" s="22"/>
      <c r="F18" s="85"/>
      <c r="G18" s="85"/>
      <c r="I18" s="85"/>
      <c r="J18" s="85"/>
      <c r="K18" s="88"/>
      <c r="L18" s="83"/>
      <c r="M18" s="84" t="s">
        <v>214</v>
      </c>
      <c r="N18" s="22"/>
      <c r="P18" s="22"/>
      <c r="Q18" s="85"/>
      <c r="R18" s="85"/>
      <c r="T18" s="85"/>
      <c r="U18" s="85"/>
      <c r="V18" s="88"/>
      <c r="W18" s="83"/>
      <c r="X18" s="84" t="s">
        <v>214</v>
      </c>
      <c r="Y18" s="22"/>
      <c r="AA18" s="22"/>
      <c r="AB18" s="85"/>
      <c r="AC18" s="85"/>
      <c r="AE18" s="85"/>
      <c r="AF18" s="85"/>
      <c r="AG18" s="88"/>
      <c r="AH18" s="83"/>
      <c r="AI18" s="84" t="s">
        <v>214</v>
      </c>
      <c r="AJ18" s="22"/>
      <c r="AL18" s="22"/>
      <c r="AM18" s="85"/>
      <c r="AN18" s="85"/>
      <c r="AP18" s="85"/>
      <c r="AQ18" s="85"/>
      <c r="AR18" s="88"/>
      <c r="AS18" s="83"/>
      <c r="AT18" s="84" t="s">
        <v>214</v>
      </c>
      <c r="AU18" s="22"/>
      <c r="AV18" s="85"/>
      <c r="AW18" s="22"/>
      <c r="AX18" s="85"/>
      <c r="AY18" s="85"/>
      <c r="AZ18" s="85"/>
      <c r="BA18" s="85"/>
      <c r="BB18" s="85"/>
      <c r="BC18" s="88"/>
    </row>
    <row r="19" spans="1:55" ht="16.2" customHeight="1" thickBot="1" x14ac:dyDescent="0.3">
      <c r="A19" s="83"/>
      <c r="B19" s="84"/>
      <c r="C19" s="22"/>
      <c r="D19" s="22" t="s">
        <v>389</v>
      </c>
      <c r="F19" s="314"/>
      <c r="G19" s="314"/>
      <c r="H19" s="314"/>
      <c r="I19" s="615"/>
      <c r="L19" s="83"/>
      <c r="M19" s="84"/>
      <c r="N19" s="22"/>
      <c r="O19" s="22" t="s">
        <v>389</v>
      </c>
      <c r="Q19" s="314"/>
      <c r="R19" s="314"/>
      <c r="S19" s="314"/>
      <c r="T19" s="710"/>
      <c r="W19" s="83"/>
      <c r="X19" s="84"/>
      <c r="Y19" s="22"/>
      <c r="Z19" s="22" t="s">
        <v>389</v>
      </c>
      <c r="AB19" s="314"/>
      <c r="AC19" s="314"/>
      <c r="AD19" s="314"/>
      <c r="AE19" s="710"/>
      <c r="AH19" s="83"/>
      <c r="AI19" s="84"/>
      <c r="AJ19" s="22"/>
      <c r="AK19" s="22" t="s">
        <v>389</v>
      </c>
      <c r="AM19" s="314"/>
      <c r="AN19" s="314"/>
      <c r="AO19" s="314"/>
      <c r="AP19" s="710"/>
      <c r="AS19" s="83"/>
      <c r="AT19" s="84"/>
      <c r="AU19" s="22"/>
      <c r="AV19" s="22" t="s">
        <v>389</v>
      </c>
      <c r="AW19" s="85"/>
      <c r="AX19" s="314"/>
      <c r="AY19" s="314"/>
      <c r="AZ19" s="314"/>
      <c r="BA19" s="713"/>
      <c r="BB19" s="85"/>
      <c r="BC19" s="88"/>
    </row>
    <row r="20" spans="1:55" ht="21" customHeight="1" x14ac:dyDescent="0.25">
      <c r="A20" s="83"/>
      <c r="B20" s="12" t="str">
        <f>Constantes!$A10</f>
        <v>Collecte</v>
      </c>
      <c r="C20" s="54" t="str">
        <f>Constantes!$B10</f>
        <v>Court terme</v>
      </c>
      <c r="D20" s="721"/>
      <c r="E20" s="85"/>
      <c r="F20" s="632"/>
      <c r="G20" s="85"/>
      <c r="L20" s="83"/>
      <c r="M20" s="12" t="str">
        <f>Constantes!$A10</f>
        <v>Collecte</v>
      </c>
      <c r="N20" s="54" t="str">
        <f>Constantes!$B10</f>
        <v>Court terme</v>
      </c>
      <c r="O20" s="419"/>
      <c r="P20" s="85">
        <f>D20*O20</f>
        <v>0</v>
      </c>
      <c r="Q20" s="632"/>
      <c r="R20" s="85"/>
      <c r="W20" s="83"/>
      <c r="X20" s="12" t="str">
        <f>Constantes!$A10</f>
        <v>Collecte</v>
      </c>
      <c r="Y20" s="54" t="str">
        <f>Constantes!$B10</f>
        <v>Court terme</v>
      </c>
      <c r="Z20" s="382"/>
      <c r="AA20" s="85">
        <f>O20*Z20</f>
        <v>0</v>
      </c>
      <c r="AB20" s="632"/>
      <c r="AC20" s="85"/>
      <c r="AH20" s="83"/>
      <c r="AI20" s="12" t="str">
        <f>Constantes!$A10</f>
        <v>Collecte</v>
      </c>
      <c r="AJ20" s="54" t="str">
        <f>Constantes!$B10</f>
        <v>Court terme</v>
      </c>
      <c r="AK20" s="399"/>
      <c r="AL20" s="85">
        <f>Z20*AK20</f>
        <v>0</v>
      </c>
      <c r="AM20" s="632"/>
      <c r="AN20" s="85"/>
      <c r="AS20" s="83"/>
      <c r="AT20" s="12" t="str">
        <f>Constantes!$A10</f>
        <v>Collecte</v>
      </c>
      <c r="AU20" s="54" t="str">
        <f>Constantes!$B10</f>
        <v>Court terme</v>
      </c>
      <c r="AV20" s="319"/>
      <c r="AW20" s="85">
        <f>AK20*AV20</f>
        <v>0</v>
      </c>
      <c r="AX20" s="729"/>
      <c r="AY20" s="85"/>
      <c r="AZ20" s="85"/>
      <c r="BA20" s="85"/>
      <c r="BB20" s="85"/>
      <c r="BC20" s="88"/>
    </row>
    <row r="21" spans="1:55" ht="21" customHeight="1" thickBot="1" x14ac:dyDescent="0.3">
      <c r="A21" s="83"/>
      <c r="B21" s="15"/>
      <c r="C21" s="56" t="str">
        <f>Constantes!$B11</f>
        <v>Moyen et long terme</v>
      </c>
      <c r="D21" s="722"/>
      <c r="E21" s="85"/>
      <c r="G21" s="84" t="s">
        <v>219</v>
      </c>
      <c r="H21" s="85"/>
      <c r="I21" s="85"/>
      <c r="J21" s="85"/>
      <c r="K21" s="85"/>
      <c r="L21" s="83"/>
      <c r="M21" s="15"/>
      <c r="N21" s="56" t="str">
        <f>Constantes!$B11</f>
        <v>Moyen et long terme</v>
      </c>
      <c r="O21" s="420">
        <v>1</v>
      </c>
      <c r="P21" s="85">
        <f t="shared" ref="P21:P29" si="0">D21*O21</f>
        <v>0</v>
      </c>
      <c r="R21" s="84" t="s">
        <v>219</v>
      </c>
      <c r="S21" s="85"/>
      <c r="T21" s="85"/>
      <c r="U21" s="85"/>
      <c r="V21" s="85"/>
      <c r="W21" s="83"/>
      <c r="X21" s="15"/>
      <c r="Y21" s="56" t="str">
        <f>Constantes!$B11</f>
        <v>Moyen et long terme</v>
      </c>
      <c r="Z21" s="383"/>
      <c r="AA21" s="85">
        <f t="shared" ref="AA21:AA29" si="1">O21*Z21</f>
        <v>0</v>
      </c>
      <c r="AC21" s="84" t="s">
        <v>219</v>
      </c>
      <c r="AD21" s="85"/>
      <c r="AE21" s="85"/>
      <c r="AF21" s="85"/>
      <c r="AG21" s="85"/>
      <c r="AH21" s="83"/>
      <c r="AI21" s="15"/>
      <c r="AJ21" s="56" t="str">
        <f>Constantes!$B11</f>
        <v>Moyen et long terme</v>
      </c>
      <c r="AK21" s="400"/>
      <c r="AL21" s="85">
        <f t="shared" ref="AL21:AL29" si="2">Z21*AK21</f>
        <v>0</v>
      </c>
      <c r="AN21" s="84" t="s">
        <v>219</v>
      </c>
      <c r="AO21" s="85"/>
      <c r="AP21" s="85"/>
      <c r="AQ21" s="85"/>
      <c r="AR21" s="85"/>
      <c r="AS21" s="83"/>
      <c r="AT21" s="15"/>
      <c r="AU21" s="56" t="str">
        <f>Constantes!$B11</f>
        <v>Moyen et long terme</v>
      </c>
      <c r="AV21" s="320"/>
      <c r="AW21" s="85">
        <f t="shared" ref="AW21:AW29" si="3">AK21*AV21</f>
        <v>0</v>
      </c>
      <c r="AX21" s="85"/>
      <c r="AY21" s="84" t="s">
        <v>219</v>
      </c>
      <c r="AZ21" s="85"/>
      <c r="BA21" s="85"/>
      <c r="BB21" s="85"/>
      <c r="BC21" s="88"/>
    </row>
    <row r="22" spans="1:55" ht="21" customHeight="1" thickBot="1" x14ac:dyDescent="0.3">
      <c r="A22" s="83"/>
      <c r="B22" s="12" t="str">
        <f>Constantes!$A12</f>
        <v>Crédit</v>
      </c>
      <c r="C22" s="54" t="str">
        <f>Constantes!$B12</f>
        <v>Immobilier</v>
      </c>
      <c r="D22" s="721"/>
      <c r="E22" s="85"/>
      <c r="G22" s="85"/>
      <c r="H22" s="85"/>
      <c r="I22" s="357" t="s">
        <v>298</v>
      </c>
      <c r="J22" s="22"/>
      <c r="K22" s="22"/>
      <c r="L22" s="83"/>
      <c r="M22" s="12" t="str">
        <f>Constantes!$A12</f>
        <v>Crédit</v>
      </c>
      <c r="N22" s="54" t="str">
        <f>Constantes!$B12</f>
        <v>Immobilier</v>
      </c>
      <c r="O22" s="419"/>
      <c r="P22" s="85">
        <f t="shared" si="0"/>
        <v>0</v>
      </c>
      <c r="R22" s="85"/>
      <c r="S22" s="85"/>
      <c r="T22" s="712" t="s">
        <v>298</v>
      </c>
      <c r="U22" s="22"/>
      <c r="V22" s="22"/>
      <c r="W22" s="83"/>
      <c r="X22" s="12" t="str">
        <f>Constantes!$A12</f>
        <v>Crédit</v>
      </c>
      <c r="Y22" s="54" t="str">
        <f>Constantes!$B12</f>
        <v>Immobilier</v>
      </c>
      <c r="Z22" s="382"/>
      <c r="AA22" s="85">
        <f t="shared" si="1"/>
        <v>0</v>
      </c>
      <c r="AC22" s="85"/>
      <c r="AD22" s="85"/>
      <c r="AE22" s="712" t="s">
        <v>298</v>
      </c>
      <c r="AF22" s="22"/>
      <c r="AG22" s="22"/>
      <c r="AH22" s="83"/>
      <c r="AI22" s="12" t="str">
        <f>Constantes!$A12</f>
        <v>Crédit</v>
      </c>
      <c r="AJ22" s="54" t="str">
        <f>Constantes!$B12</f>
        <v>Immobilier</v>
      </c>
      <c r="AK22" s="399"/>
      <c r="AL22" s="85">
        <f t="shared" si="2"/>
        <v>0</v>
      </c>
      <c r="AN22" s="85"/>
      <c r="AO22" s="85"/>
      <c r="AP22" s="712" t="s">
        <v>298</v>
      </c>
      <c r="AQ22" s="22"/>
      <c r="AR22" s="22"/>
      <c r="AS22" s="83"/>
      <c r="AT22" s="12" t="str">
        <f>Constantes!$A12</f>
        <v>Crédit</v>
      </c>
      <c r="AU22" s="54" t="str">
        <f>Constantes!$B12</f>
        <v>Immobilier</v>
      </c>
      <c r="AV22" s="319">
        <v>1</v>
      </c>
      <c r="AW22" s="85">
        <f t="shared" si="3"/>
        <v>0</v>
      </c>
      <c r="AX22" s="85"/>
      <c r="AY22" s="85"/>
      <c r="AZ22" s="85"/>
      <c r="BA22" s="712" t="s">
        <v>298</v>
      </c>
      <c r="BB22" s="22"/>
      <c r="BC22" s="730"/>
    </row>
    <row r="23" spans="1:55" ht="21" customHeight="1" x14ac:dyDescent="0.25">
      <c r="A23" s="83"/>
      <c r="B23" s="17"/>
      <c r="C23" s="57" t="str">
        <f>Constantes!$B13</f>
        <v>Consommation</v>
      </c>
      <c r="D23" s="723"/>
      <c r="E23" s="85"/>
      <c r="G23" s="22" t="s">
        <v>394</v>
      </c>
      <c r="H23" s="85"/>
      <c r="I23" s="735"/>
      <c r="J23" s="22" t="s">
        <v>299</v>
      </c>
      <c r="K23" s="22"/>
      <c r="L23" s="83"/>
      <c r="M23" s="17"/>
      <c r="N23" s="57" t="str">
        <f>Constantes!$B13</f>
        <v>Consommation</v>
      </c>
      <c r="O23" s="421">
        <v>1</v>
      </c>
      <c r="P23" s="85">
        <f t="shared" si="0"/>
        <v>0</v>
      </c>
      <c r="R23" s="22" t="s">
        <v>394</v>
      </c>
      <c r="S23" s="85"/>
      <c r="T23" s="413"/>
      <c r="U23" s="22" t="s">
        <v>299</v>
      </c>
      <c r="V23" s="22"/>
      <c r="W23" s="83"/>
      <c r="X23" s="17"/>
      <c r="Y23" s="57" t="str">
        <f>Constantes!$B13</f>
        <v>Consommation</v>
      </c>
      <c r="Z23" s="384"/>
      <c r="AA23" s="85">
        <f t="shared" si="1"/>
        <v>0</v>
      </c>
      <c r="AC23" s="22" t="s">
        <v>394</v>
      </c>
      <c r="AD23" s="85"/>
      <c r="AE23" s="376"/>
      <c r="AF23" s="22" t="s">
        <v>299</v>
      </c>
      <c r="AG23" s="22"/>
      <c r="AH23" s="83"/>
      <c r="AI23" s="17"/>
      <c r="AJ23" s="57" t="str">
        <f>Constantes!$B13</f>
        <v>Consommation</v>
      </c>
      <c r="AK23" s="401">
        <v>1</v>
      </c>
      <c r="AL23" s="85">
        <f t="shared" si="2"/>
        <v>0</v>
      </c>
      <c r="AN23" s="22" t="s">
        <v>394</v>
      </c>
      <c r="AO23" s="85"/>
      <c r="AP23" s="393"/>
      <c r="AQ23" s="22" t="s">
        <v>299</v>
      </c>
      <c r="AR23" s="22"/>
      <c r="AS23" s="83"/>
      <c r="AT23" s="17"/>
      <c r="AU23" s="57" t="str">
        <f>Constantes!$B13</f>
        <v>Consommation</v>
      </c>
      <c r="AV23" s="321"/>
      <c r="AW23" s="85">
        <f t="shared" si="3"/>
        <v>0</v>
      </c>
      <c r="AX23" s="85"/>
      <c r="AY23" s="22" t="s">
        <v>394</v>
      </c>
      <c r="AZ23" s="85"/>
      <c r="BA23" s="358">
        <v>2000</v>
      </c>
      <c r="BB23" s="22" t="s">
        <v>299</v>
      </c>
      <c r="BC23" s="730"/>
    </row>
    <row r="24" spans="1:55" ht="21" customHeight="1" thickBot="1" x14ac:dyDescent="0.3">
      <c r="A24" s="83"/>
      <c r="B24" s="15"/>
      <c r="C24" s="56" t="str">
        <f>Constantes!$B14</f>
        <v>Renouvelable</v>
      </c>
      <c r="D24" s="722"/>
      <c r="E24" s="85"/>
      <c r="G24" s="22" t="s">
        <v>51</v>
      </c>
      <c r="H24" s="85"/>
      <c r="I24" s="736"/>
      <c r="J24" s="22" t="s">
        <v>299</v>
      </c>
      <c r="K24" s="22"/>
      <c r="L24" s="83"/>
      <c r="M24" s="15"/>
      <c r="N24" s="56" t="str">
        <f>Constantes!$B14</f>
        <v>Renouvelable</v>
      </c>
      <c r="O24" s="420"/>
      <c r="P24" s="85">
        <f t="shared" si="0"/>
        <v>0</v>
      </c>
      <c r="R24" s="22" t="s">
        <v>51</v>
      </c>
      <c r="S24" s="85"/>
      <c r="T24" s="414">
        <v>2000</v>
      </c>
      <c r="U24" s="22" t="s">
        <v>299</v>
      </c>
      <c r="V24" s="22"/>
      <c r="W24" s="83"/>
      <c r="X24" s="15"/>
      <c r="Y24" s="56" t="str">
        <f>Constantes!$B14</f>
        <v>Renouvelable</v>
      </c>
      <c r="Z24" s="383"/>
      <c r="AA24" s="85">
        <f t="shared" si="1"/>
        <v>0</v>
      </c>
      <c r="AC24" s="22" t="s">
        <v>51</v>
      </c>
      <c r="AD24" s="85"/>
      <c r="AE24" s="377"/>
      <c r="AF24" s="22" t="s">
        <v>299</v>
      </c>
      <c r="AG24" s="22"/>
      <c r="AH24" s="83"/>
      <c r="AI24" s="15"/>
      <c r="AJ24" s="56" t="str">
        <f>Constantes!$B14</f>
        <v>Renouvelable</v>
      </c>
      <c r="AK24" s="400"/>
      <c r="AL24" s="85">
        <f t="shared" si="2"/>
        <v>0</v>
      </c>
      <c r="AN24" s="22" t="s">
        <v>51</v>
      </c>
      <c r="AO24" s="85"/>
      <c r="AP24" s="394"/>
      <c r="AQ24" s="22" t="s">
        <v>299</v>
      </c>
      <c r="AR24" s="22"/>
      <c r="AS24" s="83"/>
      <c r="AT24" s="15"/>
      <c r="AU24" s="56" t="str">
        <f>Constantes!$B14</f>
        <v>Renouvelable</v>
      </c>
      <c r="AV24" s="320"/>
      <c r="AW24" s="85">
        <f t="shared" si="3"/>
        <v>0</v>
      </c>
      <c r="AX24" s="85"/>
      <c r="AY24" s="22" t="s">
        <v>51</v>
      </c>
      <c r="AZ24" s="85"/>
      <c r="BA24" s="359"/>
      <c r="BB24" s="22" t="s">
        <v>299</v>
      </c>
      <c r="BC24" s="730"/>
    </row>
    <row r="25" spans="1:55" ht="21" customHeight="1" x14ac:dyDescent="0.25">
      <c r="A25" s="83"/>
      <c r="B25" s="12" t="str">
        <f>Constantes!$A15</f>
        <v>Assurance</v>
      </c>
      <c r="C25" s="54" t="str">
        <f>Constantes!$B15</f>
        <v>IARD</v>
      </c>
      <c r="D25" s="721"/>
      <c r="E25" s="85"/>
      <c r="G25" s="22" t="s">
        <v>75</v>
      </c>
      <c r="H25" s="85"/>
      <c r="I25" s="736"/>
      <c r="J25" s="22" t="s">
        <v>299</v>
      </c>
      <c r="K25" s="22"/>
      <c r="L25" s="83"/>
      <c r="M25" s="12" t="str">
        <f>Constantes!$A15</f>
        <v>Assurance</v>
      </c>
      <c r="N25" s="54" t="str">
        <f>Constantes!$B15</f>
        <v>IARD</v>
      </c>
      <c r="O25" s="419"/>
      <c r="P25" s="85">
        <f t="shared" si="0"/>
        <v>0</v>
      </c>
      <c r="R25" s="22" t="s">
        <v>75</v>
      </c>
      <c r="S25" s="85"/>
      <c r="T25" s="414"/>
      <c r="U25" s="22" t="s">
        <v>299</v>
      </c>
      <c r="V25" s="22"/>
      <c r="W25" s="83"/>
      <c r="X25" s="12" t="str">
        <f>Constantes!$A15</f>
        <v>Assurance</v>
      </c>
      <c r="Y25" s="54" t="str">
        <f>Constantes!$B15</f>
        <v>IARD</v>
      </c>
      <c r="Z25" s="382"/>
      <c r="AA25" s="85">
        <f t="shared" si="1"/>
        <v>0</v>
      </c>
      <c r="AC25" s="22" t="s">
        <v>75</v>
      </c>
      <c r="AD25" s="85"/>
      <c r="AE25" s="377">
        <v>1500</v>
      </c>
      <c r="AF25" s="22" t="s">
        <v>299</v>
      </c>
      <c r="AG25" s="22"/>
      <c r="AH25" s="83"/>
      <c r="AI25" s="12" t="str">
        <f>Constantes!$A15</f>
        <v>Assurance</v>
      </c>
      <c r="AJ25" s="54" t="str">
        <f>Constantes!$B15</f>
        <v>IARD</v>
      </c>
      <c r="AK25" s="399"/>
      <c r="AL25" s="85">
        <f t="shared" si="2"/>
        <v>0</v>
      </c>
      <c r="AN25" s="22" t="s">
        <v>75</v>
      </c>
      <c r="AO25" s="85"/>
      <c r="AP25" s="394"/>
      <c r="AQ25" s="22" t="s">
        <v>299</v>
      </c>
      <c r="AR25" s="22"/>
      <c r="AS25" s="83"/>
      <c r="AT25" s="12" t="str">
        <f>Constantes!$A15</f>
        <v>Assurance</v>
      </c>
      <c r="AU25" s="54" t="str">
        <f>Constantes!$B15</f>
        <v>IARD</v>
      </c>
      <c r="AV25" s="319">
        <v>2</v>
      </c>
      <c r="AW25" s="85">
        <f t="shared" si="3"/>
        <v>0</v>
      </c>
      <c r="AX25" s="85"/>
      <c r="AY25" s="22" t="s">
        <v>75</v>
      </c>
      <c r="AZ25" s="85"/>
      <c r="BA25" s="359"/>
      <c r="BB25" s="22" t="s">
        <v>299</v>
      </c>
      <c r="BC25" s="730"/>
    </row>
    <row r="26" spans="1:55" ht="21" customHeight="1" thickBot="1" x14ac:dyDescent="0.3">
      <c r="A26" s="83"/>
      <c r="B26" s="15"/>
      <c r="C26" s="56" t="str">
        <f>Constantes!$B16</f>
        <v>Prévoyance</v>
      </c>
      <c r="D26" s="722"/>
      <c r="E26" s="85"/>
      <c r="G26" s="22" t="s">
        <v>14</v>
      </c>
      <c r="H26" s="85"/>
      <c r="I26" s="737"/>
      <c r="J26" s="22" t="s">
        <v>299</v>
      </c>
      <c r="K26" s="22"/>
      <c r="L26" s="83"/>
      <c r="M26" s="15"/>
      <c r="N26" s="56" t="str">
        <f>Constantes!$B16</f>
        <v>Prévoyance</v>
      </c>
      <c r="O26" s="420"/>
      <c r="P26" s="85">
        <f t="shared" si="0"/>
        <v>0</v>
      </c>
      <c r="R26" s="22" t="s">
        <v>14</v>
      </c>
      <c r="S26" s="85"/>
      <c r="T26" s="415"/>
      <c r="U26" s="22" t="s">
        <v>299</v>
      </c>
      <c r="V26" s="22"/>
      <c r="W26" s="83"/>
      <c r="X26" s="15"/>
      <c r="Y26" s="56" t="str">
        <f>Constantes!$B16</f>
        <v>Prévoyance</v>
      </c>
      <c r="Z26" s="383"/>
      <c r="AA26" s="85">
        <f t="shared" si="1"/>
        <v>0</v>
      </c>
      <c r="AC26" s="22" t="s">
        <v>14</v>
      </c>
      <c r="AD26" s="85"/>
      <c r="AE26" s="378"/>
      <c r="AF26" s="22" t="s">
        <v>299</v>
      </c>
      <c r="AG26" s="22"/>
      <c r="AH26" s="83"/>
      <c r="AI26" s="15"/>
      <c r="AJ26" s="56" t="str">
        <f>Constantes!$B16</f>
        <v>Prévoyance</v>
      </c>
      <c r="AK26" s="400">
        <v>1</v>
      </c>
      <c r="AL26" s="85">
        <f t="shared" si="2"/>
        <v>0</v>
      </c>
      <c r="AN26" s="22" t="s">
        <v>14</v>
      </c>
      <c r="AO26" s="85"/>
      <c r="AP26" s="395">
        <v>2500</v>
      </c>
      <c r="AQ26" s="22" t="s">
        <v>299</v>
      </c>
      <c r="AR26" s="22"/>
      <c r="AS26" s="83"/>
      <c r="AT26" s="15"/>
      <c r="AU26" s="56" t="str">
        <f>Constantes!$B16</f>
        <v>Prévoyance</v>
      </c>
      <c r="AV26" s="320"/>
      <c r="AW26" s="85">
        <f t="shared" si="3"/>
        <v>0</v>
      </c>
      <c r="AX26" s="85"/>
      <c r="AY26" s="22" t="s">
        <v>14</v>
      </c>
      <c r="AZ26" s="85"/>
      <c r="BA26" s="360"/>
      <c r="BB26" s="22" t="s">
        <v>299</v>
      </c>
      <c r="BC26" s="730"/>
    </row>
    <row r="27" spans="1:55" ht="21" customHeight="1" x14ac:dyDescent="0.25">
      <c r="A27" s="83"/>
      <c r="B27" s="12" t="str">
        <f>Constantes!$A17</f>
        <v>Services</v>
      </c>
      <c r="C27" s="54" t="str">
        <f>Constantes!$B17</f>
        <v>Moyens de paiement</v>
      </c>
      <c r="D27" s="721"/>
      <c r="E27" s="85"/>
      <c r="F27" s="314"/>
      <c r="G27" s="85"/>
      <c r="L27" s="83"/>
      <c r="M27" s="12" t="str">
        <f>Constantes!$A17</f>
        <v>Services</v>
      </c>
      <c r="N27" s="54" t="str">
        <f>Constantes!$B17</f>
        <v>Moyens de paiement</v>
      </c>
      <c r="O27" s="419">
        <v>2</v>
      </c>
      <c r="P27" s="85">
        <f t="shared" si="0"/>
        <v>0</v>
      </c>
      <c r="Q27" s="314"/>
      <c r="R27" s="85"/>
      <c r="W27" s="83"/>
      <c r="X27" s="12" t="str">
        <f>Constantes!$A17</f>
        <v>Services</v>
      </c>
      <c r="Y27" s="54" t="str">
        <f>Constantes!$B17</f>
        <v>Moyens de paiement</v>
      </c>
      <c r="Z27" s="382">
        <v>1</v>
      </c>
      <c r="AA27" s="85">
        <f t="shared" si="1"/>
        <v>2</v>
      </c>
      <c r="AB27" s="314"/>
      <c r="AC27" s="85"/>
      <c r="AH27" s="83"/>
      <c r="AI27" s="12" t="str">
        <f>Constantes!$A17</f>
        <v>Services</v>
      </c>
      <c r="AJ27" s="54" t="str">
        <f>Constantes!$B17</f>
        <v>Moyens de paiement</v>
      </c>
      <c r="AK27" s="399"/>
      <c r="AL27" s="85">
        <f t="shared" si="2"/>
        <v>0</v>
      </c>
      <c r="AM27" s="314"/>
      <c r="AN27" s="85"/>
      <c r="AS27" s="83"/>
      <c r="AT27" s="12" t="str">
        <f>Constantes!$A17</f>
        <v>Services</v>
      </c>
      <c r="AU27" s="54" t="str">
        <f>Constantes!$B17</f>
        <v>Moyens de paiement</v>
      </c>
      <c r="AV27" s="319"/>
      <c r="AW27" s="85">
        <f t="shared" si="3"/>
        <v>0</v>
      </c>
      <c r="AX27" s="314"/>
      <c r="AY27" s="85"/>
      <c r="AZ27" s="85"/>
      <c r="BA27" s="85"/>
      <c r="BB27" s="85"/>
      <c r="BC27" s="88"/>
    </row>
    <row r="28" spans="1:55" ht="21" customHeight="1" x14ac:dyDescent="0.25">
      <c r="A28" s="83"/>
      <c r="B28" s="17"/>
      <c r="C28" s="57" t="str">
        <f>Constantes!$B18</f>
        <v>Ouverture compte</v>
      </c>
      <c r="D28" s="723"/>
      <c r="E28" s="85"/>
      <c r="F28" s="314"/>
      <c r="G28" s="85"/>
      <c r="L28" s="83"/>
      <c r="M28" s="17"/>
      <c r="N28" s="57" t="str">
        <f>Constantes!$B18</f>
        <v>Ouverture compte</v>
      </c>
      <c r="O28" s="421"/>
      <c r="P28" s="85">
        <f t="shared" si="0"/>
        <v>0</v>
      </c>
      <c r="Q28" s="314"/>
      <c r="R28" s="85"/>
      <c r="W28" s="83"/>
      <c r="X28" s="17"/>
      <c r="Y28" s="57" t="str">
        <f>Constantes!$B18</f>
        <v>Ouverture compte</v>
      </c>
      <c r="Z28" s="384"/>
      <c r="AA28" s="85">
        <f>O28*Z28</f>
        <v>0</v>
      </c>
      <c r="AB28" s="314"/>
      <c r="AC28" s="85"/>
      <c r="AH28" s="83"/>
      <c r="AI28" s="17"/>
      <c r="AJ28" s="57" t="str">
        <f>Constantes!$B18</f>
        <v>Ouverture compte</v>
      </c>
      <c r="AK28" s="401"/>
      <c r="AL28" s="85">
        <f>Z28*AK28</f>
        <v>0</v>
      </c>
      <c r="AM28" s="314"/>
      <c r="AN28" s="85"/>
      <c r="AS28" s="83"/>
      <c r="AT28" s="17"/>
      <c r="AU28" s="57" t="str">
        <f>Constantes!$B18</f>
        <v>Ouverture compte</v>
      </c>
      <c r="AV28" s="321"/>
      <c r="AW28" s="85">
        <f>AK28*AV28</f>
        <v>0</v>
      </c>
      <c r="AX28" s="314"/>
      <c r="AY28" s="85"/>
      <c r="AZ28" s="85"/>
      <c r="BA28" s="85"/>
      <c r="BB28" s="85"/>
      <c r="BC28" s="88"/>
    </row>
    <row r="29" spans="1:55" ht="21" customHeight="1" thickBot="1" x14ac:dyDescent="0.3">
      <c r="A29" s="83"/>
      <c r="B29" s="15"/>
      <c r="C29" s="56" t="str">
        <f>Constantes!$B19</f>
        <v>Téléphonie</v>
      </c>
      <c r="D29" s="722"/>
      <c r="E29" s="85"/>
      <c r="F29" s="314"/>
      <c r="G29" s="85"/>
      <c r="K29" s="88"/>
      <c r="L29" s="83"/>
      <c r="M29" s="15"/>
      <c r="N29" s="56" t="str">
        <f>Constantes!$B19</f>
        <v>Téléphonie</v>
      </c>
      <c r="O29" s="420"/>
      <c r="P29" s="85">
        <f t="shared" si="0"/>
        <v>0</v>
      </c>
      <c r="Q29" s="314"/>
      <c r="R29" s="85"/>
      <c r="V29" s="88"/>
      <c r="W29" s="83"/>
      <c r="X29" s="15"/>
      <c r="Y29" s="56" t="str">
        <f>Constantes!$B19</f>
        <v>Téléphonie</v>
      </c>
      <c r="Z29" s="383">
        <v>2</v>
      </c>
      <c r="AA29" s="85">
        <f t="shared" si="1"/>
        <v>0</v>
      </c>
      <c r="AB29" s="314"/>
      <c r="AC29" s="85"/>
      <c r="AG29" s="88"/>
      <c r="AH29" s="83"/>
      <c r="AI29" s="15"/>
      <c r="AJ29" s="56" t="str">
        <f>Constantes!$B19</f>
        <v>Téléphonie</v>
      </c>
      <c r="AK29" s="400"/>
      <c r="AL29" s="85">
        <f t="shared" si="2"/>
        <v>0</v>
      </c>
      <c r="AM29" s="314"/>
      <c r="AN29" s="85"/>
      <c r="AR29" s="88"/>
      <c r="AS29" s="83"/>
      <c r="AT29" s="15"/>
      <c r="AU29" s="56" t="str">
        <f>Constantes!$B19</f>
        <v>Téléphonie</v>
      </c>
      <c r="AV29" s="320"/>
      <c r="AW29" s="85">
        <f t="shared" si="3"/>
        <v>0</v>
      </c>
      <c r="AX29" s="314"/>
      <c r="AY29" s="85"/>
      <c r="AZ29" s="85"/>
      <c r="BA29" s="85"/>
      <c r="BB29" s="85"/>
      <c r="BC29" s="88"/>
    </row>
    <row r="30" spans="1:55" ht="15" customHeight="1" x14ac:dyDescent="0.25">
      <c r="A30" s="83"/>
      <c r="B30" s="85"/>
      <c r="C30" s="92"/>
      <c r="D30" s="646">
        <f>COUNTIF(D20:D29,"&gt;0")</f>
        <v>0</v>
      </c>
      <c r="E30" s="92"/>
      <c r="F30" s="92"/>
      <c r="G30" s="85"/>
      <c r="J30" s="85"/>
      <c r="K30" s="88"/>
      <c r="L30" s="83"/>
      <c r="M30" s="85"/>
      <c r="N30" s="92"/>
      <c r="O30" s="713">
        <f>COUNTIF(O20:O29,"&gt;0")</f>
        <v>3</v>
      </c>
      <c r="P30" s="92">
        <f>COUNTIF(P20:P29,"&gt;0")</f>
        <v>0</v>
      </c>
      <c r="Q30" s="92"/>
      <c r="R30" s="85"/>
      <c r="U30" s="85"/>
      <c r="V30" s="88"/>
      <c r="W30" s="83"/>
      <c r="X30" s="85"/>
      <c r="Y30" s="92"/>
      <c r="Z30" s="713">
        <f>COUNTIF(Z20:Z29,"&gt;0")</f>
        <v>2</v>
      </c>
      <c r="AA30" s="92">
        <f>COUNTIF(AA20:AA29,"&gt;0")</f>
        <v>1</v>
      </c>
      <c r="AB30" s="92"/>
      <c r="AC30" s="85"/>
      <c r="AF30" s="85"/>
      <c r="AG30" s="88"/>
      <c r="AH30" s="83"/>
      <c r="AI30" s="85"/>
      <c r="AJ30" s="92"/>
      <c r="AK30" s="713">
        <f>COUNTIF(AK20:AK29,"&gt;0")</f>
        <v>2</v>
      </c>
      <c r="AL30" s="92">
        <f>COUNTIF(AL20:AL29,"&gt;0")</f>
        <v>0</v>
      </c>
      <c r="AM30" s="92"/>
      <c r="AN30" s="85"/>
      <c r="AQ30" s="85"/>
      <c r="AR30" s="88"/>
      <c r="AS30" s="83"/>
      <c r="AT30" s="85"/>
      <c r="AU30" s="92"/>
      <c r="AV30" s="713">
        <f>COUNTIF(AV20:AV29,"&gt;0")</f>
        <v>2</v>
      </c>
      <c r="AW30" s="92">
        <f>COUNTIF(AW20:AW29,"&gt;0")</f>
        <v>0</v>
      </c>
      <c r="AX30" s="92"/>
      <c r="AY30" s="85"/>
      <c r="AZ30" s="85"/>
      <c r="BA30" s="85"/>
      <c r="BB30" s="85"/>
      <c r="BC30" s="88"/>
    </row>
    <row r="31" spans="1:55" ht="22.8" customHeight="1" x14ac:dyDescent="0.25">
      <c r="A31" s="83"/>
      <c r="B31" s="84" t="s">
        <v>215</v>
      </c>
      <c r="C31" s="85"/>
      <c r="D31" s="85"/>
      <c r="E31" s="85"/>
      <c r="G31" s="84" t="s">
        <v>216</v>
      </c>
      <c r="H31" s="85"/>
      <c r="I31" s="85"/>
      <c r="J31" s="85"/>
      <c r="K31" s="85"/>
      <c r="L31" s="83"/>
      <c r="M31" s="84" t="s">
        <v>215</v>
      </c>
      <c r="N31" s="85"/>
      <c r="O31" s="85"/>
      <c r="P31" s="85"/>
      <c r="R31" s="84" t="s">
        <v>216</v>
      </c>
      <c r="S31" s="85"/>
      <c r="T31" s="85"/>
      <c r="U31" s="85"/>
      <c r="V31" s="85"/>
      <c r="W31" s="83"/>
      <c r="X31" s="84" t="s">
        <v>215</v>
      </c>
      <c r="Y31" s="85"/>
      <c r="Z31" s="85"/>
      <c r="AA31" s="85"/>
      <c r="AC31" s="84" t="s">
        <v>216</v>
      </c>
      <c r="AD31" s="85"/>
      <c r="AE31" s="85"/>
      <c r="AF31" s="85"/>
      <c r="AG31" s="85"/>
      <c r="AH31" s="83"/>
      <c r="AI31" s="84" t="s">
        <v>215</v>
      </c>
      <c r="AJ31" s="85"/>
      <c r="AK31" s="85"/>
      <c r="AL31" s="85"/>
      <c r="AN31" s="84" t="s">
        <v>216</v>
      </c>
      <c r="AO31" s="85"/>
      <c r="AP31" s="85"/>
      <c r="AQ31" s="85"/>
      <c r="AR31" s="85"/>
      <c r="AS31" s="83"/>
      <c r="AT31" s="84" t="s">
        <v>215</v>
      </c>
      <c r="AU31" s="85"/>
      <c r="AV31" s="85"/>
      <c r="AW31" s="85"/>
      <c r="AX31" s="85"/>
      <c r="AY31" s="84" t="s">
        <v>216</v>
      </c>
      <c r="AZ31" s="85"/>
      <c r="BA31" s="85"/>
      <c r="BB31" s="85"/>
      <c r="BC31" s="88"/>
    </row>
    <row r="32" spans="1:55" ht="15" customHeight="1" thickBot="1" x14ac:dyDescent="0.3">
      <c r="A32" s="83"/>
      <c r="B32" s="8" t="s">
        <v>217</v>
      </c>
      <c r="C32" s="813" t="s">
        <v>218</v>
      </c>
      <c r="D32" s="813"/>
      <c r="E32" s="159" t="s">
        <v>300</v>
      </c>
      <c r="G32" s="8" t="s">
        <v>217</v>
      </c>
      <c r="H32" s="813" t="s">
        <v>218</v>
      </c>
      <c r="I32" s="813"/>
      <c r="J32" s="615" t="s">
        <v>300</v>
      </c>
      <c r="K32" s="647"/>
      <c r="L32" s="83"/>
      <c r="M32" s="713" t="s">
        <v>217</v>
      </c>
      <c r="N32" s="813" t="s">
        <v>218</v>
      </c>
      <c r="O32" s="813"/>
      <c r="P32" s="710" t="s">
        <v>300</v>
      </c>
      <c r="R32" s="713" t="s">
        <v>217</v>
      </c>
      <c r="S32" s="813" t="s">
        <v>218</v>
      </c>
      <c r="T32" s="813"/>
      <c r="U32" s="710" t="s">
        <v>300</v>
      </c>
      <c r="V32" s="710"/>
      <c r="W32" s="83"/>
      <c r="X32" s="713" t="s">
        <v>217</v>
      </c>
      <c r="Y32" s="813" t="s">
        <v>218</v>
      </c>
      <c r="Z32" s="813"/>
      <c r="AA32" s="710" t="s">
        <v>300</v>
      </c>
      <c r="AC32" s="713" t="s">
        <v>217</v>
      </c>
      <c r="AD32" s="813" t="s">
        <v>218</v>
      </c>
      <c r="AE32" s="813"/>
      <c r="AF32" s="710" t="s">
        <v>300</v>
      </c>
      <c r="AG32" s="710"/>
      <c r="AH32" s="83"/>
      <c r="AI32" s="713" t="s">
        <v>217</v>
      </c>
      <c r="AJ32" s="813" t="s">
        <v>218</v>
      </c>
      <c r="AK32" s="813"/>
      <c r="AL32" s="710" t="s">
        <v>300</v>
      </c>
      <c r="AN32" s="713" t="s">
        <v>217</v>
      </c>
      <c r="AO32" s="813" t="s">
        <v>218</v>
      </c>
      <c r="AP32" s="813"/>
      <c r="AQ32" s="710" t="s">
        <v>300</v>
      </c>
      <c r="AR32" s="710"/>
      <c r="AS32" s="83"/>
      <c r="AT32" s="713" t="s">
        <v>217</v>
      </c>
      <c r="AU32" s="813" t="s">
        <v>218</v>
      </c>
      <c r="AV32" s="813"/>
      <c r="AW32" s="713" t="s">
        <v>300</v>
      </c>
      <c r="AX32" s="85"/>
      <c r="AY32" s="713" t="s">
        <v>217</v>
      </c>
      <c r="AZ32" s="813" t="s">
        <v>218</v>
      </c>
      <c r="BA32" s="813"/>
      <c r="BB32" s="713" t="s">
        <v>300</v>
      </c>
      <c r="BC32" s="191"/>
    </row>
    <row r="33" spans="1:55" ht="33.6" customHeight="1" x14ac:dyDescent="0.25">
      <c r="A33" s="83"/>
      <c r="B33" s="738"/>
      <c r="C33" s="814" t="str">
        <f>IF(B33&lt;&gt;0,LOOKUP(B33,Actions!$B$4:$B$26,Actions!$C$4:$C$26),"")</f>
        <v/>
      </c>
      <c r="D33" s="815"/>
      <c r="E33" s="186" t="str">
        <f>IF(B33&lt;&gt;0,LOOKUP(B33,Actions!$B$4:$B$26,Actions!$F$4:$F$26),"")</f>
        <v/>
      </c>
      <c r="G33" s="738"/>
      <c r="H33" s="814" t="str">
        <f>IF(G33&lt;&gt;0,LOOKUP(G33,Actions!$B$4:$B$26,Actions!$C$4:$C$26),"")</f>
        <v/>
      </c>
      <c r="I33" s="816"/>
      <c r="J33" s="186" t="str">
        <f>IF(G33&lt;&gt;0,LOOKUP(G33,Actions!$B$4:$B$26,Actions!$F$4:$F$26),"")</f>
        <v/>
      </c>
      <c r="K33" s="189"/>
      <c r="L33" s="83"/>
      <c r="M33" s="409">
        <v>6</v>
      </c>
      <c r="N33" s="814" t="str">
        <f>IF(M33&lt;&gt;0,LOOKUP(M33,Actions!$B$4:$B$26,Actions!$C$4:$C$26),"")</f>
        <v>PLV collecte</v>
      </c>
      <c r="O33" s="815"/>
      <c r="P33" s="186">
        <f>IF(M33&lt;&gt;0,LOOKUP(M33,Actions!$B$4:$B$26,Actions!$F$4:$F$26),"")</f>
        <v>1000</v>
      </c>
      <c r="R33" s="409">
        <v>21</v>
      </c>
      <c r="S33" s="814" t="str">
        <f>IF(R33&lt;&gt;0,LOOKUP(R33,Actions!$B$4:$B$26,Actions!$C$4:$C$26),"")</f>
        <v>Escape game</v>
      </c>
      <c r="T33" s="816"/>
      <c r="U33" s="186">
        <f>IF(R33&lt;&gt;0,LOOKUP(R33,Actions!$B$4:$B$26,Actions!$F$4:$F$26),"")</f>
        <v>300</v>
      </c>
      <c r="V33" s="189"/>
      <c r="W33" s="83"/>
      <c r="X33" s="372">
        <v>4</v>
      </c>
      <c r="Y33" s="814" t="str">
        <f>IF(X33&lt;&gt;0,LOOKUP(X33,Actions!$B$4:$B$26,Actions!$C$4:$C$26),"")</f>
        <v>Modernisation de l'accueil</v>
      </c>
      <c r="Z33" s="815"/>
      <c r="AA33" s="186">
        <f>IF(X33&lt;&gt;0,LOOKUP(X33,Actions!$B$4:$B$26,Actions!$F$4:$F$26),"")</f>
        <v>1500</v>
      </c>
      <c r="AC33" s="372">
        <v>20</v>
      </c>
      <c r="AD33" s="814" t="str">
        <f>IF(AC33&lt;&gt;0,LOOKUP(AC33,Actions!$B$4:$B$26,Actions!$C$4:$C$26),"")</f>
        <v>Repas d'équipe</v>
      </c>
      <c r="AE33" s="816"/>
      <c r="AF33" s="186">
        <f>IF(AC33&lt;&gt;0,LOOKUP(AC33,Actions!$B$4:$B$26,Actions!$F$4:$F$26),"")</f>
        <v>200</v>
      </c>
      <c r="AG33" s="189"/>
      <c r="AH33" s="83"/>
      <c r="AI33" s="389">
        <v>2</v>
      </c>
      <c r="AJ33" s="814" t="str">
        <f>IF(AI33&lt;&gt;0,LOOKUP(AI33,Actions!$B$4:$B$26,Actions!$C$4:$C$26),"")</f>
        <v>Mur d'argent</v>
      </c>
      <c r="AK33" s="815"/>
      <c r="AL33" s="186">
        <f>IF(AI33&lt;&gt;0,LOOKUP(AI33,Actions!$B$4:$B$26,Actions!$F$4:$F$26),"")</f>
        <v>10000</v>
      </c>
      <c r="AN33" s="389">
        <v>22</v>
      </c>
      <c r="AO33" s="814" t="str">
        <f>IF(AN33&lt;&gt;0,LOOKUP(AN33,Actions!$B$4:$B$26,Actions!$C$4:$C$26),"")</f>
        <v>Afterwork</v>
      </c>
      <c r="AP33" s="816"/>
      <c r="AQ33" s="186">
        <f>IF(AN33&lt;&gt;0,LOOKUP(AN33,Actions!$B$4:$B$26,Actions!$F$4:$F$26),"")</f>
        <v>200</v>
      </c>
      <c r="AR33" s="189"/>
      <c r="AS33" s="83"/>
      <c r="AT33" s="174">
        <v>8</v>
      </c>
      <c r="AU33" s="814" t="str">
        <f>IF(AT33&lt;&gt;0,LOOKUP(AT33,Actions!$B$4:$B$26,Actions!$C$4:$C$26),"")</f>
        <v>PLV assurance</v>
      </c>
      <c r="AV33" s="815"/>
      <c r="AW33" s="186">
        <f>IF(AT33&lt;&gt;0,LOOKUP(AT33,Actions!$B$4:$B$26,Actions!$F$4:$F$26),"")</f>
        <v>1000</v>
      </c>
      <c r="AX33" s="85"/>
      <c r="AY33" s="174">
        <v>24</v>
      </c>
      <c r="AZ33" s="814" t="str">
        <f>IF(AY33&lt;&gt;0,LOOKUP(AY33,Actions!$B$4:$B$26,Actions!$C$4:$C$26),"")</f>
        <v>Participation évenement sportif</v>
      </c>
      <c r="BA33" s="816"/>
      <c r="BB33" s="186">
        <f>IF(AY33&lt;&gt;0,LOOKUP(AY33,Actions!$B$4:$B$26,Actions!$F$4:$F$26),"")</f>
        <v>500</v>
      </c>
      <c r="BC33" s="731"/>
    </row>
    <row r="34" spans="1:55" ht="33.6" customHeight="1" x14ac:dyDescent="0.25">
      <c r="A34" s="83"/>
      <c r="B34" s="739"/>
      <c r="C34" s="805" t="str">
        <f>IF(B34&lt;&gt;0,LOOKUP(B34,Actions!$B$4:$B$26,Actions!$C$4:$C$26),"")</f>
        <v/>
      </c>
      <c r="D34" s="806"/>
      <c r="E34" s="187" t="str">
        <f>IF(B34&lt;&gt;0,LOOKUP(B34,Actions!$B$4:$B$26,Actions!$F$4:$F$26),"")</f>
        <v/>
      </c>
      <c r="G34" s="739"/>
      <c r="H34" s="805" t="str">
        <f>IF(G34&lt;&gt;0,LOOKUP(G34,Actions!$B$4:$B$26,Actions!$C$4:$C$26),"")</f>
        <v/>
      </c>
      <c r="I34" s="807"/>
      <c r="J34" s="187" t="str">
        <f>IF(G34&lt;&gt;0,LOOKUP(G34,Actions!$B$4:$B$26,Actions!$F$4:$F$26),"")</f>
        <v/>
      </c>
      <c r="K34" s="189"/>
      <c r="L34" s="83"/>
      <c r="M34" s="411"/>
      <c r="N34" s="805" t="str">
        <f>IF(M34&lt;&gt;0,LOOKUP(M34,Actions!$B$4:$B$26,Actions!$C$4:$C$26),"")</f>
        <v/>
      </c>
      <c r="O34" s="806"/>
      <c r="P34" s="187" t="str">
        <f>IF(M34&lt;&gt;0,LOOKUP(M34,Actions!$B$4:$B$26,Actions!$F$4:$F$26),"")</f>
        <v/>
      </c>
      <c r="R34" s="411"/>
      <c r="S34" s="805" t="str">
        <f>IF(R34&lt;&gt;0,LOOKUP(R34,Actions!$B$4:$B$26,Actions!$C$4:$C$26),"")</f>
        <v/>
      </c>
      <c r="T34" s="807"/>
      <c r="U34" s="187" t="str">
        <f>IF(R34&lt;&gt;0,LOOKUP(R34,Actions!$B$4:$B$26,Actions!$F$4:$F$26),"")</f>
        <v/>
      </c>
      <c r="V34" s="189"/>
      <c r="W34" s="83"/>
      <c r="X34" s="374">
        <v>12</v>
      </c>
      <c r="Y34" s="805" t="str">
        <f>IF(X34&lt;&gt;0,LOOKUP(X34,Actions!$B$4:$B$26,Actions!$C$4:$C$26),"")</f>
        <v>Animation assurance</v>
      </c>
      <c r="Z34" s="806"/>
      <c r="AA34" s="187">
        <f>IF(X34&lt;&gt;0,LOOKUP(X34,Actions!$B$4:$B$26,Actions!$F$4:$F$26),"")</f>
        <v>600</v>
      </c>
      <c r="AC34" s="374"/>
      <c r="AD34" s="805" t="str">
        <f>IF(AC34&lt;&gt;0,LOOKUP(AC34,Actions!$B$4:$B$26,Actions!$C$4:$C$26),"")</f>
        <v/>
      </c>
      <c r="AE34" s="807"/>
      <c r="AF34" s="187" t="str">
        <f>IF(AC34&lt;&gt;0,LOOKUP(AC34,Actions!$B$4:$B$26,Actions!$F$4:$F$26),"")</f>
        <v/>
      </c>
      <c r="AG34" s="189"/>
      <c r="AH34" s="83"/>
      <c r="AI34" s="391">
        <v>13</v>
      </c>
      <c r="AJ34" s="805" t="str">
        <f>IF(AI34&lt;&gt;0,LOOKUP(AI34,Actions!$B$4:$B$26,Actions!$C$4:$C$26),"")</f>
        <v>Animation services</v>
      </c>
      <c r="AK34" s="806"/>
      <c r="AL34" s="187">
        <f>IF(AI34&lt;&gt;0,LOOKUP(AI34,Actions!$B$4:$B$26,Actions!$F$4:$F$26),"")</f>
        <v>600</v>
      </c>
      <c r="AN34" s="391"/>
      <c r="AO34" s="805" t="str">
        <f>IF(AN34&lt;&gt;0,LOOKUP(AN34,Actions!$B$4:$B$26,Actions!$C$4:$C$26),"")</f>
        <v/>
      </c>
      <c r="AP34" s="807"/>
      <c r="AQ34" s="187" t="str">
        <f>IF(AN34&lt;&gt;0,LOOKUP(AN34,Actions!$B$4:$B$26,Actions!$F$4:$F$26),"")</f>
        <v/>
      </c>
      <c r="AR34" s="189"/>
      <c r="AS34" s="83"/>
      <c r="AT34" s="176">
        <v>17</v>
      </c>
      <c r="AU34" s="805" t="str">
        <f>IF(AT34&lt;&gt;0,LOOKUP(AT34,Actions!$B$4:$B$26,Actions!$C$4:$C$26),"")</f>
        <v>Invitation des clients</v>
      </c>
      <c r="AV34" s="806"/>
      <c r="AW34" s="187">
        <f>IF(AT34&lt;&gt;0,LOOKUP(AT34,Actions!$B$4:$B$26,Actions!$F$4:$F$26),"")</f>
        <v>1200</v>
      </c>
      <c r="AX34" s="85"/>
      <c r="AY34" s="176"/>
      <c r="AZ34" s="805" t="str">
        <f>IF(AY34&lt;&gt;0,LOOKUP(AY34,Actions!$B$4:$B$26,Actions!$C$4:$C$26),"")</f>
        <v/>
      </c>
      <c r="BA34" s="807"/>
      <c r="BB34" s="187" t="str">
        <f>IF(AY34&lt;&gt;0,LOOKUP(AY34,Actions!$B$4:$B$26,Actions!$F$4:$F$26),"")</f>
        <v/>
      </c>
      <c r="BC34" s="731"/>
    </row>
    <row r="35" spans="1:55" ht="33.6" customHeight="1" thickBot="1" x14ac:dyDescent="0.3">
      <c r="A35" s="83"/>
      <c r="B35" s="740"/>
      <c r="C35" s="808" t="str">
        <f>IF(B35&lt;&gt;0,LOOKUP(B35,Actions!$B$4:$B$26,Actions!$C$4:$C$26),"")</f>
        <v/>
      </c>
      <c r="D35" s="809"/>
      <c r="E35" s="188" t="str">
        <f>IF(B35&lt;&gt;0,LOOKUP(B35,Actions!$B$4:$B$26,Actions!$F$4:$F$26),"")</f>
        <v/>
      </c>
      <c r="G35" s="740"/>
      <c r="H35" s="808" t="str">
        <f>IF(G35&lt;&gt;0,LOOKUP(G35,Actions!$B$4:$B$26,Actions!$C$4:$C$26),"")</f>
        <v/>
      </c>
      <c r="I35" s="810"/>
      <c r="J35" s="188" t="str">
        <f>IF(G35&lt;&gt;0,LOOKUP(G35,Actions!$B$4:$B$26,Actions!$F$4:$F$26),"")</f>
        <v/>
      </c>
      <c r="K35" s="189"/>
      <c r="L35" s="83"/>
      <c r="M35" s="410"/>
      <c r="N35" s="808" t="str">
        <f>IF(M35&lt;&gt;0,LOOKUP(M35,Actions!$B$4:$B$26,Actions!$C$4:$C$26),"")</f>
        <v/>
      </c>
      <c r="O35" s="809"/>
      <c r="P35" s="188" t="str">
        <f>IF(M35&lt;&gt;0,LOOKUP(M35,Actions!$B$4:$B$26,Actions!$F$4:$F$26),"")</f>
        <v/>
      </c>
      <c r="R35" s="410"/>
      <c r="S35" s="808" t="str">
        <f>IF(R35&lt;&gt;0,LOOKUP(R35,Actions!$B$4:$B$26,Actions!$C$4:$C$26),"")</f>
        <v/>
      </c>
      <c r="T35" s="810"/>
      <c r="U35" s="188" t="str">
        <f>IF(R35&lt;&gt;0,LOOKUP(R35,Actions!$B$4:$B$26,Actions!$F$4:$F$26),"")</f>
        <v/>
      </c>
      <c r="V35" s="189"/>
      <c r="W35" s="83"/>
      <c r="X35" s="373"/>
      <c r="Y35" s="808" t="str">
        <f>IF(X35&lt;&gt;0,LOOKUP(X35,Actions!$B$4:$B$26,Actions!$C$4:$C$26),"")</f>
        <v/>
      </c>
      <c r="Z35" s="809"/>
      <c r="AA35" s="188" t="str">
        <f>IF(X35&lt;&gt;0,LOOKUP(X35,Actions!$B$4:$B$26,Actions!$F$4:$F$26),"")</f>
        <v/>
      </c>
      <c r="AC35" s="373"/>
      <c r="AD35" s="808" t="str">
        <f>IF(AC35&lt;&gt;0,LOOKUP(AC35,Actions!$B$4:$B$26,Actions!$C$4:$C$26),"")</f>
        <v/>
      </c>
      <c r="AE35" s="810"/>
      <c r="AF35" s="188" t="str">
        <f>IF(AC35&lt;&gt;0,LOOKUP(AC35,Actions!$B$4:$B$26,Actions!$F$4:$F$26),"")</f>
        <v/>
      </c>
      <c r="AG35" s="189"/>
      <c r="AH35" s="83"/>
      <c r="AI35" s="390"/>
      <c r="AJ35" s="808" t="str">
        <f>IF(AI35&lt;&gt;0,LOOKUP(AI35,Actions!$B$4:$B$26,Actions!$C$4:$C$26),"")</f>
        <v/>
      </c>
      <c r="AK35" s="809"/>
      <c r="AL35" s="188" t="str">
        <f>IF(AI35&lt;&gt;0,LOOKUP(AI35,Actions!$B$4:$B$26,Actions!$F$4:$F$26),"")</f>
        <v/>
      </c>
      <c r="AN35" s="390"/>
      <c r="AO35" s="808" t="str">
        <f>IF(AN35&lt;&gt;0,LOOKUP(AN35,Actions!$B$4:$B$26,Actions!$C$4:$C$26),"")</f>
        <v/>
      </c>
      <c r="AP35" s="810"/>
      <c r="AQ35" s="188" t="str">
        <f>IF(AN35&lt;&gt;0,LOOKUP(AN35,Actions!$B$4:$B$26,Actions!$F$4:$F$26),"")</f>
        <v/>
      </c>
      <c r="AR35" s="189"/>
      <c r="AS35" s="83"/>
      <c r="AT35" s="175"/>
      <c r="AU35" s="808" t="str">
        <f>IF(AT35&lt;&gt;0,LOOKUP(AT35,Actions!$B$4:$B$26,Actions!$C$4:$C$26),"")</f>
        <v/>
      </c>
      <c r="AV35" s="809"/>
      <c r="AW35" s="188" t="str">
        <f>IF(AT35&lt;&gt;0,LOOKUP(AT35,Actions!$B$4:$B$26,Actions!$F$4:$F$26),"")</f>
        <v/>
      </c>
      <c r="AX35" s="85"/>
      <c r="AY35" s="175"/>
      <c r="AZ35" s="808" t="str">
        <f>IF(AY35&lt;&gt;0,LOOKUP(AY35,Actions!$B$4:$B$26,Actions!$C$4:$C$26),"")</f>
        <v/>
      </c>
      <c r="BA35" s="810"/>
      <c r="BB35" s="188" t="str">
        <f>IF(AY35&lt;&gt;0,LOOKUP(AY35,Actions!$B$4:$B$26,Actions!$F$4:$F$26),"")</f>
        <v/>
      </c>
      <c r="BC35" s="731"/>
    </row>
    <row r="36" spans="1:55" ht="18.600000000000001" customHeight="1" thickBot="1" x14ac:dyDescent="0.3">
      <c r="A36" s="83"/>
      <c r="L36" s="83"/>
      <c r="W36" s="83"/>
      <c r="AH36" s="83"/>
      <c r="AS36" s="97"/>
      <c r="AT36" s="98"/>
      <c r="AU36" s="98"/>
      <c r="AV36" s="98"/>
      <c r="AW36" s="98"/>
      <c r="AX36" s="98"/>
      <c r="AY36" s="98"/>
      <c r="AZ36" s="98"/>
      <c r="BA36" s="98"/>
      <c r="BB36" s="98"/>
      <c r="BC36" s="99"/>
    </row>
    <row r="37" spans="1:55" ht="18.600000000000001" customHeight="1" x14ac:dyDescent="0.25">
      <c r="A37" s="79"/>
      <c r="B37" s="717" t="s">
        <v>427</v>
      </c>
      <c r="C37" s="80"/>
      <c r="D37" s="80"/>
      <c r="E37" s="80"/>
      <c r="F37" s="80"/>
      <c r="G37" s="80"/>
      <c r="H37" s="80"/>
      <c r="I37" s="80"/>
      <c r="J37" s="80"/>
      <c r="K37" s="82"/>
      <c r="L37" s="79"/>
      <c r="M37" s="717" t="s">
        <v>427</v>
      </c>
      <c r="N37" s="80"/>
      <c r="O37" s="80"/>
      <c r="P37" s="80"/>
      <c r="Q37" s="80"/>
      <c r="R37" s="80"/>
      <c r="S37" s="80"/>
      <c r="T37" s="80"/>
      <c r="U37" s="80"/>
      <c r="V37" s="82"/>
      <c r="W37" s="79"/>
      <c r="X37" s="717" t="s">
        <v>427</v>
      </c>
      <c r="Y37" s="80"/>
      <c r="Z37" s="80"/>
      <c r="AA37" s="80"/>
      <c r="AB37" s="80"/>
      <c r="AC37" s="80"/>
      <c r="AD37" s="80"/>
      <c r="AE37" s="80"/>
      <c r="AF37" s="80"/>
      <c r="AG37" s="82"/>
      <c r="AH37" s="79"/>
      <c r="AI37" s="717" t="s">
        <v>427</v>
      </c>
      <c r="AJ37" s="80"/>
      <c r="AK37" s="80"/>
      <c r="AL37" s="80"/>
      <c r="AM37" s="80"/>
      <c r="AN37" s="80"/>
      <c r="AO37" s="80"/>
      <c r="AP37" s="80"/>
      <c r="AQ37" s="80"/>
      <c r="AR37" s="82"/>
      <c r="AS37" s="79"/>
      <c r="AT37" s="717" t="s">
        <v>427</v>
      </c>
      <c r="AU37" s="80"/>
      <c r="AV37" s="80"/>
      <c r="AW37" s="80"/>
      <c r="AX37" s="80"/>
      <c r="AY37" s="80"/>
      <c r="AZ37" s="80"/>
      <c r="BA37" s="80"/>
      <c r="BB37" s="80"/>
      <c r="BC37" s="82"/>
    </row>
    <row r="38" spans="1:55" ht="22.8" customHeight="1" thickBot="1" x14ac:dyDescent="0.3">
      <c r="A38" s="83"/>
      <c r="B38" s="89"/>
      <c r="C38" s="90"/>
      <c r="D38" s="91" t="s">
        <v>64</v>
      </c>
      <c r="E38" s="91" t="s">
        <v>65</v>
      </c>
      <c r="F38" s="91" t="s">
        <v>66</v>
      </c>
      <c r="G38" s="85"/>
      <c r="H38" s="85"/>
      <c r="I38" s="85"/>
      <c r="J38" s="85"/>
      <c r="K38" s="88"/>
      <c r="L38" s="83"/>
      <c r="M38" s="89"/>
      <c r="N38" s="90"/>
      <c r="O38" s="91" t="s">
        <v>64</v>
      </c>
      <c r="P38" s="91" t="s">
        <v>65</v>
      </c>
      <c r="Q38" s="91" t="s">
        <v>66</v>
      </c>
      <c r="R38" s="85"/>
      <c r="S38" s="85"/>
      <c r="T38" s="85"/>
      <c r="U38" s="85"/>
      <c r="V38" s="88"/>
      <c r="W38" s="83"/>
      <c r="X38" s="89"/>
      <c r="Y38" s="90"/>
      <c r="Z38" s="91" t="s">
        <v>64</v>
      </c>
      <c r="AA38" s="91" t="s">
        <v>65</v>
      </c>
      <c r="AB38" s="91" t="s">
        <v>66</v>
      </c>
      <c r="AC38" s="85"/>
      <c r="AD38" s="85"/>
      <c r="AE38" s="85"/>
      <c r="AF38" s="85"/>
      <c r="AG38" s="88"/>
      <c r="AH38" s="83"/>
      <c r="AI38" s="89"/>
      <c r="AJ38" s="90"/>
      <c r="AK38" s="91" t="s">
        <v>64</v>
      </c>
      <c r="AL38" s="91" t="s">
        <v>65</v>
      </c>
      <c r="AM38" s="91" t="s">
        <v>66</v>
      </c>
      <c r="AN38" s="85"/>
      <c r="AO38" s="85"/>
      <c r="AP38" s="85"/>
      <c r="AQ38" s="85"/>
      <c r="AR38" s="88"/>
      <c r="AS38" s="83"/>
      <c r="AT38" s="89"/>
      <c r="AU38" s="90"/>
      <c r="AV38" s="91" t="s">
        <v>64</v>
      </c>
      <c r="AW38" s="91" t="s">
        <v>65</v>
      </c>
      <c r="AX38" s="91" t="s">
        <v>66</v>
      </c>
      <c r="AY38" s="85"/>
      <c r="AZ38" s="85"/>
      <c r="BA38" s="85"/>
      <c r="BB38" s="85"/>
      <c r="BC38" s="88"/>
    </row>
    <row r="39" spans="1:55" ht="28.2" customHeight="1" thickBot="1" x14ac:dyDescent="0.3">
      <c r="A39" s="83"/>
      <c r="B39" s="92" t="s">
        <v>213</v>
      </c>
      <c r="C39" s="84"/>
      <c r="D39" s="741">
        <v>0.33300000000000002</v>
      </c>
      <c r="E39" s="742">
        <v>0.33300000000000002</v>
      </c>
      <c r="F39" s="743">
        <v>0.33300000000000002</v>
      </c>
      <c r="G39" s="85"/>
      <c r="H39" s="313">
        <f>SUM(D39:F39)</f>
        <v>0.99900000000000011</v>
      </c>
      <c r="I39" s="85"/>
      <c r="J39" s="85"/>
      <c r="K39" s="88"/>
      <c r="L39" s="83"/>
      <c r="M39" s="92" t="s">
        <v>213</v>
      </c>
      <c r="N39" s="84"/>
      <c r="O39" s="406">
        <v>0.4</v>
      </c>
      <c r="P39" s="407">
        <v>0.3</v>
      </c>
      <c r="Q39" s="408">
        <v>0.3</v>
      </c>
      <c r="R39" s="85"/>
      <c r="S39" s="313">
        <f>SUM(O39:Q39)</f>
        <v>1</v>
      </c>
      <c r="T39" s="85"/>
      <c r="U39" s="85"/>
      <c r="V39" s="88"/>
      <c r="W39" s="83"/>
      <c r="X39" s="92" t="s">
        <v>213</v>
      </c>
      <c r="Y39" s="84"/>
      <c r="Z39" s="369">
        <v>0.5</v>
      </c>
      <c r="AA39" s="370">
        <v>0.3</v>
      </c>
      <c r="AB39" s="371">
        <v>0.2</v>
      </c>
      <c r="AC39" s="85"/>
      <c r="AD39" s="313">
        <f>SUM(Z39:AB39)</f>
        <v>1</v>
      </c>
      <c r="AE39" s="85"/>
      <c r="AF39" s="85"/>
      <c r="AG39" s="88"/>
      <c r="AH39" s="83"/>
      <c r="AI39" s="92" t="s">
        <v>213</v>
      </c>
      <c r="AJ39" s="84"/>
      <c r="AK39" s="386">
        <v>0.45</v>
      </c>
      <c r="AL39" s="387">
        <v>0.35</v>
      </c>
      <c r="AM39" s="388">
        <v>0.2</v>
      </c>
      <c r="AN39" s="85"/>
      <c r="AO39" s="313">
        <f>SUM(AK39:AM39)</f>
        <v>1</v>
      </c>
      <c r="AP39" s="85"/>
      <c r="AQ39" s="85"/>
      <c r="AR39" s="88"/>
      <c r="AS39" s="83"/>
      <c r="AT39" s="92" t="s">
        <v>213</v>
      </c>
      <c r="AU39" s="84"/>
      <c r="AV39" s="183">
        <v>0.55000000000000004</v>
      </c>
      <c r="AW39" s="184">
        <v>0.35</v>
      </c>
      <c r="AX39" s="185">
        <v>0.1</v>
      </c>
      <c r="AY39" s="85"/>
      <c r="AZ39" s="313">
        <f>SUM(AV39:AX39)</f>
        <v>1</v>
      </c>
      <c r="BA39" s="85"/>
      <c r="BB39" s="85"/>
      <c r="BC39" s="88"/>
    </row>
    <row r="40" spans="1:55" ht="18.600000000000001" customHeight="1" thickBot="1" x14ac:dyDescent="0.3">
      <c r="A40" s="83"/>
      <c r="B40" s="85"/>
      <c r="C40" s="85"/>
      <c r="D40" s="85"/>
      <c r="E40" s="85"/>
      <c r="F40" s="85"/>
      <c r="G40" s="85"/>
      <c r="H40" s="85"/>
      <c r="I40" s="85"/>
      <c r="J40" s="85"/>
      <c r="K40" s="88"/>
      <c r="L40" s="83"/>
      <c r="M40" s="85"/>
      <c r="N40" s="85"/>
      <c r="O40" s="85"/>
      <c r="P40" s="85"/>
      <c r="Q40" s="85"/>
      <c r="R40" s="85"/>
      <c r="S40" s="85"/>
      <c r="T40" s="85"/>
      <c r="U40" s="85"/>
      <c r="V40" s="88"/>
      <c r="W40" s="83"/>
      <c r="X40" s="85"/>
      <c r="Y40" s="85"/>
      <c r="Z40" s="85"/>
      <c r="AA40" s="85"/>
      <c r="AB40" s="85"/>
      <c r="AC40" s="85"/>
      <c r="AD40" s="85"/>
      <c r="AE40" s="85"/>
      <c r="AF40" s="85"/>
      <c r="AG40" s="88"/>
      <c r="AH40" s="83"/>
      <c r="AI40" s="85"/>
      <c r="AJ40" s="85"/>
      <c r="AK40" s="85"/>
      <c r="AL40" s="85"/>
      <c r="AM40" s="85"/>
      <c r="AN40" s="85"/>
      <c r="AO40" s="85"/>
      <c r="AP40" s="85"/>
      <c r="AQ40" s="85"/>
      <c r="AR40" s="88"/>
      <c r="AS40" s="83"/>
      <c r="AT40" s="85"/>
      <c r="AU40" s="85"/>
      <c r="AV40" s="85"/>
      <c r="AW40" s="85"/>
      <c r="AX40" s="85"/>
      <c r="AY40" s="85"/>
      <c r="AZ40" s="85"/>
      <c r="BA40" s="85"/>
      <c r="BB40" s="85"/>
      <c r="BC40" s="88"/>
    </row>
    <row r="41" spans="1:55" ht="24.6" customHeight="1" thickBot="1" x14ac:dyDescent="0.3">
      <c r="A41" s="83"/>
      <c r="B41" s="92" t="s">
        <v>205</v>
      </c>
      <c r="C41" s="85"/>
      <c r="D41" s="85"/>
      <c r="E41" s="744">
        <v>7.0000000000000007E-2</v>
      </c>
      <c r="F41" s="22" t="s">
        <v>426</v>
      </c>
      <c r="G41" s="85"/>
      <c r="H41" s="85"/>
      <c r="I41" s="85"/>
      <c r="J41" s="85"/>
      <c r="K41" s="88"/>
      <c r="L41" s="83"/>
      <c r="M41" s="92" t="s">
        <v>205</v>
      </c>
      <c r="N41" s="85"/>
      <c r="O41" s="85"/>
      <c r="P41" s="412">
        <v>0.12</v>
      </c>
      <c r="Q41" s="22" t="s">
        <v>426</v>
      </c>
      <c r="R41" s="85"/>
      <c r="S41" s="85"/>
      <c r="T41" s="85"/>
      <c r="U41" s="85"/>
      <c r="V41" s="88"/>
      <c r="W41" s="83"/>
      <c r="X41" s="92" t="s">
        <v>205</v>
      </c>
      <c r="Y41" s="85"/>
      <c r="Z41" s="85"/>
      <c r="AA41" s="375">
        <v>0.16</v>
      </c>
      <c r="AB41" s="22" t="s">
        <v>426</v>
      </c>
      <c r="AC41" s="85"/>
      <c r="AD41" s="85"/>
      <c r="AE41" s="85"/>
      <c r="AF41" s="85"/>
      <c r="AG41" s="88"/>
      <c r="AH41" s="83"/>
      <c r="AI41" s="92" t="s">
        <v>205</v>
      </c>
      <c r="AJ41" s="85"/>
      <c r="AK41" s="85"/>
      <c r="AL41" s="392">
        <v>0.13</v>
      </c>
      <c r="AM41" s="22" t="s">
        <v>426</v>
      </c>
      <c r="AN41" s="85"/>
      <c r="AO41" s="85"/>
      <c r="AP41" s="85"/>
      <c r="AQ41" s="85"/>
      <c r="AR41" s="88"/>
      <c r="AS41" s="83"/>
      <c r="AT41" s="92" t="s">
        <v>205</v>
      </c>
      <c r="AU41" s="85"/>
      <c r="AV41" s="85"/>
      <c r="AW41" s="177">
        <v>0.15</v>
      </c>
      <c r="AX41" s="22" t="s">
        <v>426</v>
      </c>
      <c r="AY41" s="85"/>
      <c r="AZ41" s="85"/>
      <c r="BA41" s="85"/>
      <c r="BB41" s="85"/>
      <c r="BC41" s="88"/>
    </row>
    <row r="42" spans="1:55" ht="18.600000000000001" customHeight="1" thickBot="1" x14ac:dyDescent="0.3">
      <c r="A42" s="97"/>
      <c r="B42" s="98"/>
      <c r="C42" s="98"/>
      <c r="D42" s="98"/>
      <c r="E42" s="98"/>
      <c r="F42" s="98"/>
      <c r="G42" s="98"/>
      <c r="H42" s="98"/>
      <c r="I42" s="98"/>
      <c r="J42" s="98"/>
      <c r="K42" s="99"/>
      <c r="L42" s="97"/>
      <c r="M42" s="98"/>
      <c r="N42" s="98"/>
      <c r="O42" s="98"/>
      <c r="P42" s="98"/>
      <c r="Q42" s="98"/>
      <c r="R42" s="98"/>
      <c r="S42" s="98"/>
      <c r="T42" s="98"/>
      <c r="U42" s="98"/>
      <c r="V42" s="99"/>
      <c r="W42" s="97"/>
      <c r="X42" s="98"/>
      <c r="Y42" s="98"/>
      <c r="Z42" s="98"/>
      <c r="AA42" s="98"/>
      <c r="AB42" s="98"/>
      <c r="AC42" s="98"/>
      <c r="AD42" s="98"/>
      <c r="AE42" s="98"/>
      <c r="AF42" s="98"/>
      <c r="AG42" s="99"/>
      <c r="AH42" s="97"/>
      <c r="AI42" s="98"/>
      <c r="AJ42" s="98"/>
      <c r="AK42" s="98"/>
      <c r="AL42" s="98"/>
      <c r="AM42" s="98"/>
      <c r="AN42" s="98"/>
      <c r="AO42" s="98"/>
      <c r="AP42" s="98"/>
      <c r="AQ42" s="98"/>
      <c r="AR42" s="99"/>
      <c r="AS42" s="97"/>
      <c r="AT42" s="98"/>
      <c r="AU42" s="98"/>
      <c r="AV42" s="98"/>
      <c r="AW42" s="98"/>
      <c r="AX42" s="98"/>
      <c r="AY42" s="98"/>
      <c r="AZ42" s="98"/>
      <c r="BA42" s="98"/>
      <c r="BB42" s="98"/>
      <c r="BC42" s="99"/>
    </row>
    <row r="43" spans="1:55" ht="22.8" customHeight="1" thickBot="1" x14ac:dyDescent="0.3">
      <c r="A43" s="817" t="s">
        <v>64</v>
      </c>
      <c r="B43" s="818"/>
      <c r="C43" s="818"/>
      <c r="D43" s="818"/>
      <c r="E43" s="818"/>
      <c r="F43" s="818"/>
      <c r="G43" s="818"/>
      <c r="H43" s="818"/>
      <c r="I43" s="818"/>
      <c r="J43" s="818"/>
      <c r="K43" s="819"/>
      <c r="L43" s="817" t="s">
        <v>64</v>
      </c>
      <c r="M43" s="818"/>
      <c r="N43" s="818"/>
      <c r="O43" s="818"/>
      <c r="P43" s="818"/>
      <c r="Q43" s="818"/>
      <c r="R43" s="818"/>
      <c r="S43" s="818"/>
      <c r="T43" s="818"/>
      <c r="U43" s="818"/>
      <c r="V43" s="819"/>
      <c r="W43" s="817" t="s">
        <v>64</v>
      </c>
      <c r="X43" s="818"/>
      <c r="Y43" s="818"/>
      <c r="Z43" s="818"/>
      <c r="AA43" s="818"/>
      <c r="AB43" s="818"/>
      <c r="AC43" s="818"/>
      <c r="AD43" s="818"/>
      <c r="AE43" s="818"/>
      <c r="AF43" s="818"/>
      <c r="AG43" s="819"/>
      <c r="AH43" s="817" t="s">
        <v>64</v>
      </c>
      <c r="AI43" s="818"/>
      <c r="AJ43" s="818"/>
      <c r="AK43" s="818"/>
      <c r="AL43" s="818"/>
      <c r="AM43" s="818"/>
      <c r="AN43" s="818"/>
      <c r="AO43" s="818"/>
      <c r="AP43" s="818"/>
      <c r="AQ43" s="818"/>
      <c r="AR43" s="819"/>
      <c r="AS43" s="817" t="s">
        <v>64</v>
      </c>
      <c r="AT43" s="818"/>
      <c r="AU43" s="818"/>
      <c r="AV43" s="818"/>
      <c r="AW43" s="818"/>
      <c r="AX43" s="818"/>
      <c r="AY43" s="818"/>
      <c r="AZ43" s="818"/>
      <c r="BA43" s="818"/>
      <c r="BB43" s="818"/>
      <c r="BC43" s="819"/>
    </row>
    <row r="44" spans="1:55" ht="22.8" customHeight="1" thickBot="1" x14ac:dyDescent="0.3">
      <c r="A44" s="79"/>
      <c r="B44" s="53"/>
      <c r="C44" s="53"/>
      <c r="D44" s="80"/>
      <c r="E44" s="80"/>
      <c r="F44" s="80"/>
      <c r="G44" s="80"/>
      <c r="H44" s="80"/>
      <c r="J44" s="80"/>
      <c r="K44" s="82"/>
      <c r="L44" s="79"/>
      <c r="M44" s="53"/>
      <c r="N44" s="53"/>
      <c r="O44" s="80"/>
      <c r="P44" s="80"/>
      <c r="Q44" s="80"/>
      <c r="R44" s="80"/>
      <c r="S44" s="80"/>
      <c r="U44" s="80"/>
      <c r="V44" s="82"/>
      <c r="W44" s="79"/>
      <c r="X44" s="53"/>
      <c r="Y44" s="53"/>
      <c r="Z44" s="80"/>
      <c r="AA44" s="80"/>
      <c r="AB44" s="80"/>
      <c r="AC44" s="80"/>
      <c r="AD44" s="80"/>
      <c r="AF44" s="80"/>
      <c r="AG44" s="82"/>
      <c r="AH44" s="79"/>
      <c r="AI44" s="53"/>
      <c r="AJ44" s="53"/>
      <c r="AK44" s="80"/>
      <c r="AL44" s="80"/>
      <c r="AM44" s="80"/>
      <c r="AN44" s="80"/>
      <c r="AO44" s="80"/>
      <c r="AQ44" s="80"/>
      <c r="AR44" s="82"/>
      <c r="AS44" s="79"/>
      <c r="AT44" s="53"/>
      <c r="AU44" s="53"/>
      <c r="AV44" s="80"/>
      <c r="AW44" s="80"/>
      <c r="AX44" s="80"/>
      <c r="AY44" s="80"/>
      <c r="AZ44" s="80"/>
      <c r="BB44" s="80"/>
      <c r="BC44" s="82"/>
    </row>
    <row r="45" spans="1:55" ht="22.8" customHeight="1" thickBot="1" x14ac:dyDescent="0.3">
      <c r="A45" s="83"/>
      <c r="B45" s="93" t="s">
        <v>14</v>
      </c>
      <c r="C45" s="52"/>
      <c r="D45" s="744">
        <v>0.2</v>
      </c>
      <c r="E45" s="85"/>
      <c r="F45" s="8" t="s">
        <v>220</v>
      </c>
      <c r="G45" s="85"/>
      <c r="H45" s="85"/>
      <c r="I45" s="797" t="s">
        <v>222</v>
      </c>
      <c r="J45" s="85"/>
      <c r="K45" s="88"/>
      <c r="L45" s="83"/>
      <c r="M45" s="93" t="s">
        <v>14</v>
      </c>
      <c r="N45" s="52"/>
      <c r="O45" s="412">
        <v>0.2</v>
      </c>
      <c r="P45" s="85"/>
      <c r="Q45" s="362" t="s">
        <v>220</v>
      </c>
      <c r="R45" s="85"/>
      <c r="S45" s="85"/>
      <c r="T45" s="797" t="s">
        <v>222</v>
      </c>
      <c r="U45" s="85"/>
      <c r="V45" s="88"/>
      <c r="W45" s="83"/>
      <c r="X45" s="93" t="s">
        <v>14</v>
      </c>
      <c r="Y45" s="52"/>
      <c r="Z45" s="375">
        <v>0.15</v>
      </c>
      <c r="AA45" s="85"/>
      <c r="AB45" s="362" t="s">
        <v>220</v>
      </c>
      <c r="AC45" s="85"/>
      <c r="AD45" s="85"/>
      <c r="AE45" s="797" t="s">
        <v>222</v>
      </c>
      <c r="AF45" s="85"/>
      <c r="AG45" s="88"/>
      <c r="AH45" s="83"/>
      <c r="AI45" s="93" t="s">
        <v>14</v>
      </c>
      <c r="AJ45" s="52"/>
      <c r="AK45" s="392">
        <v>0.1</v>
      </c>
      <c r="AL45" s="85"/>
      <c r="AM45" s="362" t="s">
        <v>220</v>
      </c>
      <c r="AN45" s="85"/>
      <c r="AO45" s="85"/>
      <c r="AP45" s="797" t="s">
        <v>222</v>
      </c>
      <c r="AQ45" s="85"/>
      <c r="AR45" s="88"/>
      <c r="AS45" s="83"/>
      <c r="AT45" s="93" t="s">
        <v>14</v>
      </c>
      <c r="AU45" s="52"/>
      <c r="AV45" s="177">
        <v>0.1</v>
      </c>
      <c r="AW45" s="85"/>
      <c r="AX45" s="362" t="s">
        <v>220</v>
      </c>
      <c r="AY45" s="85"/>
      <c r="AZ45" s="85"/>
      <c r="BA45" s="797" t="s">
        <v>222</v>
      </c>
      <c r="BB45" s="85"/>
      <c r="BC45" s="88"/>
    </row>
    <row r="46" spans="1:55" ht="22.8" customHeight="1" thickBot="1" x14ac:dyDescent="0.3">
      <c r="A46" s="83"/>
      <c r="B46" s="93" t="s">
        <v>221</v>
      </c>
      <c r="C46" s="85"/>
      <c r="D46" s="100"/>
      <c r="E46" s="316" t="s">
        <v>86</v>
      </c>
      <c r="F46" s="315" t="s">
        <v>324</v>
      </c>
      <c r="G46" s="316" t="s">
        <v>323</v>
      </c>
      <c r="H46" s="85"/>
      <c r="I46" s="798"/>
      <c r="J46" s="713" t="s">
        <v>124</v>
      </c>
      <c r="K46" s="191"/>
      <c r="L46" s="83"/>
      <c r="M46" s="93" t="s">
        <v>221</v>
      </c>
      <c r="N46" s="85"/>
      <c r="O46" s="100"/>
      <c r="P46" s="362" t="s">
        <v>86</v>
      </c>
      <c r="Q46" s="361" t="s">
        <v>324</v>
      </c>
      <c r="R46" s="362" t="s">
        <v>323</v>
      </c>
      <c r="S46" s="85"/>
      <c r="T46" s="798"/>
      <c r="U46" s="713" t="s">
        <v>124</v>
      </c>
      <c r="V46" s="191"/>
      <c r="W46" s="83"/>
      <c r="X46" s="93" t="s">
        <v>221</v>
      </c>
      <c r="Y46" s="85"/>
      <c r="Z46" s="100"/>
      <c r="AA46" s="362" t="s">
        <v>86</v>
      </c>
      <c r="AB46" s="361" t="s">
        <v>324</v>
      </c>
      <c r="AC46" s="362" t="s">
        <v>323</v>
      </c>
      <c r="AD46" s="85"/>
      <c r="AE46" s="798"/>
      <c r="AF46" s="713" t="s">
        <v>124</v>
      </c>
      <c r="AG46" s="191"/>
      <c r="AH46" s="83"/>
      <c r="AI46" s="93" t="s">
        <v>221</v>
      </c>
      <c r="AJ46" s="85"/>
      <c r="AK46" s="100"/>
      <c r="AL46" s="362" t="s">
        <v>86</v>
      </c>
      <c r="AM46" s="361" t="s">
        <v>324</v>
      </c>
      <c r="AN46" s="362" t="s">
        <v>323</v>
      </c>
      <c r="AO46" s="85"/>
      <c r="AP46" s="798"/>
      <c r="AQ46" s="713" t="s">
        <v>124</v>
      </c>
      <c r="AR46" s="191"/>
      <c r="AS46" s="83"/>
      <c r="AT46" s="93" t="s">
        <v>221</v>
      </c>
      <c r="AU46" s="85"/>
      <c r="AV46" s="100"/>
      <c r="AW46" s="362" t="s">
        <v>86</v>
      </c>
      <c r="AX46" s="361" t="s">
        <v>324</v>
      </c>
      <c r="AY46" s="362" t="s">
        <v>323</v>
      </c>
      <c r="AZ46" s="85"/>
      <c r="BA46" s="798"/>
      <c r="BB46" s="713" t="s">
        <v>124</v>
      </c>
      <c r="BC46" s="88"/>
    </row>
    <row r="47" spans="1:55" ht="22.8" customHeight="1" x14ac:dyDescent="0.25">
      <c r="A47" s="83"/>
      <c r="B47" s="12" t="str">
        <f>B20</f>
        <v>Collecte</v>
      </c>
      <c r="C47" s="54" t="str">
        <f>C20</f>
        <v>Court terme</v>
      </c>
      <c r="D47" s="714">
        <v>0.3</v>
      </c>
      <c r="E47" s="318">
        <f>Scénario!C3</f>
        <v>0.2</v>
      </c>
      <c r="F47" s="311">
        <f>Calcul!C57</f>
        <v>1</v>
      </c>
      <c r="G47" s="721"/>
      <c r="H47" s="94"/>
      <c r="I47" s="714">
        <v>0.05</v>
      </c>
      <c r="J47" s="168">
        <f>IF(D47&lt;&gt;0,Constantes!$E10,0)</f>
        <v>7.0000000000000007E-2</v>
      </c>
      <c r="K47" s="322"/>
      <c r="L47" s="83"/>
      <c r="M47" s="12" t="str">
        <f>M20</f>
        <v>Collecte</v>
      </c>
      <c r="N47" s="54" t="str">
        <f>N20</f>
        <v>Court terme</v>
      </c>
      <c r="O47" s="416">
        <v>0.15</v>
      </c>
      <c r="P47" s="318">
        <f>Scénario!D3</f>
        <v>0.2</v>
      </c>
      <c r="Q47" s="311">
        <f>Calcul!N57</f>
        <v>1</v>
      </c>
      <c r="R47" s="419"/>
      <c r="S47" s="94"/>
      <c r="T47" s="416">
        <v>0.15</v>
      </c>
      <c r="U47" s="168">
        <f>IF(O47&lt;&gt;0,Constantes!$E10,0)</f>
        <v>7.0000000000000007E-2</v>
      </c>
      <c r="V47" s="322"/>
      <c r="W47" s="83"/>
      <c r="X47" s="12" t="str">
        <f>X20</f>
        <v>Collecte</v>
      </c>
      <c r="Y47" s="54" t="str">
        <f>Y20</f>
        <v>Court terme</v>
      </c>
      <c r="Z47" s="379">
        <v>0.15</v>
      </c>
      <c r="AA47" s="318">
        <f>Scénario!E3</f>
        <v>0.2</v>
      </c>
      <c r="AB47" s="311">
        <f>Calcul!Y57</f>
        <v>1</v>
      </c>
      <c r="AC47" s="382"/>
      <c r="AD47" s="94"/>
      <c r="AE47" s="379">
        <v>0.15</v>
      </c>
      <c r="AF47" s="168">
        <f>IF(Z47&lt;&gt;0,Constantes!$E10,0)</f>
        <v>7.0000000000000007E-2</v>
      </c>
      <c r="AG47" s="322"/>
      <c r="AH47" s="83"/>
      <c r="AI47" s="12" t="str">
        <f>AI20</f>
        <v>Collecte</v>
      </c>
      <c r="AJ47" s="54" t="str">
        <f>AJ20</f>
        <v>Court terme</v>
      </c>
      <c r="AK47" s="396">
        <v>0.1</v>
      </c>
      <c r="AL47" s="318">
        <f>Scénario!F3</f>
        <v>0.3</v>
      </c>
      <c r="AM47" s="311">
        <f>Calcul!AJ57</f>
        <v>1</v>
      </c>
      <c r="AN47" s="399">
        <v>1</v>
      </c>
      <c r="AO47" s="94"/>
      <c r="AP47" s="396">
        <v>0.15</v>
      </c>
      <c r="AQ47" s="168">
        <f>IF(AK47&lt;&gt;0,Constantes!$E10,0)</f>
        <v>7.0000000000000007E-2</v>
      </c>
      <c r="AR47" s="322"/>
      <c r="AS47" s="83"/>
      <c r="AT47" s="12" t="str">
        <f>AT20</f>
        <v>Collecte</v>
      </c>
      <c r="AU47" s="54" t="str">
        <f>AU20</f>
        <v>Court terme</v>
      </c>
      <c r="AV47" s="178">
        <v>0.1</v>
      </c>
      <c r="AW47" s="318">
        <f>Scénario!G3</f>
        <v>0.2</v>
      </c>
      <c r="AX47" s="311">
        <f>Calcul!AU57</f>
        <v>2</v>
      </c>
      <c r="AY47" s="319"/>
      <c r="AZ47" s="94"/>
      <c r="BA47" s="178">
        <v>0.15</v>
      </c>
      <c r="BB47" s="168">
        <f>IF(AV47&lt;&gt;0,Constantes!$E10,0)</f>
        <v>7.0000000000000007E-2</v>
      </c>
      <c r="BC47" s="88"/>
    </row>
    <row r="48" spans="1:55" ht="22.8" customHeight="1" thickBot="1" x14ac:dyDescent="0.3">
      <c r="A48" s="83"/>
      <c r="B48" s="15"/>
      <c r="C48" s="56" t="str">
        <f t="shared" ref="C48:C56" si="4">C21</f>
        <v>Moyen et long terme</v>
      </c>
      <c r="D48" s="716">
        <v>0</v>
      </c>
      <c r="E48" s="318">
        <f>Scénario!C4</f>
        <v>0</v>
      </c>
      <c r="F48" s="311">
        <f>Calcul!C58</f>
        <v>0</v>
      </c>
      <c r="G48" s="722"/>
      <c r="I48" s="716">
        <v>0</v>
      </c>
      <c r="J48" s="168">
        <f>IF(D48&lt;&gt;0,Constantes!$E11,0)</f>
        <v>0</v>
      </c>
      <c r="K48" s="322"/>
      <c r="L48" s="83"/>
      <c r="M48" s="15"/>
      <c r="N48" s="56" t="str">
        <f t="shared" ref="N48:N56" si="5">N21</f>
        <v>Moyen et long terme</v>
      </c>
      <c r="O48" s="417"/>
      <c r="P48" s="318">
        <f>Scénario!D4</f>
        <v>0</v>
      </c>
      <c r="Q48" s="311">
        <f>Calcul!N58</f>
        <v>0</v>
      </c>
      <c r="R48" s="420">
        <v>1</v>
      </c>
      <c r="S48" s="22"/>
      <c r="T48" s="417"/>
      <c r="U48" s="168">
        <f>IF(O48&lt;&gt;0,Constantes!$E11,0)</f>
        <v>0</v>
      </c>
      <c r="V48" s="322"/>
      <c r="W48" s="83"/>
      <c r="X48" s="15"/>
      <c r="Y48" s="56" t="str">
        <f t="shared" ref="Y48:Y56" si="6">Y21</f>
        <v>Moyen et long terme</v>
      </c>
      <c r="Z48" s="380">
        <v>0.1</v>
      </c>
      <c r="AA48" s="318">
        <f>Scénario!E4</f>
        <v>0.1</v>
      </c>
      <c r="AB48" s="311">
        <f>Calcul!Y58</f>
        <v>1</v>
      </c>
      <c r="AC48" s="383"/>
      <c r="AD48" s="22"/>
      <c r="AE48" s="380">
        <v>0.2</v>
      </c>
      <c r="AF48" s="168">
        <f>IF(Z48&lt;&gt;0,Constantes!$E11,0)</f>
        <v>0.12</v>
      </c>
      <c r="AG48" s="322"/>
      <c r="AH48" s="83"/>
      <c r="AI48" s="15"/>
      <c r="AJ48" s="56" t="str">
        <f t="shared" ref="AJ48:AJ56" si="7">AJ21</f>
        <v>Moyen et long terme</v>
      </c>
      <c r="AK48" s="397">
        <v>0.1</v>
      </c>
      <c r="AL48" s="318">
        <f>Scénario!F4</f>
        <v>0.15</v>
      </c>
      <c r="AM48" s="311">
        <f>Calcul!AJ58</f>
        <v>1</v>
      </c>
      <c r="AN48" s="400"/>
      <c r="AO48" s="22"/>
      <c r="AP48" s="397">
        <v>0.2</v>
      </c>
      <c r="AQ48" s="168">
        <f>IF(AK48&lt;&gt;0,Constantes!$E11,0)</f>
        <v>0.12</v>
      </c>
      <c r="AR48" s="322"/>
      <c r="AS48" s="83"/>
      <c r="AT48" s="15"/>
      <c r="AU48" s="56" t="str">
        <f t="shared" ref="AU48:AU56" si="8">AU21</f>
        <v>Moyen et long terme</v>
      </c>
      <c r="AV48" s="179">
        <v>0.1</v>
      </c>
      <c r="AW48" s="318">
        <f>Scénario!G4</f>
        <v>0.1</v>
      </c>
      <c r="AX48" s="311">
        <f>Calcul!AU58</f>
        <v>1</v>
      </c>
      <c r="AY48" s="320"/>
      <c r="AZ48" s="22"/>
      <c r="BA48" s="179">
        <v>0.2</v>
      </c>
      <c r="BB48" s="168">
        <f>IF(AV48&lt;&gt;0,Constantes!$E11,0)</f>
        <v>0.12</v>
      </c>
      <c r="BC48" s="88"/>
    </row>
    <row r="49" spans="1:55" ht="22.8" customHeight="1" x14ac:dyDescent="0.25">
      <c r="A49" s="83"/>
      <c r="B49" s="12" t="str">
        <f>B22</f>
        <v>Crédit</v>
      </c>
      <c r="C49" s="54" t="str">
        <f t="shared" si="4"/>
        <v>Immobilier</v>
      </c>
      <c r="D49" s="714">
        <v>0</v>
      </c>
      <c r="E49" s="318">
        <f>Scénario!C5</f>
        <v>0</v>
      </c>
      <c r="F49" s="311">
        <f>Calcul!C59</f>
        <v>0</v>
      </c>
      <c r="G49" s="721"/>
      <c r="H49" s="85"/>
      <c r="I49" s="714">
        <v>0</v>
      </c>
      <c r="J49" s="168">
        <f>IF(D49&lt;&gt;0,Constantes!$E12,0)</f>
        <v>0</v>
      </c>
      <c r="K49" s="322"/>
      <c r="L49" s="83"/>
      <c r="M49" s="12" t="str">
        <f>M22</f>
        <v>Crédit</v>
      </c>
      <c r="N49" s="54" t="str">
        <f t="shared" si="5"/>
        <v>Immobilier</v>
      </c>
      <c r="O49" s="416"/>
      <c r="P49" s="318">
        <f>Scénario!D5</f>
        <v>0</v>
      </c>
      <c r="Q49" s="311">
        <f>Calcul!N59</f>
        <v>0</v>
      </c>
      <c r="R49" s="419"/>
      <c r="S49" s="85"/>
      <c r="T49" s="416"/>
      <c r="U49" s="168">
        <f>IF(O49&lt;&gt;0,Constantes!$E12,0)</f>
        <v>0</v>
      </c>
      <c r="V49" s="322"/>
      <c r="W49" s="83"/>
      <c r="X49" s="12" t="str">
        <f>X22</f>
        <v>Crédit</v>
      </c>
      <c r="Y49" s="54" t="str">
        <f t="shared" si="6"/>
        <v>Immobilier</v>
      </c>
      <c r="Z49" s="379"/>
      <c r="AA49" s="318">
        <f>Scénario!E5</f>
        <v>0.25</v>
      </c>
      <c r="AB49" s="311">
        <f>Calcul!Y59</f>
        <v>0</v>
      </c>
      <c r="AC49" s="382">
        <v>1</v>
      </c>
      <c r="AD49" s="85"/>
      <c r="AE49" s="379"/>
      <c r="AF49" s="168">
        <f>IF(Z49&lt;&gt;0,Constantes!$E12,0)</f>
        <v>0</v>
      </c>
      <c r="AG49" s="322"/>
      <c r="AH49" s="83"/>
      <c r="AI49" s="12" t="str">
        <f>AI22</f>
        <v>Crédit</v>
      </c>
      <c r="AJ49" s="54" t="str">
        <f t="shared" si="7"/>
        <v>Immobilier</v>
      </c>
      <c r="AK49" s="396">
        <v>0.05</v>
      </c>
      <c r="AL49" s="318">
        <f>Scénario!F5</f>
        <v>0.05</v>
      </c>
      <c r="AM49" s="311">
        <f>Calcul!AJ59</f>
        <v>1</v>
      </c>
      <c r="AN49" s="399"/>
      <c r="AO49" s="85"/>
      <c r="AP49" s="396">
        <v>0.25</v>
      </c>
      <c r="AQ49" s="168">
        <f>IF(AK49&lt;&gt;0,Constantes!$E12,0)</f>
        <v>0.15</v>
      </c>
      <c r="AR49" s="322"/>
      <c r="AS49" s="83"/>
      <c r="AT49" s="12" t="str">
        <f>AT22</f>
        <v>Crédit</v>
      </c>
      <c r="AU49" s="54" t="str">
        <f t="shared" si="8"/>
        <v>Immobilier</v>
      </c>
      <c r="AV49" s="178">
        <v>0.1</v>
      </c>
      <c r="AW49" s="318">
        <f>Scénario!G5</f>
        <v>0.1</v>
      </c>
      <c r="AX49" s="311">
        <f>Calcul!AU59</f>
        <v>1</v>
      </c>
      <c r="AY49" s="319"/>
      <c r="AZ49" s="85"/>
      <c r="BA49" s="178">
        <v>0.25</v>
      </c>
      <c r="BB49" s="168">
        <f>IF(AV49&lt;&gt;0,Constantes!$E12,0)</f>
        <v>0.15</v>
      </c>
      <c r="BC49" s="88"/>
    </row>
    <row r="50" spans="1:55" ht="22.8" customHeight="1" x14ac:dyDescent="0.25">
      <c r="A50" s="83"/>
      <c r="B50" s="17"/>
      <c r="C50" s="57" t="str">
        <f t="shared" si="4"/>
        <v>Consommation</v>
      </c>
      <c r="D50" s="715">
        <v>0.2</v>
      </c>
      <c r="E50" s="318">
        <f>Scénario!C6</f>
        <v>0.1</v>
      </c>
      <c r="F50" s="311">
        <f>Calcul!C60</f>
        <v>1</v>
      </c>
      <c r="G50" s="723"/>
      <c r="H50" s="85"/>
      <c r="I50" s="715">
        <v>0.15</v>
      </c>
      <c r="J50" s="168">
        <f>IF(D50&lt;&gt;0,Constantes!$E13,0)</f>
        <v>7.0000000000000007E-2</v>
      </c>
      <c r="K50" s="322"/>
      <c r="L50" s="83"/>
      <c r="M50" s="17"/>
      <c r="N50" s="57" t="str">
        <f t="shared" si="5"/>
        <v>Consommation</v>
      </c>
      <c r="O50" s="418">
        <v>0.1</v>
      </c>
      <c r="P50" s="318">
        <f>Scénario!D6</f>
        <v>0.1</v>
      </c>
      <c r="Q50" s="311">
        <f>Calcul!N60</f>
        <v>1</v>
      </c>
      <c r="R50" s="421"/>
      <c r="S50" s="85"/>
      <c r="T50" s="418">
        <v>0.15</v>
      </c>
      <c r="U50" s="168">
        <f>IF(O50&lt;&gt;0,Constantes!$E13,0)</f>
        <v>7.0000000000000007E-2</v>
      </c>
      <c r="V50" s="322"/>
      <c r="W50" s="83"/>
      <c r="X50" s="17"/>
      <c r="Y50" s="57" t="str">
        <f t="shared" si="6"/>
        <v>Consommation</v>
      </c>
      <c r="Z50" s="381">
        <v>0.1</v>
      </c>
      <c r="AA50" s="318">
        <f>Scénario!E6</f>
        <v>0.1</v>
      </c>
      <c r="AB50" s="311">
        <f>Calcul!Y60</f>
        <v>1</v>
      </c>
      <c r="AC50" s="384"/>
      <c r="AD50" s="85"/>
      <c r="AE50" s="381">
        <v>0.15</v>
      </c>
      <c r="AF50" s="168">
        <f>IF(Z50&lt;&gt;0,Constantes!$E13,0)</f>
        <v>7.0000000000000007E-2</v>
      </c>
      <c r="AG50" s="322"/>
      <c r="AH50" s="83"/>
      <c r="AI50" s="17"/>
      <c r="AJ50" s="57" t="str">
        <f t="shared" si="7"/>
        <v>Consommation</v>
      </c>
      <c r="AK50" s="398">
        <v>0.1</v>
      </c>
      <c r="AL50" s="318">
        <f>Scénario!F6</f>
        <v>0.15</v>
      </c>
      <c r="AM50" s="311">
        <f>Calcul!AJ60</f>
        <v>1</v>
      </c>
      <c r="AN50" s="401"/>
      <c r="AO50" s="85"/>
      <c r="AP50" s="398">
        <v>0.15</v>
      </c>
      <c r="AQ50" s="168">
        <f>IF(AK50&lt;&gt;0,Constantes!$E13,0)</f>
        <v>7.0000000000000007E-2</v>
      </c>
      <c r="AR50" s="322"/>
      <c r="AS50" s="83"/>
      <c r="AT50" s="17"/>
      <c r="AU50" s="57" t="str">
        <f t="shared" si="8"/>
        <v>Consommation</v>
      </c>
      <c r="AV50" s="180">
        <v>0.05</v>
      </c>
      <c r="AW50" s="318">
        <f>Scénario!G6</f>
        <v>0.15</v>
      </c>
      <c r="AX50" s="311">
        <f>Calcul!AU60</f>
        <v>1</v>
      </c>
      <c r="AY50" s="321">
        <v>1</v>
      </c>
      <c r="AZ50" s="85"/>
      <c r="BA50" s="180">
        <v>0.15</v>
      </c>
      <c r="BB50" s="168">
        <f>IF(AV50&lt;&gt;0,Constantes!$E13,0)</f>
        <v>7.0000000000000007E-2</v>
      </c>
      <c r="BC50" s="88"/>
    </row>
    <row r="51" spans="1:55" ht="22.8" customHeight="1" thickBot="1" x14ac:dyDescent="0.3">
      <c r="A51" s="83"/>
      <c r="B51" s="15"/>
      <c r="C51" s="56" t="str">
        <f t="shared" si="4"/>
        <v>Renouvelable</v>
      </c>
      <c r="D51" s="716">
        <v>0</v>
      </c>
      <c r="E51" s="318">
        <f>Scénario!C7</f>
        <v>0</v>
      </c>
      <c r="F51" s="311">
        <f>Calcul!C61</f>
        <v>0</v>
      </c>
      <c r="G51" s="722">
        <v>1</v>
      </c>
      <c r="H51" s="85"/>
      <c r="I51" s="716">
        <v>0</v>
      </c>
      <c r="J51" s="168">
        <f>IF(D51&lt;&gt;0,Constantes!$E14,0)</f>
        <v>0</v>
      </c>
      <c r="K51" s="322"/>
      <c r="L51" s="83"/>
      <c r="M51" s="15"/>
      <c r="N51" s="56" t="str">
        <f t="shared" si="5"/>
        <v>Renouvelable</v>
      </c>
      <c r="O51" s="417">
        <v>0.1</v>
      </c>
      <c r="P51" s="318">
        <f>Scénario!D7</f>
        <v>0.1</v>
      </c>
      <c r="Q51" s="311">
        <f>Calcul!N61</f>
        <v>1</v>
      </c>
      <c r="R51" s="420"/>
      <c r="S51" s="85"/>
      <c r="T51" s="417">
        <v>0.1</v>
      </c>
      <c r="U51" s="168">
        <f>IF(O51&lt;&gt;0,Constantes!$E14,0)</f>
        <v>0.03</v>
      </c>
      <c r="V51" s="322"/>
      <c r="W51" s="83"/>
      <c r="X51" s="15"/>
      <c r="Y51" s="56" t="str">
        <f t="shared" si="6"/>
        <v>Renouvelable</v>
      </c>
      <c r="Z51" s="380">
        <v>0.1</v>
      </c>
      <c r="AA51" s="318">
        <f>Scénario!E7</f>
        <v>0.15</v>
      </c>
      <c r="AB51" s="311">
        <f>Calcul!Y61</f>
        <v>1</v>
      </c>
      <c r="AC51" s="383"/>
      <c r="AD51" s="85"/>
      <c r="AE51" s="380">
        <v>0.1</v>
      </c>
      <c r="AF51" s="168">
        <f>IF(Z51&lt;&gt;0,Constantes!$E14,0)</f>
        <v>0.03</v>
      </c>
      <c r="AG51" s="322"/>
      <c r="AH51" s="83"/>
      <c r="AI51" s="15"/>
      <c r="AJ51" s="56" t="str">
        <f t="shared" si="7"/>
        <v>Renouvelable</v>
      </c>
      <c r="AK51" s="397">
        <v>0.15</v>
      </c>
      <c r="AL51" s="318">
        <f>Scénario!F7</f>
        <v>0.15</v>
      </c>
      <c r="AM51" s="311">
        <f>Calcul!AJ61</f>
        <v>1</v>
      </c>
      <c r="AN51" s="400"/>
      <c r="AO51" s="85"/>
      <c r="AP51" s="397">
        <v>0.1</v>
      </c>
      <c r="AQ51" s="168">
        <f>IF(AK51&lt;&gt;0,Constantes!$E14,0)</f>
        <v>0.03</v>
      </c>
      <c r="AR51" s="322"/>
      <c r="AS51" s="83"/>
      <c r="AT51" s="15"/>
      <c r="AU51" s="56" t="str">
        <f t="shared" si="8"/>
        <v>Renouvelable</v>
      </c>
      <c r="AV51" s="179">
        <v>0.1</v>
      </c>
      <c r="AW51" s="318">
        <f>Scénario!G7</f>
        <v>0.15</v>
      </c>
      <c r="AX51" s="311">
        <f>Calcul!AU61</f>
        <v>1</v>
      </c>
      <c r="AY51" s="320"/>
      <c r="AZ51" s="85"/>
      <c r="BA51" s="179">
        <v>0.1</v>
      </c>
      <c r="BB51" s="168">
        <f>IF(AV51&lt;&gt;0,Constantes!$E14,0)</f>
        <v>0.03</v>
      </c>
      <c r="BC51" s="88"/>
    </row>
    <row r="52" spans="1:55" ht="22.8" customHeight="1" x14ac:dyDescent="0.25">
      <c r="A52" s="83"/>
      <c r="B52" s="12" t="str">
        <f>B25</f>
        <v>Assurance</v>
      </c>
      <c r="C52" s="54" t="str">
        <f t="shared" si="4"/>
        <v>IARD</v>
      </c>
      <c r="D52" s="714">
        <v>0</v>
      </c>
      <c r="E52" s="318">
        <f>Scénario!C8</f>
        <v>0</v>
      </c>
      <c r="F52" s="311">
        <f>Calcul!C62</f>
        <v>0</v>
      </c>
      <c r="G52" s="721"/>
      <c r="H52" s="85"/>
      <c r="I52" s="714">
        <v>0</v>
      </c>
      <c r="J52" s="168">
        <f>IF(D52&lt;&gt;0,Constantes!$E15,0)</f>
        <v>0</v>
      </c>
      <c r="K52" s="322"/>
      <c r="L52" s="83"/>
      <c r="M52" s="12" t="str">
        <f>M25</f>
        <v>Assurance</v>
      </c>
      <c r="N52" s="54" t="str">
        <f t="shared" si="5"/>
        <v>IARD</v>
      </c>
      <c r="O52" s="416"/>
      <c r="P52" s="318">
        <f>Scénario!D8</f>
        <v>0</v>
      </c>
      <c r="Q52" s="311">
        <f>Calcul!N62</f>
        <v>0</v>
      </c>
      <c r="R52" s="419"/>
      <c r="S52" s="85"/>
      <c r="T52" s="416"/>
      <c r="U52" s="168">
        <f>IF(O52&lt;&gt;0,Constantes!$E15,0)</f>
        <v>0</v>
      </c>
      <c r="V52" s="322"/>
      <c r="W52" s="83"/>
      <c r="X52" s="12" t="str">
        <f>X25</f>
        <v>Assurance</v>
      </c>
      <c r="Y52" s="54" t="str">
        <f t="shared" si="6"/>
        <v>IARD</v>
      </c>
      <c r="Z52" s="379"/>
      <c r="AA52" s="318">
        <f>Scénario!E8</f>
        <v>0.15</v>
      </c>
      <c r="AB52" s="311">
        <f>Calcul!Y62</f>
        <v>0</v>
      </c>
      <c r="AC52" s="382">
        <v>1</v>
      </c>
      <c r="AD52" s="85"/>
      <c r="AE52" s="379"/>
      <c r="AF52" s="168">
        <f>IF(Z52&lt;&gt;0,Constantes!$E15,0)</f>
        <v>0</v>
      </c>
      <c r="AG52" s="322"/>
      <c r="AH52" s="83"/>
      <c r="AI52" s="12" t="str">
        <f>AI25</f>
        <v>Assurance</v>
      </c>
      <c r="AJ52" s="54" t="str">
        <f t="shared" si="7"/>
        <v>IARD</v>
      </c>
      <c r="AK52" s="396">
        <v>0.05</v>
      </c>
      <c r="AL52" s="318">
        <f>Scénario!F8</f>
        <v>0.1</v>
      </c>
      <c r="AM52" s="311">
        <f>Calcul!AJ62</f>
        <v>1</v>
      </c>
      <c r="AN52" s="399"/>
      <c r="AO52" s="85"/>
      <c r="AP52" s="396">
        <v>0.2</v>
      </c>
      <c r="AQ52" s="168">
        <f>IF(AK52&lt;&gt;0,Constantes!$E15,0)</f>
        <v>0.12</v>
      </c>
      <c r="AR52" s="322"/>
      <c r="AS52" s="83"/>
      <c r="AT52" s="12" t="str">
        <f>AT25</f>
        <v>Assurance</v>
      </c>
      <c r="AU52" s="54" t="str">
        <f t="shared" si="8"/>
        <v>IARD</v>
      </c>
      <c r="AV52" s="178">
        <v>0.1</v>
      </c>
      <c r="AW52" s="318">
        <f>Scénario!G8</f>
        <v>0.2</v>
      </c>
      <c r="AX52" s="311">
        <f>Calcul!AU62</f>
        <v>1</v>
      </c>
      <c r="AY52" s="319"/>
      <c r="AZ52" s="85"/>
      <c r="BA52" s="178">
        <v>0.2</v>
      </c>
      <c r="BB52" s="168">
        <f>IF(AV52&lt;&gt;0,Constantes!$E15,0)</f>
        <v>0.12</v>
      </c>
      <c r="BC52" s="88"/>
    </row>
    <row r="53" spans="1:55" ht="22.8" customHeight="1" thickBot="1" x14ac:dyDescent="0.3">
      <c r="A53" s="83"/>
      <c r="B53" s="15"/>
      <c r="C53" s="56" t="str">
        <f t="shared" si="4"/>
        <v>Prévoyance</v>
      </c>
      <c r="D53" s="716">
        <v>0</v>
      </c>
      <c r="E53" s="318">
        <f>Scénario!C9</f>
        <v>0</v>
      </c>
      <c r="F53" s="311">
        <f>Calcul!C63</f>
        <v>0</v>
      </c>
      <c r="G53" s="722"/>
      <c r="H53" s="85"/>
      <c r="I53" s="716">
        <v>0</v>
      </c>
      <c r="J53" s="168">
        <f>IF(D53&lt;&gt;0,Constantes!$E16,0)</f>
        <v>0</v>
      </c>
      <c r="K53" s="322"/>
      <c r="L53" s="83"/>
      <c r="M53" s="15"/>
      <c r="N53" s="56" t="str">
        <f t="shared" si="5"/>
        <v>Prévoyance</v>
      </c>
      <c r="O53" s="417"/>
      <c r="P53" s="318">
        <f>Scénario!D9</f>
        <v>0</v>
      </c>
      <c r="Q53" s="311">
        <f>Calcul!N63</f>
        <v>0</v>
      </c>
      <c r="R53" s="420"/>
      <c r="S53" s="85"/>
      <c r="T53" s="417"/>
      <c r="U53" s="168">
        <f>IF(O53&lt;&gt;0,Constantes!$E16,0)</f>
        <v>0</v>
      </c>
      <c r="V53" s="322"/>
      <c r="W53" s="83"/>
      <c r="X53" s="15"/>
      <c r="Y53" s="56" t="str">
        <f t="shared" si="6"/>
        <v>Prévoyance</v>
      </c>
      <c r="Z53" s="380"/>
      <c r="AA53" s="318">
        <f>Scénario!E9</f>
        <v>0.1</v>
      </c>
      <c r="AB53" s="311">
        <f>Calcul!Y63</f>
        <v>0</v>
      </c>
      <c r="AC53" s="383"/>
      <c r="AD53" s="85"/>
      <c r="AE53" s="380"/>
      <c r="AF53" s="168">
        <f>IF(Z53&lt;&gt;0,Constantes!$E16,0)</f>
        <v>0</v>
      </c>
      <c r="AG53" s="322"/>
      <c r="AH53" s="83"/>
      <c r="AI53" s="15"/>
      <c r="AJ53" s="56" t="str">
        <f t="shared" si="7"/>
        <v>Prévoyance</v>
      </c>
      <c r="AK53" s="397"/>
      <c r="AL53" s="318">
        <f>Scénario!F9</f>
        <v>0.1</v>
      </c>
      <c r="AM53" s="311">
        <f>Calcul!AJ63</f>
        <v>0</v>
      </c>
      <c r="AN53" s="400">
        <v>1</v>
      </c>
      <c r="AO53" s="85"/>
      <c r="AP53" s="397"/>
      <c r="AQ53" s="168">
        <f>IF(AK53&lt;&gt;0,Constantes!$E16,0)</f>
        <v>0</v>
      </c>
      <c r="AR53" s="322"/>
      <c r="AS53" s="83"/>
      <c r="AT53" s="15"/>
      <c r="AU53" s="56" t="str">
        <f t="shared" si="8"/>
        <v>Prévoyance</v>
      </c>
      <c r="AV53" s="179">
        <v>0.05</v>
      </c>
      <c r="AW53" s="318">
        <f>Scénario!G9</f>
        <v>0.1</v>
      </c>
      <c r="AX53" s="311">
        <f>Calcul!AU63</f>
        <v>1</v>
      </c>
      <c r="AY53" s="320"/>
      <c r="AZ53" s="85"/>
      <c r="BA53" s="179">
        <v>0.2</v>
      </c>
      <c r="BB53" s="168">
        <f>IF(AV53&lt;&gt;0,Constantes!$E16,0)</f>
        <v>0.12</v>
      </c>
      <c r="BC53" s="88"/>
    </row>
    <row r="54" spans="1:55" ht="22.8" customHeight="1" x14ac:dyDescent="0.25">
      <c r="A54" s="83"/>
      <c r="B54" s="12" t="str">
        <f>B27</f>
        <v>Services</v>
      </c>
      <c r="C54" s="54" t="str">
        <f t="shared" si="4"/>
        <v>Moyens de paiement</v>
      </c>
      <c r="D54" s="714">
        <v>0.1</v>
      </c>
      <c r="E54" s="318">
        <f>Scénario!C10</f>
        <v>0.45</v>
      </c>
      <c r="F54" s="311">
        <f>Calcul!C64</f>
        <v>1</v>
      </c>
      <c r="G54" s="721"/>
      <c r="H54" s="85"/>
      <c r="I54" s="714">
        <v>0.2</v>
      </c>
      <c r="J54" s="168">
        <f>IF(D54&lt;&gt;0,Constantes!$E17,0)</f>
        <v>0.03</v>
      </c>
      <c r="K54" s="322"/>
      <c r="L54" s="83"/>
      <c r="M54" s="12" t="str">
        <f>M27</f>
        <v>Services</v>
      </c>
      <c r="N54" s="54" t="str">
        <f t="shared" si="5"/>
        <v>Moyens de paiement</v>
      </c>
      <c r="O54" s="416">
        <v>0.4</v>
      </c>
      <c r="P54" s="318">
        <f>Scénario!D10</f>
        <v>0.45</v>
      </c>
      <c r="Q54" s="311">
        <f>Calcul!N64</f>
        <v>1</v>
      </c>
      <c r="R54" s="419"/>
      <c r="S54" s="85"/>
      <c r="T54" s="416">
        <v>0.1</v>
      </c>
      <c r="U54" s="168">
        <f>IF(O54&lt;&gt;0,Constantes!$E17,0)</f>
        <v>0.03</v>
      </c>
      <c r="V54" s="322"/>
      <c r="W54" s="83"/>
      <c r="X54" s="12" t="str">
        <f>X27</f>
        <v>Services</v>
      </c>
      <c r="Y54" s="54" t="str">
        <f t="shared" si="6"/>
        <v>Moyens de paiement</v>
      </c>
      <c r="Z54" s="379">
        <v>0.2</v>
      </c>
      <c r="AA54" s="318">
        <f>Scénario!E10</f>
        <v>0.3</v>
      </c>
      <c r="AB54" s="311">
        <f>Calcul!Y64</f>
        <v>1</v>
      </c>
      <c r="AC54" s="382"/>
      <c r="AD54" s="85"/>
      <c r="AE54" s="379">
        <v>0.1</v>
      </c>
      <c r="AF54" s="168">
        <f>IF(Z54&lt;&gt;0,Constantes!$E17,0)</f>
        <v>0.03</v>
      </c>
      <c r="AG54" s="322"/>
      <c r="AH54" s="83"/>
      <c r="AI54" s="12" t="str">
        <f>AI27</f>
        <v>Services</v>
      </c>
      <c r="AJ54" s="54" t="str">
        <f t="shared" si="7"/>
        <v>Moyens de paiement</v>
      </c>
      <c r="AK54" s="396">
        <v>0.2</v>
      </c>
      <c r="AL54" s="318">
        <f>Scénario!F10</f>
        <v>0.45</v>
      </c>
      <c r="AM54" s="311">
        <f>Calcul!AJ64</f>
        <v>1</v>
      </c>
      <c r="AN54" s="399"/>
      <c r="AO54" s="85"/>
      <c r="AP54" s="396">
        <v>0.1</v>
      </c>
      <c r="AQ54" s="168">
        <f>IF(AK54&lt;&gt;0,Constantes!$E17,0)</f>
        <v>0.03</v>
      </c>
      <c r="AR54" s="322"/>
      <c r="AS54" s="83"/>
      <c r="AT54" s="12" t="str">
        <f>AT27</f>
        <v>Services</v>
      </c>
      <c r="AU54" s="54" t="str">
        <f t="shared" si="8"/>
        <v>Moyens de paiement</v>
      </c>
      <c r="AV54" s="178">
        <v>0.2</v>
      </c>
      <c r="AW54" s="318">
        <f>Scénario!G10</f>
        <v>0.35</v>
      </c>
      <c r="AX54" s="311">
        <f>Calcul!AU64</f>
        <v>1</v>
      </c>
      <c r="AY54" s="319"/>
      <c r="AZ54" s="85"/>
      <c r="BA54" s="178">
        <v>0.1</v>
      </c>
      <c r="BB54" s="168">
        <f>IF(AV54&lt;&gt;0,Constantes!$E17,0)</f>
        <v>0.03</v>
      </c>
      <c r="BC54" s="88"/>
    </row>
    <row r="55" spans="1:55" ht="22.8" customHeight="1" x14ac:dyDescent="0.25">
      <c r="A55" s="83"/>
      <c r="B55" s="17"/>
      <c r="C55" s="57" t="str">
        <f t="shared" si="4"/>
        <v>Ouverture compte</v>
      </c>
      <c r="D55" s="715">
        <v>0.4</v>
      </c>
      <c r="E55" s="318">
        <f>Scénario!C11</f>
        <v>0.45</v>
      </c>
      <c r="F55" s="311">
        <f>Calcul!C65</f>
        <v>1</v>
      </c>
      <c r="G55" s="723"/>
      <c r="H55" s="85"/>
      <c r="I55" s="715">
        <v>0.2</v>
      </c>
      <c r="J55" s="168">
        <f>IF(D55&lt;&gt;0,Constantes!$E18,0)</f>
        <v>0</v>
      </c>
      <c r="K55" s="322"/>
      <c r="L55" s="83"/>
      <c r="M55" s="17"/>
      <c r="N55" s="57" t="str">
        <f t="shared" si="5"/>
        <v>Ouverture compte</v>
      </c>
      <c r="O55" s="418">
        <v>0.25</v>
      </c>
      <c r="P55" s="318">
        <f>Scénario!D11</f>
        <v>0.35</v>
      </c>
      <c r="Q55" s="311">
        <f>Calcul!N65</f>
        <v>1</v>
      </c>
      <c r="R55" s="421"/>
      <c r="S55" s="85"/>
      <c r="T55" s="418">
        <v>0.05</v>
      </c>
      <c r="U55" s="168">
        <f>IF(O55&lt;&gt;0,Constantes!$E18,0)</f>
        <v>0</v>
      </c>
      <c r="V55" s="322"/>
      <c r="W55" s="83"/>
      <c r="X55" s="17"/>
      <c r="Y55" s="57" t="str">
        <f t="shared" si="6"/>
        <v>Ouverture compte</v>
      </c>
      <c r="Z55" s="381">
        <v>0.2</v>
      </c>
      <c r="AA55" s="318">
        <f>Scénario!E11</f>
        <v>0.25</v>
      </c>
      <c r="AB55" s="311">
        <f>Calcul!Y65</f>
        <v>1</v>
      </c>
      <c r="AC55" s="384"/>
      <c r="AD55" s="85"/>
      <c r="AE55" s="381">
        <v>0.05</v>
      </c>
      <c r="AF55" s="168">
        <f>IF(Z55&lt;&gt;0,Constantes!$E18,0)</f>
        <v>0</v>
      </c>
      <c r="AG55" s="322"/>
      <c r="AH55" s="83"/>
      <c r="AI55" s="17"/>
      <c r="AJ55" s="57" t="str">
        <f t="shared" si="7"/>
        <v>Ouverture compte</v>
      </c>
      <c r="AK55" s="398">
        <v>0.15</v>
      </c>
      <c r="AL55" s="318">
        <f>Scénario!F11</f>
        <v>0.2</v>
      </c>
      <c r="AM55" s="311">
        <f>Calcul!AJ65</f>
        <v>1</v>
      </c>
      <c r="AN55" s="401"/>
      <c r="AO55" s="85"/>
      <c r="AP55" s="398">
        <v>0.05</v>
      </c>
      <c r="AQ55" s="168">
        <f>IF(AK55&lt;&gt;0,Constantes!$E18,0)</f>
        <v>0</v>
      </c>
      <c r="AR55" s="322"/>
      <c r="AS55" s="83"/>
      <c r="AT55" s="17"/>
      <c r="AU55" s="57" t="str">
        <f t="shared" si="8"/>
        <v>Ouverture compte</v>
      </c>
      <c r="AV55" s="180">
        <v>0.1</v>
      </c>
      <c r="AW55" s="318">
        <f>Scénario!G11</f>
        <v>0.3</v>
      </c>
      <c r="AX55" s="311">
        <f>Calcul!AU65</f>
        <v>1</v>
      </c>
      <c r="AY55" s="321">
        <v>1</v>
      </c>
      <c r="AZ55" s="85"/>
      <c r="BA55" s="180">
        <v>0.05</v>
      </c>
      <c r="BB55" s="168">
        <f>IF(AV55&lt;&gt;0,Constantes!$E18,0)</f>
        <v>0</v>
      </c>
      <c r="BC55" s="88"/>
    </row>
    <row r="56" spans="1:55" ht="22.8" customHeight="1" thickBot="1" x14ac:dyDescent="0.3">
      <c r="A56" s="83"/>
      <c r="B56" s="15"/>
      <c r="C56" s="56" t="str">
        <f t="shared" si="4"/>
        <v>Téléphonie</v>
      </c>
      <c r="D56" s="716">
        <v>0</v>
      </c>
      <c r="E56" s="318">
        <f>Scénario!C12</f>
        <v>0</v>
      </c>
      <c r="F56" s="311">
        <f>Calcul!C66</f>
        <v>0</v>
      </c>
      <c r="G56" s="722"/>
      <c r="H56" s="85"/>
      <c r="I56" s="716">
        <v>0</v>
      </c>
      <c r="J56" s="168">
        <f>IF(D56&lt;&gt;0,Constantes!$E19,0)</f>
        <v>0</v>
      </c>
      <c r="K56" s="322"/>
      <c r="L56" s="83"/>
      <c r="M56" s="15"/>
      <c r="N56" s="56" t="str">
        <f t="shared" si="5"/>
        <v>Téléphonie</v>
      </c>
      <c r="O56" s="417"/>
      <c r="P56" s="318">
        <f>Scénario!D12</f>
        <v>0</v>
      </c>
      <c r="Q56" s="311">
        <f>Calcul!N66</f>
        <v>0</v>
      </c>
      <c r="R56" s="420">
        <v>1</v>
      </c>
      <c r="S56" s="85"/>
      <c r="T56" s="417"/>
      <c r="U56" s="168">
        <f>IF(O56&lt;&gt;0,Constantes!$E19,0)</f>
        <v>0</v>
      </c>
      <c r="V56" s="322"/>
      <c r="W56" s="83"/>
      <c r="X56" s="15"/>
      <c r="Y56" s="56" t="str">
        <f t="shared" si="6"/>
        <v>Téléphonie</v>
      </c>
      <c r="Z56" s="380">
        <v>0.15</v>
      </c>
      <c r="AA56" s="318">
        <f>Scénario!E12</f>
        <v>0.2</v>
      </c>
      <c r="AB56" s="311">
        <f>Calcul!Y66</f>
        <v>1</v>
      </c>
      <c r="AC56" s="383"/>
      <c r="AD56" s="85"/>
      <c r="AE56" s="380">
        <v>0.15</v>
      </c>
      <c r="AF56" s="168">
        <f>IF(Z56&lt;&gt;0,Constantes!$E19,0)</f>
        <v>0.03</v>
      </c>
      <c r="AG56" s="322"/>
      <c r="AH56" s="83"/>
      <c r="AI56" s="15"/>
      <c r="AJ56" s="56" t="str">
        <f t="shared" si="7"/>
        <v>Téléphonie</v>
      </c>
      <c r="AK56" s="397">
        <v>0.1</v>
      </c>
      <c r="AL56" s="318">
        <f>Scénario!F12</f>
        <v>0.2</v>
      </c>
      <c r="AM56" s="311">
        <f>Calcul!AJ66</f>
        <v>1</v>
      </c>
      <c r="AN56" s="400"/>
      <c r="AO56" s="85"/>
      <c r="AP56" s="397">
        <v>0.15</v>
      </c>
      <c r="AQ56" s="168">
        <f>IF(AK56&lt;&gt;0,Constantes!$E19,0)</f>
        <v>0.03</v>
      </c>
      <c r="AR56" s="322"/>
      <c r="AS56" s="83"/>
      <c r="AT56" s="15"/>
      <c r="AU56" s="56" t="str">
        <f t="shared" si="8"/>
        <v>Téléphonie</v>
      </c>
      <c r="AV56" s="179">
        <v>0.1</v>
      </c>
      <c r="AW56" s="318">
        <f>Scénario!G12</f>
        <v>0.25</v>
      </c>
      <c r="AX56" s="311">
        <f>Calcul!AU66</f>
        <v>1</v>
      </c>
      <c r="AY56" s="320"/>
      <c r="AZ56" s="85"/>
      <c r="BA56" s="179">
        <v>0.15</v>
      </c>
      <c r="BB56" s="168">
        <f>IF(AV56&lt;&gt;0,Constantes!$E19,0)</f>
        <v>0.03</v>
      </c>
      <c r="BC56" s="88"/>
    </row>
    <row r="57" spans="1:55" ht="13.8" customHeight="1" x14ac:dyDescent="0.25">
      <c r="A57" s="83"/>
      <c r="B57" s="85"/>
      <c r="C57" s="85"/>
      <c r="D57" s="85"/>
      <c r="E57" s="318"/>
      <c r="F57" s="85"/>
      <c r="G57" s="85"/>
      <c r="H57" s="85"/>
      <c r="J57" s="85"/>
      <c r="K57" s="88"/>
      <c r="L57" s="83"/>
      <c r="M57" s="85"/>
      <c r="N57" s="85"/>
      <c r="O57" s="85"/>
      <c r="P57" s="85"/>
      <c r="Q57" s="85"/>
      <c r="R57" s="85"/>
      <c r="S57" s="85"/>
      <c r="U57" s="85"/>
      <c r="V57" s="88"/>
      <c r="W57" s="83"/>
      <c r="X57" s="85"/>
      <c r="Y57" s="85"/>
      <c r="Z57" s="85"/>
      <c r="AA57" s="85"/>
      <c r="AB57" s="85"/>
      <c r="AC57" s="85"/>
      <c r="AD57" s="85"/>
      <c r="AF57" s="85"/>
      <c r="AG57" s="88"/>
      <c r="AH57" s="83"/>
      <c r="AI57" s="85"/>
      <c r="AJ57" s="85"/>
      <c r="AK57" s="85"/>
      <c r="AL57" s="85"/>
      <c r="AM57" s="85"/>
      <c r="AN57" s="85"/>
      <c r="AO57" s="85"/>
      <c r="AQ57" s="85"/>
      <c r="AR57" s="88"/>
      <c r="AS57" s="83"/>
      <c r="AT57" s="85"/>
      <c r="AU57" s="85"/>
      <c r="AV57" s="85"/>
      <c r="AW57" s="85"/>
      <c r="AX57" s="85"/>
      <c r="AY57" s="85"/>
      <c r="AZ57" s="85"/>
      <c r="BB57" s="85"/>
      <c r="BC57" s="88"/>
    </row>
    <row r="58" spans="1:55" ht="22.8" customHeight="1" thickBot="1" x14ac:dyDescent="0.3">
      <c r="A58" s="83"/>
      <c r="B58" s="85"/>
      <c r="C58" s="85"/>
      <c r="D58" s="168">
        <f>SUM(D47:D56)</f>
        <v>1</v>
      </c>
      <c r="E58" s="85"/>
      <c r="G58" s="85"/>
      <c r="H58" s="85"/>
      <c r="I58" s="22" t="s">
        <v>223</v>
      </c>
      <c r="J58" s="98"/>
      <c r="K58" s="99"/>
      <c r="L58" s="83"/>
      <c r="M58" s="85"/>
      <c r="N58" s="85"/>
      <c r="O58" s="168">
        <f>SUM(O47:O56)</f>
        <v>1</v>
      </c>
      <c r="P58" s="85"/>
      <c r="Q58" s="85"/>
      <c r="R58" s="85"/>
      <c r="S58" s="85"/>
      <c r="T58" s="22" t="s">
        <v>223</v>
      </c>
      <c r="U58" s="98"/>
      <c r="V58" s="99"/>
      <c r="W58" s="83"/>
      <c r="X58" s="85"/>
      <c r="Y58" s="85"/>
      <c r="Z58" s="168">
        <f>SUM(Z47:Z56)</f>
        <v>0.99999999999999989</v>
      </c>
      <c r="AA58" s="85"/>
      <c r="AB58" s="85"/>
      <c r="AC58" s="85"/>
      <c r="AD58" s="85"/>
      <c r="AE58" s="22" t="s">
        <v>223</v>
      </c>
      <c r="AF58" s="98"/>
      <c r="AG58" s="99"/>
      <c r="AH58" s="83"/>
      <c r="AI58" s="85"/>
      <c r="AJ58" s="85"/>
      <c r="AK58" s="168">
        <f>SUM(AK47:AK56)</f>
        <v>1</v>
      </c>
      <c r="AL58" s="85"/>
      <c r="AM58" s="85"/>
      <c r="AN58" s="85"/>
      <c r="AO58" s="85"/>
      <c r="AP58" s="22" t="s">
        <v>223</v>
      </c>
      <c r="AQ58" s="98"/>
      <c r="AR58" s="99"/>
      <c r="AS58" s="83"/>
      <c r="AT58" s="85"/>
      <c r="AU58" s="85"/>
      <c r="AV58" s="168">
        <f>SUM(AV47:AV56)</f>
        <v>1</v>
      </c>
      <c r="AW58" s="85"/>
      <c r="AX58" s="85"/>
      <c r="AY58" s="85"/>
      <c r="AZ58" s="85"/>
      <c r="BA58" s="22" t="s">
        <v>223</v>
      </c>
      <c r="BB58" s="98"/>
      <c r="BC58" s="99"/>
    </row>
    <row r="59" spans="1:55" ht="22.8" customHeight="1" thickBot="1" x14ac:dyDescent="0.3">
      <c r="A59" s="799" t="s">
        <v>65</v>
      </c>
      <c r="B59" s="800"/>
      <c r="C59" s="800"/>
      <c r="D59" s="800"/>
      <c r="E59" s="800"/>
      <c r="F59" s="800"/>
      <c r="G59" s="800"/>
      <c r="H59" s="800"/>
      <c r="I59" s="800"/>
      <c r="J59" s="800"/>
      <c r="K59" s="801"/>
      <c r="L59" s="799" t="s">
        <v>65</v>
      </c>
      <c r="M59" s="800"/>
      <c r="N59" s="800"/>
      <c r="O59" s="800"/>
      <c r="P59" s="800"/>
      <c r="Q59" s="800"/>
      <c r="R59" s="800"/>
      <c r="S59" s="800"/>
      <c r="T59" s="800"/>
      <c r="U59" s="800"/>
      <c r="V59" s="801"/>
      <c r="W59" s="799" t="s">
        <v>65</v>
      </c>
      <c r="X59" s="800"/>
      <c r="Y59" s="800"/>
      <c r="Z59" s="800"/>
      <c r="AA59" s="800"/>
      <c r="AB59" s="800"/>
      <c r="AC59" s="800"/>
      <c r="AD59" s="800"/>
      <c r="AE59" s="800"/>
      <c r="AF59" s="800"/>
      <c r="AG59" s="801"/>
      <c r="AH59" s="799" t="s">
        <v>65</v>
      </c>
      <c r="AI59" s="800"/>
      <c r="AJ59" s="800"/>
      <c r="AK59" s="800"/>
      <c r="AL59" s="800"/>
      <c r="AM59" s="800"/>
      <c r="AN59" s="800"/>
      <c r="AO59" s="800"/>
      <c r="AP59" s="800"/>
      <c r="AQ59" s="800"/>
      <c r="AR59" s="801"/>
      <c r="AS59" s="799" t="s">
        <v>65</v>
      </c>
      <c r="AT59" s="800"/>
      <c r="AU59" s="800"/>
      <c r="AV59" s="800"/>
      <c r="AW59" s="800"/>
      <c r="AX59" s="800"/>
      <c r="AY59" s="800"/>
      <c r="AZ59" s="800"/>
      <c r="BA59" s="800"/>
      <c r="BB59" s="800"/>
      <c r="BC59" s="801"/>
    </row>
    <row r="60" spans="1:55" ht="22.8" customHeight="1" thickBot="1" x14ac:dyDescent="0.3">
      <c r="A60" s="83"/>
      <c r="B60" s="169"/>
      <c r="C60" s="169"/>
      <c r="D60" s="85"/>
      <c r="E60" s="85"/>
      <c r="F60" s="85"/>
      <c r="G60" s="85"/>
      <c r="H60" s="85"/>
      <c r="J60" s="80"/>
      <c r="K60" s="82"/>
      <c r="L60" s="83"/>
      <c r="M60" s="169"/>
      <c r="N60" s="169"/>
      <c r="O60" s="85"/>
      <c r="P60" s="85"/>
      <c r="Q60" s="85"/>
      <c r="R60" s="85"/>
      <c r="S60" s="85"/>
      <c r="U60" s="80"/>
      <c r="V60" s="82"/>
      <c r="W60" s="83"/>
      <c r="X60" s="169"/>
      <c r="Y60" s="169"/>
      <c r="Z60" s="85"/>
      <c r="AA60" s="85"/>
      <c r="AB60" s="85"/>
      <c r="AC60" s="85"/>
      <c r="AD60" s="85"/>
      <c r="AF60" s="80"/>
      <c r="AG60" s="82"/>
      <c r="AH60" s="83"/>
      <c r="AI60" s="169"/>
      <c r="AJ60" s="169"/>
      <c r="AK60" s="85"/>
      <c r="AL60" s="85"/>
      <c r="AM60" s="85"/>
      <c r="AN60" s="85"/>
      <c r="AO60" s="85"/>
      <c r="AQ60" s="80"/>
      <c r="AR60" s="82"/>
      <c r="AS60" s="83"/>
      <c r="AT60" s="169"/>
      <c r="AU60" s="169"/>
      <c r="AV60" s="85"/>
      <c r="AW60" s="85"/>
      <c r="AX60" s="85"/>
      <c r="AY60" s="85"/>
      <c r="AZ60" s="85"/>
      <c r="BB60" s="80"/>
      <c r="BC60" s="82"/>
    </row>
    <row r="61" spans="1:55" ht="22.8" customHeight="1" thickBot="1" x14ac:dyDescent="0.3">
      <c r="A61" s="83"/>
      <c r="B61" s="93" t="s">
        <v>14</v>
      </c>
      <c r="C61" s="52"/>
      <c r="D61" s="744">
        <v>0.2</v>
      </c>
      <c r="E61" s="85"/>
      <c r="F61" s="8" t="s">
        <v>220</v>
      </c>
      <c r="G61" s="85"/>
      <c r="H61" s="85"/>
      <c r="I61" s="797" t="s">
        <v>222</v>
      </c>
      <c r="J61" s="85"/>
      <c r="K61" s="88"/>
      <c r="L61" s="83"/>
      <c r="M61" s="93" t="s">
        <v>14</v>
      </c>
      <c r="N61" s="52"/>
      <c r="O61" s="412">
        <v>0.2</v>
      </c>
      <c r="P61" s="85"/>
      <c r="Q61" s="362" t="s">
        <v>220</v>
      </c>
      <c r="R61" s="85"/>
      <c r="S61" s="85"/>
      <c r="T61" s="797" t="s">
        <v>222</v>
      </c>
      <c r="U61" s="85"/>
      <c r="V61" s="88"/>
      <c r="W61" s="83"/>
      <c r="X61" s="93" t="s">
        <v>14</v>
      </c>
      <c r="Y61" s="52"/>
      <c r="Z61" s="375">
        <v>0.15</v>
      </c>
      <c r="AA61" s="85"/>
      <c r="AB61" s="362" t="s">
        <v>220</v>
      </c>
      <c r="AC61" s="85"/>
      <c r="AD61" s="85"/>
      <c r="AE61" s="797" t="s">
        <v>222</v>
      </c>
      <c r="AF61" s="85"/>
      <c r="AG61" s="88"/>
      <c r="AH61" s="83"/>
      <c r="AI61" s="93" t="s">
        <v>14</v>
      </c>
      <c r="AJ61" s="52"/>
      <c r="AK61" s="392">
        <v>0.15</v>
      </c>
      <c r="AL61" s="85"/>
      <c r="AM61" s="362" t="s">
        <v>220</v>
      </c>
      <c r="AN61" s="85"/>
      <c r="AO61" s="85"/>
      <c r="AP61" s="797" t="s">
        <v>222</v>
      </c>
      <c r="AQ61" s="85"/>
      <c r="AR61" s="88"/>
      <c r="AS61" s="83"/>
      <c r="AT61" s="93" t="s">
        <v>14</v>
      </c>
      <c r="AU61" s="52"/>
      <c r="AV61" s="177">
        <v>0.15</v>
      </c>
      <c r="AW61" s="85"/>
      <c r="AX61" s="362" t="s">
        <v>220</v>
      </c>
      <c r="AY61" s="85"/>
      <c r="AZ61" s="85"/>
      <c r="BA61" s="797" t="s">
        <v>222</v>
      </c>
      <c r="BB61" s="85"/>
      <c r="BC61" s="88"/>
    </row>
    <row r="62" spans="1:55" ht="22.8" customHeight="1" thickBot="1" x14ac:dyDescent="0.3">
      <c r="A62" s="83"/>
      <c r="B62" s="93" t="s">
        <v>221</v>
      </c>
      <c r="C62" s="85"/>
      <c r="D62" s="100"/>
      <c r="E62" s="316" t="s">
        <v>86</v>
      </c>
      <c r="F62" s="315" t="s">
        <v>324</v>
      </c>
      <c r="G62" s="316" t="s">
        <v>323</v>
      </c>
      <c r="H62" s="85"/>
      <c r="I62" s="798"/>
      <c r="J62" s="713" t="s">
        <v>124</v>
      </c>
      <c r="K62" s="191"/>
      <c r="L62" s="83"/>
      <c r="M62" s="93" t="s">
        <v>221</v>
      </c>
      <c r="N62" s="85"/>
      <c r="O62" s="100"/>
      <c r="P62" s="362" t="s">
        <v>86</v>
      </c>
      <c r="Q62" s="361" t="s">
        <v>324</v>
      </c>
      <c r="R62" s="362" t="s">
        <v>323</v>
      </c>
      <c r="S62" s="85"/>
      <c r="T62" s="798"/>
      <c r="U62" s="713" t="s">
        <v>124</v>
      </c>
      <c r="V62" s="191"/>
      <c r="W62" s="83"/>
      <c r="X62" s="93" t="s">
        <v>221</v>
      </c>
      <c r="Y62" s="85"/>
      <c r="Z62" s="100"/>
      <c r="AA62" s="362" t="s">
        <v>86</v>
      </c>
      <c r="AB62" s="361" t="s">
        <v>324</v>
      </c>
      <c r="AC62" s="362" t="s">
        <v>323</v>
      </c>
      <c r="AD62" s="85"/>
      <c r="AE62" s="798"/>
      <c r="AF62" s="713" t="s">
        <v>124</v>
      </c>
      <c r="AG62" s="191"/>
      <c r="AH62" s="83"/>
      <c r="AI62" s="93" t="s">
        <v>221</v>
      </c>
      <c r="AJ62" s="85"/>
      <c r="AK62" s="100"/>
      <c r="AL62" s="362" t="s">
        <v>86</v>
      </c>
      <c r="AM62" s="361" t="s">
        <v>324</v>
      </c>
      <c r="AN62" s="362" t="s">
        <v>323</v>
      </c>
      <c r="AO62" s="85"/>
      <c r="AP62" s="798"/>
      <c r="AQ62" s="713" t="s">
        <v>124</v>
      </c>
      <c r="AR62" s="191"/>
      <c r="AS62" s="83"/>
      <c r="AT62" s="93" t="s">
        <v>221</v>
      </c>
      <c r="AU62" s="85"/>
      <c r="AV62" s="100"/>
      <c r="AW62" s="362" t="s">
        <v>86</v>
      </c>
      <c r="AX62" s="361" t="s">
        <v>324</v>
      </c>
      <c r="AY62" s="362" t="s">
        <v>323</v>
      </c>
      <c r="AZ62" s="85"/>
      <c r="BA62" s="798"/>
      <c r="BB62" s="713" t="s">
        <v>124</v>
      </c>
      <c r="BC62" s="88"/>
    </row>
    <row r="63" spans="1:55" ht="22.8" customHeight="1" x14ac:dyDescent="0.25">
      <c r="A63" s="83"/>
      <c r="B63" s="12" t="str">
        <f>B47</f>
        <v>Collecte</v>
      </c>
      <c r="C63" s="54" t="str">
        <f t="shared" ref="C63:C72" si="9">C20</f>
        <v>Court terme</v>
      </c>
      <c r="D63" s="714">
        <v>0.05</v>
      </c>
      <c r="E63" s="318">
        <f>Scénario!C15</f>
        <v>0.25</v>
      </c>
      <c r="F63" s="311">
        <f>Calcul!D57</f>
        <v>2</v>
      </c>
      <c r="G63" s="721"/>
      <c r="H63" s="94"/>
      <c r="I63" s="714">
        <v>0.2</v>
      </c>
      <c r="J63" s="168">
        <f>IF(D63&lt;&gt;0,Constantes!$E10,0)</f>
        <v>7.0000000000000007E-2</v>
      </c>
      <c r="K63" s="322"/>
      <c r="L63" s="83"/>
      <c r="M63" s="12" t="str">
        <f>M47</f>
        <v>Collecte</v>
      </c>
      <c r="N63" s="54" t="str">
        <f t="shared" ref="N63:N72" si="10">N20</f>
        <v>Court terme</v>
      </c>
      <c r="O63" s="416">
        <v>0.2</v>
      </c>
      <c r="P63" s="318">
        <f>Scénario!D15</f>
        <v>0.25</v>
      </c>
      <c r="Q63" s="311">
        <f>Calcul!O57</f>
        <v>2</v>
      </c>
      <c r="R63" s="419"/>
      <c r="S63" s="94"/>
      <c r="T63" s="416">
        <v>0.1</v>
      </c>
      <c r="U63" s="168">
        <f>IF(O63&lt;&gt;0,Constantes!$E10,0)</f>
        <v>7.0000000000000007E-2</v>
      </c>
      <c r="V63" s="322"/>
      <c r="W63" s="83"/>
      <c r="X63" s="12" t="str">
        <f>X47</f>
        <v>Collecte</v>
      </c>
      <c r="Y63" s="54" t="str">
        <f t="shared" ref="Y63:Y72" si="11">Y20</f>
        <v>Court terme</v>
      </c>
      <c r="Z63" s="379">
        <v>0.15</v>
      </c>
      <c r="AA63" s="318">
        <f>Scénario!E15</f>
        <v>0.25</v>
      </c>
      <c r="AB63" s="311">
        <f>Calcul!Z57</f>
        <v>2</v>
      </c>
      <c r="AC63" s="382"/>
      <c r="AD63" s="94"/>
      <c r="AE63" s="379">
        <v>0.1</v>
      </c>
      <c r="AF63" s="168">
        <f>IF(Z63&lt;&gt;0,Constantes!$E10,0)</f>
        <v>7.0000000000000007E-2</v>
      </c>
      <c r="AG63" s="322"/>
      <c r="AH63" s="83"/>
      <c r="AI63" s="12" t="str">
        <f>AI47</f>
        <v>Collecte</v>
      </c>
      <c r="AJ63" s="54" t="str">
        <f t="shared" ref="AJ63:AJ72" si="12">AJ20</f>
        <v>Court terme</v>
      </c>
      <c r="AK63" s="396">
        <v>0.05</v>
      </c>
      <c r="AL63" s="318">
        <f>Scénario!F15</f>
        <v>0.25</v>
      </c>
      <c r="AM63" s="311">
        <f>Calcul!AK57</f>
        <v>2</v>
      </c>
      <c r="AN63" s="399"/>
      <c r="AO63" s="94"/>
      <c r="AP63" s="396">
        <v>0.1</v>
      </c>
      <c r="AQ63" s="168">
        <f>IF(AK63&lt;&gt;0,Constantes!$E10,0)</f>
        <v>7.0000000000000007E-2</v>
      </c>
      <c r="AR63" s="322"/>
      <c r="AS63" s="83"/>
      <c r="AT63" s="12" t="str">
        <f>AT47</f>
        <v>Collecte</v>
      </c>
      <c r="AU63" s="54" t="str">
        <f t="shared" ref="AU63:AU72" si="13">AU20</f>
        <v>Court terme</v>
      </c>
      <c r="AV63" s="178">
        <v>0.1</v>
      </c>
      <c r="AW63" s="318">
        <f>Scénario!G15</f>
        <v>0.25</v>
      </c>
      <c r="AX63" s="311">
        <f>Calcul!AV57</f>
        <v>2</v>
      </c>
      <c r="AY63" s="319"/>
      <c r="AZ63" s="94"/>
      <c r="BA63" s="178">
        <v>0.1</v>
      </c>
      <c r="BB63" s="168">
        <f>IF(AV63&lt;&gt;0,Constantes!$E10,0)</f>
        <v>7.0000000000000007E-2</v>
      </c>
      <c r="BC63" s="88"/>
    </row>
    <row r="64" spans="1:55" ht="22.8" customHeight="1" thickBot="1" x14ac:dyDescent="0.3">
      <c r="A64" s="83"/>
      <c r="B64" s="15"/>
      <c r="C64" s="56" t="str">
        <f t="shared" si="9"/>
        <v>Moyen et long terme</v>
      </c>
      <c r="D64" s="716">
        <v>0.1</v>
      </c>
      <c r="E64" s="318">
        <f>Scénario!C16</f>
        <v>0.05</v>
      </c>
      <c r="F64" s="311">
        <f>Calcul!D58</f>
        <v>1</v>
      </c>
      <c r="G64" s="722"/>
      <c r="I64" s="716">
        <v>0.4</v>
      </c>
      <c r="J64" s="168">
        <f>IF(D64&lt;&gt;0,Constantes!$E11,0)</f>
        <v>0.12</v>
      </c>
      <c r="K64" s="322"/>
      <c r="L64" s="83"/>
      <c r="M64" s="15"/>
      <c r="N64" s="56" t="str">
        <f t="shared" si="10"/>
        <v>Moyen et long terme</v>
      </c>
      <c r="O64" s="417">
        <v>0.05</v>
      </c>
      <c r="P64" s="318">
        <f>Scénario!D16</f>
        <v>0.05</v>
      </c>
      <c r="Q64" s="311">
        <f>Calcul!O58</f>
        <v>1</v>
      </c>
      <c r="R64" s="420"/>
      <c r="S64" s="22"/>
      <c r="T64" s="417">
        <v>0.2</v>
      </c>
      <c r="U64" s="168">
        <f>IF(O64&lt;&gt;0,Constantes!$E11,0)</f>
        <v>0.12</v>
      </c>
      <c r="V64" s="322"/>
      <c r="W64" s="83"/>
      <c r="X64" s="15"/>
      <c r="Y64" s="56" t="str">
        <f t="shared" si="11"/>
        <v>Moyen et long terme</v>
      </c>
      <c r="Z64" s="380">
        <v>0.1</v>
      </c>
      <c r="AA64" s="318">
        <f>Scénario!E16</f>
        <v>0.15</v>
      </c>
      <c r="AB64" s="311">
        <f>Calcul!Z58</f>
        <v>1</v>
      </c>
      <c r="AC64" s="383"/>
      <c r="AD64" s="22"/>
      <c r="AE64" s="380">
        <v>0.2</v>
      </c>
      <c r="AF64" s="168">
        <f>IF(Z64&lt;&gt;0,Constantes!$E11,0)</f>
        <v>0.12</v>
      </c>
      <c r="AG64" s="322"/>
      <c r="AH64" s="83"/>
      <c r="AI64" s="15"/>
      <c r="AJ64" s="56" t="str">
        <f t="shared" si="12"/>
        <v>Moyen et long terme</v>
      </c>
      <c r="AK64" s="397">
        <v>0.05</v>
      </c>
      <c r="AL64" s="318">
        <f>Scénario!F16</f>
        <v>0.15</v>
      </c>
      <c r="AM64" s="311">
        <f>Calcul!AK58</f>
        <v>1</v>
      </c>
      <c r="AN64" s="400"/>
      <c r="AO64" s="22"/>
      <c r="AP64" s="397">
        <v>0.2</v>
      </c>
      <c r="AQ64" s="168">
        <f>IF(AK64&lt;&gt;0,Constantes!$E11,0)</f>
        <v>0.12</v>
      </c>
      <c r="AR64" s="322"/>
      <c r="AS64" s="83"/>
      <c r="AT64" s="15"/>
      <c r="AU64" s="56" t="str">
        <f t="shared" si="13"/>
        <v>Moyen et long terme</v>
      </c>
      <c r="AV64" s="179">
        <v>0.1</v>
      </c>
      <c r="AW64" s="318">
        <f>Scénario!G16</f>
        <v>0.15</v>
      </c>
      <c r="AX64" s="311">
        <f>Calcul!AV58</f>
        <v>1</v>
      </c>
      <c r="AY64" s="320"/>
      <c r="AZ64" s="22"/>
      <c r="BA64" s="179">
        <v>0.2</v>
      </c>
      <c r="BB64" s="168">
        <f>IF(AV64&lt;&gt;0,Constantes!$E11,0)</f>
        <v>0.12</v>
      </c>
      <c r="BC64" s="88"/>
    </row>
    <row r="65" spans="1:55" ht="22.8" customHeight="1" x14ac:dyDescent="0.25">
      <c r="A65" s="83"/>
      <c r="B65" s="12" t="str">
        <f>B49</f>
        <v>Crédit</v>
      </c>
      <c r="C65" s="54" t="str">
        <f t="shared" si="9"/>
        <v>Immobilier</v>
      </c>
      <c r="D65" s="714">
        <v>0.05</v>
      </c>
      <c r="E65" s="318">
        <f>Scénario!C17</f>
        <v>0.1</v>
      </c>
      <c r="F65" s="311">
        <f>Calcul!D59</f>
        <v>1</v>
      </c>
      <c r="G65" s="721"/>
      <c r="H65" s="85"/>
      <c r="I65" s="714">
        <v>0.1</v>
      </c>
      <c r="J65" s="168">
        <f>IF(D65&lt;&gt;0,Constantes!$E12,0)</f>
        <v>0.15</v>
      </c>
      <c r="K65" s="322"/>
      <c r="L65" s="83"/>
      <c r="M65" s="12" t="str">
        <f>M49</f>
        <v>Crédit</v>
      </c>
      <c r="N65" s="54" t="str">
        <f t="shared" si="10"/>
        <v>Immobilier</v>
      </c>
      <c r="O65" s="416">
        <v>0.05</v>
      </c>
      <c r="P65" s="318">
        <f>Scénario!D17</f>
        <v>0.1</v>
      </c>
      <c r="Q65" s="311">
        <f>Calcul!O59</f>
        <v>1</v>
      </c>
      <c r="R65" s="419">
        <v>1</v>
      </c>
      <c r="S65" s="85"/>
      <c r="T65" s="416">
        <v>0.25</v>
      </c>
      <c r="U65" s="168">
        <f>IF(O65&lt;&gt;0,Constantes!$E12,0)</f>
        <v>0.15</v>
      </c>
      <c r="V65" s="322"/>
      <c r="W65" s="83"/>
      <c r="X65" s="12" t="str">
        <f>X49</f>
        <v>Crédit</v>
      </c>
      <c r="Y65" s="54" t="str">
        <f t="shared" si="11"/>
        <v>Immobilier</v>
      </c>
      <c r="Z65" s="379">
        <v>0.1</v>
      </c>
      <c r="AA65" s="318">
        <f>Scénario!E17</f>
        <v>0.35</v>
      </c>
      <c r="AB65" s="311">
        <f>Calcul!Z59</f>
        <v>2</v>
      </c>
      <c r="AC65" s="382"/>
      <c r="AD65" s="85"/>
      <c r="AE65" s="379">
        <v>0.25</v>
      </c>
      <c r="AF65" s="168">
        <f>IF(Z65&lt;&gt;0,Constantes!$E12,0)</f>
        <v>0.15</v>
      </c>
      <c r="AG65" s="322"/>
      <c r="AH65" s="83"/>
      <c r="AI65" s="12" t="str">
        <f>AI49</f>
        <v>Crédit</v>
      </c>
      <c r="AJ65" s="54" t="str">
        <f t="shared" si="12"/>
        <v>Immobilier</v>
      </c>
      <c r="AK65" s="396">
        <v>0.1</v>
      </c>
      <c r="AL65" s="318">
        <f>Scénario!F17</f>
        <v>0.1</v>
      </c>
      <c r="AM65" s="311">
        <f>Calcul!AK59</f>
        <v>2</v>
      </c>
      <c r="AN65" s="399">
        <v>1</v>
      </c>
      <c r="AO65" s="85"/>
      <c r="AP65" s="396">
        <v>0.25</v>
      </c>
      <c r="AQ65" s="168">
        <f>IF(AK65&lt;&gt;0,Constantes!$E12,0)</f>
        <v>0.15</v>
      </c>
      <c r="AR65" s="322"/>
      <c r="AS65" s="83"/>
      <c r="AT65" s="12" t="str">
        <f>AT49</f>
        <v>Crédit</v>
      </c>
      <c r="AU65" s="54" t="str">
        <f t="shared" si="13"/>
        <v>Immobilier</v>
      </c>
      <c r="AV65" s="178">
        <v>0.1</v>
      </c>
      <c r="AW65" s="318">
        <f>Scénario!G17</f>
        <v>0.2</v>
      </c>
      <c r="AX65" s="311">
        <f>Calcul!AV59</f>
        <v>3</v>
      </c>
      <c r="AY65" s="319"/>
      <c r="AZ65" s="85"/>
      <c r="BA65" s="178">
        <v>0.25</v>
      </c>
      <c r="BB65" s="168">
        <f>IF(AV65&lt;&gt;0,Constantes!$E12,0)</f>
        <v>0.15</v>
      </c>
      <c r="BC65" s="88"/>
    </row>
    <row r="66" spans="1:55" ht="22.8" customHeight="1" x14ac:dyDescent="0.25">
      <c r="A66" s="83"/>
      <c r="B66" s="17"/>
      <c r="C66" s="57" t="str">
        <f t="shared" si="9"/>
        <v>Consommation</v>
      </c>
      <c r="D66" s="715">
        <v>0.05</v>
      </c>
      <c r="E66" s="318">
        <f>Scénario!C18</f>
        <v>0.15</v>
      </c>
      <c r="F66" s="311">
        <f>Calcul!D60</f>
        <v>1</v>
      </c>
      <c r="G66" s="723">
        <v>1</v>
      </c>
      <c r="H66" s="85"/>
      <c r="I66" s="715">
        <v>0.2</v>
      </c>
      <c r="J66" s="168">
        <f>IF(D66&lt;&gt;0,Constantes!$E13,0)</f>
        <v>7.0000000000000007E-2</v>
      </c>
      <c r="K66" s="322"/>
      <c r="L66" s="83"/>
      <c r="M66" s="17"/>
      <c r="N66" s="57" t="str">
        <f t="shared" si="10"/>
        <v>Consommation</v>
      </c>
      <c r="O66" s="418">
        <v>0.1</v>
      </c>
      <c r="P66" s="318">
        <f>Scénario!D18</f>
        <v>0.15</v>
      </c>
      <c r="Q66" s="311">
        <f>Calcul!O60</f>
        <v>2</v>
      </c>
      <c r="R66" s="421"/>
      <c r="S66" s="85"/>
      <c r="T66" s="418">
        <v>0.2</v>
      </c>
      <c r="U66" s="168">
        <f>IF(O66&lt;&gt;0,Constantes!$E13,0)</f>
        <v>7.0000000000000007E-2</v>
      </c>
      <c r="V66" s="322"/>
      <c r="W66" s="83"/>
      <c r="X66" s="17"/>
      <c r="Y66" s="57" t="str">
        <f t="shared" si="11"/>
        <v>Consommation</v>
      </c>
      <c r="Z66" s="381">
        <v>0.15</v>
      </c>
      <c r="AA66" s="318">
        <f>Scénario!E18</f>
        <v>0.2</v>
      </c>
      <c r="AB66" s="311">
        <f>Calcul!Z60</f>
        <v>2</v>
      </c>
      <c r="AC66" s="384"/>
      <c r="AD66" s="85"/>
      <c r="AE66" s="381">
        <v>0.2</v>
      </c>
      <c r="AF66" s="168">
        <f>IF(Z66&lt;&gt;0,Constantes!$E13,0)</f>
        <v>7.0000000000000007E-2</v>
      </c>
      <c r="AG66" s="322"/>
      <c r="AH66" s="83"/>
      <c r="AI66" s="17"/>
      <c r="AJ66" s="57" t="str">
        <f t="shared" si="12"/>
        <v>Consommation</v>
      </c>
      <c r="AK66" s="398">
        <v>0.15</v>
      </c>
      <c r="AL66" s="318">
        <f>Scénario!F18</f>
        <v>0.2</v>
      </c>
      <c r="AM66" s="311">
        <f>Calcul!AK60</f>
        <v>2</v>
      </c>
      <c r="AN66" s="401"/>
      <c r="AO66" s="85"/>
      <c r="AP66" s="398">
        <v>0.2</v>
      </c>
      <c r="AQ66" s="168">
        <f>IF(AK66&lt;&gt;0,Constantes!$E13,0)</f>
        <v>7.0000000000000007E-2</v>
      </c>
      <c r="AR66" s="322"/>
      <c r="AS66" s="83"/>
      <c r="AT66" s="17"/>
      <c r="AU66" s="57" t="str">
        <f t="shared" si="13"/>
        <v>Consommation</v>
      </c>
      <c r="AV66" s="180">
        <v>0.05</v>
      </c>
      <c r="AW66" s="318">
        <f>Scénario!G18</f>
        <v>0.2</v>
      </c>
      <c r="AX66" s="311">
        <f>Calcul!AV60</f>
        <v>2</v>
      </c>
      <c r="AY66" s="321">
        <v>1</v>
      </c>
      <c r="AZ66" s="85"/>
      <c r="BA66" s="180">
        <v>0.2</v>
      </c>
      <c r="BB66" s="168">
        <f>IF(AV66&lt;&gt;0,Constantes!$E13,0)</f>
        <v>7.0000000000000007E-2</v>
      </c>
      <c r="BC66" s="88"/>
    </row>
    <row r="67" spans="1:55" ht="22.8" customHeight="1" thickBot="1" x14ac:dyDescent="0.3">
      <c r="A67" s="83"/>
      <c r="B67" s="15"/>
      <c r="C67" s="56" t="str">
        <f t="shared" si="9"/>
        <v>Renouvelable</v>
      </c>
      <c r="D67" s="716">
        <v>0.15</v>
      </c>
      <c r="E67" s="318">
        <f>Scénario!C19</f>
        <v>0.1</v>
      </c>
      <c r="F67" s="311">
        <f>Calcul!D61</f>
        <v>1</v>
      </c>
      <c r="G67" s="722"/>
      <c r="H67" s="85"/>
      <c r="I67" s="716">
        <v>0.25</v>
      </c>
      <c r="J67" s="168">
        <f>IF(D67&lt;&gt;0,Constantes!$E14,0)</f>
        <v>0.03</v>
      </c>
      <c r="K67" s="322"/>
      <c r="L67" s="83"/>
      <c r="M67" s="15"/>
      <c r="N67" s="56" t="str">
        <f t="shared" si="10"/>
        <v>Renouvelable</v>
      </c>
      <c r="O67" s="417">
        <v>0.1</v>
      </c>
      <c r="P67" s="318">
        <f>Scénario!D19</f>
        <v>0.1</v>
      </c>
      <c r="Q67" s="311">
        <f>Calcul!O61</f>
        <v>1</v>
      </c>
      <c r="R67" s="420"/>
      <c r="S67" s="85"/>
      <c r="T67" s="417">
        <v>0.1</v>
      </c>
      <c r="U67" s="168">
        <f>IF(O67&lt;&gt;0,Constantes!$E14,0)</f>
        <v>0.03</v>
      </c>
      <c r="V67" s="322"/>
      <c r="W67" s="83"/>
      <c r="X67" s="15"/>
      <c r="Y67" s="56" t="str">
        <f t="shared" si="11"/>
        <v>Renouvelable</v>
      </c>
      <c r="Z67" s="380">
        <v>0.1</v>
      </c>
      <c r="AA67" s="318">
        <f>Scénario!E19</f>
        <v>0.15</v>
      </c>
      <c r="AB67" s="311">
        <f>Calcul!Z61</f>
        <v>1</v>
      </c>
      <c r="AC67" s="383">
        <v>1</v>
      </c>
      <c r="AD67" s="85"/>
      <c r="AE67" s="380">
        <v>0.1</v>
      </c>
      <c r="AF67" s="168">
        <f>IF(Z67&lt;&gt;0,Constantes!$E14,0)</f>
        <v>0.03</v>
      </c>
      <c r="AG67" s="322"/>
      <c r="AH67" s="83"/>
      <c r="AI67" s="15"/>
      <c r="AJ67" s="56" t="str">
        <f t="shared" si="12"/>
        <v>Renouvelable</v>
      </c>
      <c r="AK67" s="397">
        <v>0.1</v>
      </c>
      <c r="AL67" s="318">
        <f>Scénario!F19</f>
        <v>0.15</v>
      </c>
      <c r="AM67" s="311">
        <f>Calcul!AK61</f>
        <v>2</v>
      </c>
      <c r="AN67" s="400"/>
      <c r="AO67" s="85"/>
      <c r="AP67" s="397">
        <v>0.1</v>
      </c>
      <c r="AQ67" s="168">
        <f>IF(AK67&lt;&gt;0,Constantes!$E14,0)</f>
        <v>0.03</v>
      </c>
      <c r="AR67" s="322"/>
      <c r="AS67" s="83"/>
      <c r="AT67" s="15"/>
      <c r="AU67" s="56" t="str">
        <f t="shared" si="13"/>
        <v>Renouvelable</v>
      </c>
      <c r="AV67" s="179">
        <v>0.05</v>
      </c>
      <c r="AW67" s="318">
        <f>Scénario!G19</f>
        <v>0.15</v>
      </c>
      <c r="AX67" s="311">
        <f>Calcul!AV61</f>
        <v>2</v>
      </c>
      <c r="AY67" s="320"/>
      <c r="AZ67" s="85"/>
      <c r="BA67" s="179">
        <v>0.1</v>
      </c>
      <c r="BB67" s="168">
        <f>IF(AV67&lt;&gt;0,Constantes!$E14,0)</f>
        <v>0.03</v>
      </c>
      <c r="BC67" s="88"/>
    </row>
    <row r="68" spans="1:55" ht="22.8" customHeight="1" x14ac:dyDescent="0.25">
      <c r="A68" s="83"/>
      <c r="B68" s="12" t="str">
        <f>B52</f>
        <v>Assurance</v>
      </c>
      <c r="C68" s="54" t="str">
        <f t="shared" si="9"/>
        <v>IARD</v>
      </c>
      <c r="D68" s="714">
        <v>0.15</v>
      </c>
      <c r="E68" s="318">
        <f>Scénario!C20</f>
        <v>0.1</v>
      </c>
      <c r="F68" s="311">
        <f>Calcul!D62</f>
        <v>1</v>
      </c>
      <c r="G68" s="721"/>
      <c r="H68" s="85"/>
      <c r="I68" s="714">
        <v>0</v>
      </c>
      <c r="J68" s="168">
        <f>IF(D68&lt;&gt;0,Constantes!$E15,0)</f>
        <v>0.12</v>
      </c>
      <c r="K68" s="322"/>
      <c r="L68" s="83"/>
      <c r="M68" s="12" t="str">
        <f>M52</f>
        <v>Assurance</v>
      </c>
      <c r="N68" s="54" t="str">
        <f t="shared" si="10"/>
        <v>IARD</v>
      </c>
      <c r="O68" s="416">
        <v>0.1</v>
      </c>
      <c r="P68" s="318">
        <f>Scénario!D20</f>
        <v>0.1</v>
      </c>
      <c r="Q68" s="311">
        <f>Calcul!O62</f>
        <v>1</v>
      </c>
      <c r="R68" s="419"/>
      <c r="S68" s="85"/>
      <c r="T68" s="416">
        <v>0.25</v>
      </c>
      <c r="U68" s="168">
        <f>IF(O68&lt;&gt;0,Constantes!$E15,0)</f>
        <v>0.12</v>
      </c>
      <c r="V68" s="322"/>
      <c r="W68" s="83"/>
      <c r="X68" s="12" t="str">
        <f>X52</f>
        <v>Assurance</v>
      </c>
      <c r="Y68" s="54" t="str">
        <f t="shared" si="11"/>
        <v>IARD</v>
      </c>
      <c r="Z68" s="379">
        <v>0.1</v>
      </c>
      <c r="AA68" s="318">
        <f>Scénario!E20</f>
        <v>0.2</v>
      </c>
      <c r="AB68" s="311">
        <f>Calcul!Z62</f>
        <v>1</v>
      </c>
      <c r="AC68" s="382"/>
      <c r="AD68" s="85"/>
      <c r="AE68" s="379">
        <v>0.25</v>
      </c>
      <c r="AF68" s="168">
        <f>IF(Z68&lt;&gt;0,Constantes!$E15,0)</f>
        <v>0.12</v>
      </c>
      <c r="AG68" s="322"/>
      <c r="AH68" s="83"/>
      <c r="AI68" s="12" t="str">
        <f>AI52</f>
        <v>Assurance</v>
      </c>
      <c r="AJ68" s="54" t="str">
        <f t="shared" si="12"/>
        <v>IARD</v>
      </c>
      <c r="AK68" s="396">
        <v>0.15</v>
      </c>
      <c r="AL68" s="318">
        <f>Scénario!F20</f>
        <v>0.15</v>
      </c>
      <c r="AM68" s="311">
        <f>Calcul!AK62</f>
        <v>1</v>
      </c>
      <c r="AN68" s="399">
        <v>1</v>
      </c>
      <c r="AO68" s="85"/>
      <c r="AP68" s="396">
        <v>0.25</v>
      </c>
      <c r="AQ68" s="168">
        <f>IF(AK68&lt;&gt;0,Constantes!$E15,0)</f>
        <v>0.12</v>
      </c>
      <c r="AR68" s="322"/>
      <c r="AS68" s="83"/>
      <c r="AT68" s="12" t="str">
        <f>AT52</f>
        <v>Assurance</v>
      </c>
      <c r="AU68" s="54" t="str">
        <f t="shared" si="13"/>
        <v>IARD</v>
      </c>
      <c r="AV68" s="178">
        <v>0.2</v>
      </c>
      <c r="AW68" s="318">
        <f>Scénario!G20</f>
        <v>0.3</v>
      </c>
      <c r="AX68" s="311">
        <f>Calcul!AV62</f>
        <v>2</v>
      </c>
      <c r="AY68" s="319"/>
      <c r="AZ68" s="85"/>
      <c r="BA68" s="178">
        <v>0.25</v>
      </c>
      <c r="BB68" s="168">
        <f>IF(AV68&lt;&gt;0,Constantes!$E15,0)</f>
        <v>0.12</v>
      </c>
      <c r="BC68" s="88"/>
    </row>
    <row r="69" spans="1:55" ht="22.8" customHeight="1" thickBot="1" x14ac:dyDescent="0.3">
      <c r="A69" s="83"/>
      <c r="B69" s="15"/>
      <c r="C69" s="56" t="str">
        <f t="shared" si="9"/>
        <v>Prévoyance</v>
      </c>
      <c r="D69" s="716">
        <v>0.1</v>
      </c>
      <c r="E69" s="318">
        <f>Scénario!C21</f>
        <v>0.1</v>
      </c>
      <c r="F69" s="311">
        <f>Calcul!D63</f>
        <v>1</v>
      </c>
      <c r="G69" s="722"/>
      <c r="H69" s="85"/>
      <c r="I69" s="716">
        <v>0.2</v>
      </c>
      <c r="J69" s="168">
        <f>IF(D69&lt;&gt;0,Constantes!$E16,0)</f>
        <v>0.12</v>
      </c>
      <c r="K69" s="322"/>
      <c r="L69" s="83"/>
      <c r="M69" s="15"/>
      <c r="N69" s="56" t="str">
        <f t="shared" si="10"/>
        <v>Prévoyance</v>
      </c>
      <c r="O69" s="417">
        <v>0.1</v>
      </c>
      <c r="P69" s="318">
        <f>Scénario!D21</f>
        <v>0.1</v>
      </c>
      <c r="Q69" s="311">
        <f>Calcul!O63</f>
        <v>1</v>
      </c>
      <c r="R69" s="420">
        <v>1</v>
      </c>
      <c r="S69" s="85"/>
      <c r="T69" s="417">
        <v>0.25</v>
      </c>
      <c r="U69" s="168">
        <f>IF(O69&lt;&gt;0,Constantes!$E16,0)</f>
        <v>0.12</v>
      </c>
      <c r="V69" s="322"/>
      <c r="W69" s="83"/>
      <c r="X69" s="15"/>
      <c r="Y69" s="56" t="str">
        <f t="shared" si="11"/>
        <v>Prévoyance</v>
      </c>
      <c r="Z69" s="380">
        <v>0.1</v>
      </c>
      <c r="AA69" s="318">
        <f>Scénario!E21</f>
        <v>0.15</v>
      </c>
      <c r="AB69" s="311">
        <f>Calcul!Z63</f>
        <v>2</v>
      </c>
      <c r="AC69" s="383"/>
      <c r="AD69" s="85"/>
      <c r="AE69" s="380">
        <v>0.25</v>
      </c>
      <c r="AF69" s="168">
        <f>IF(Z69&lt;&gt;0,Constantes!$E16,0)</f>
        <v>0.12</v>
      </c>
      <c r="AG69" s="322"/>
      <c r="AH69" s="83"/>
      <c r="AI69" s="15"/>
      <c r="AJ69" s="56" t="str">
        <f t="shared" si="12"/>
        <v>Prévoyance</v>
      </c>
      <c r="AK69" s="397">
        <v>0.1</v>
      </c>
      <c r="AL69" s="318">
        <f>Scénario!F21</f>
        <v>0.15</v>
      </c>
      <c r="AM69" s="311">
        <f>Calcul!AK63</f>
        <v>2</v>
      </c>
      <c r="AN69" s="400"/>
      <c r="AO69" s="85"/>
      <c r="AP69" s="397">
        <v>0.25</v>
      </c>
      <c r="AQ69" s="168">
        <f>IF(AK69&lt;&gt;0,Constantes!$E16,0)</f>
        <v>0.12</v>
      </c>
      <c r="AR69" s="322"/>
      <c r="AS69" s="83"/>
      <c r="AT69" s="15"/>
      <c r="AU69" s="56" t="str">
        <f t="shared" si="13"/>
        <v>Prévoyance</v>
      </c>
      <c r="AV69" s="179">
        <v>0.1</v>
      </c>
      <c r="AW69" s="318">
        <f>Scénario!G21</f>
        <v>0.15</v>
      </c>
      <c r="AX69" s="311">
        <f>Calcul!AV63</f>
        <v>2</v>
      </c>
      <c r="AY69" s="320"/>
      <c r="AZ69" s="85"/>
      <c r="BA69" s="179">
        <v>0.25</v>
      </c>
      <c r="BB69" s="168">
        <f>IF(AV69&lt;&gt;0,Constantes!$E16,0)</f>
        <v>0.12</v>
      </c>
      <c r="BC69" s="88"/>
    </row>
    <row r="70" spans="1:55" ht="22.8" customHeight="1" x14ac:dyDescent="0.25">
      <c r="A70" s="83"/>
      <c r="B70" s="12" t="str">
        <f>B54</f>
        <v>Services</v>
      </c>
      <c r="C70" s="54" t="str">
        <f t="shared" si="9"/>
        <v>Moyens de paiement</v>
      </c>
      <c r="D70" s="714">
        <v>0.05</v>
      </c>
      <c r="E70" s="318">
        <f>Scénario!C22</f>
        <v>0.25</v>
      </c>
      <c r="F70" s="311">
        <f>Calcul!D64</f>
        <v>1</v>
      </c>
      <c r="G70" s="721">
        <v>1</v>
      </c>
      <c r="H70" s="85"/>
      <c r="I70" s="714">
        <v>0.2</v>
      </c>
      <c r="J70" s="168">
        <f>IF(D70&lt;&gt;0,Constantes!$E17,0)</f>
        <v>0.03</v>
      </c>
      <c r="K70" s="322"/>
      <c r="L70" s="83"/>
      <c r="M70" s="12" t="str">
        <f>M54</f>
        <v>Services</v>
      </c>
      <c r="N70" s="54" t="str">
        <f t="shared" si="10"/>
        <v>Moyens de paiement</v>
      </c>
      <c r="O70" s="416">
        <v>0.15</v>
      </c>
      <c r="P70" s="318">
        <f>Scénario!D22</f>
        <v>0.25</v>
      </c>
      <c r="Q70" s="311">
        <f>Calcul!O64</f>
        <v>2</v>
      </c>
      <c r="R70" s="419"/>
      <c r="S70" s="85"/>
      <c r="T70" s="416">
        <v>0.1</v>
      </c>
      <c r="U70" s="168">
        <f>IF(O70&lt;&gt;0,Constantes!$E17,0)</f>
        <v>0.03</v>
      </c>
      <c r="V70" s="322"/>
      <c r="W70" s="83"/>
      <c r="X70" s="12" t="str">
        <f>X54</f>
        <v>Services</v>
      </c>
      <c r="Y70" s="54" t="str">
        <f t="shared" si="11"/>
        <v>Moyens de paiement</v>
      </c>
      <c r="Z70" s="379">
        <v>0.1</v>
      </c>
      <c r="AA70" s="318">
        <f>Scénario!E22</f>
        <v>0.2</v>
      </c>
      <c r="AB70" s="311">
        <f>Calcul!Z64</f>
        <v>2</v>
      </c>
      <c r="AC70" s="382"/>
      <c r="AD70" s="85"/>
      <c r="AE70" s="379">
        <v>0.1</v>
      </c>
      <c r="AF70" s="168">
        <f>IF(Z70&lt;&gt;0,Constantes!$E17,0)</f>
        <v>0.03</v>
      </c>
      <c r="AG70" s="322"/>
      <c r="AH70" s="83"/>
      <c r="AI70" s="12" t="str">
        <f>AI54</f>
        <v>Services</v>
      </c>
      <c r="AJ70" s="54" t="str">
        <f t="shared" si="12"/>
        <v>Moyens de paiement</v>
      </c>
      <c r="AK70" s="396">
        <v>0.15</v>
      </c>
      <c r="AL70" s="318">
        <f>Scénario!F22</f>
        <v>0.3</v>
      </c>
      <c r="AM70" s="311">
        <f>Calcul!AK64</f>
        <v>2</v>
      </c>
      <c r="AN70" s="399"/>
      <c r="AO70" s="85"/>
      <c r="AP70" s="396">
        <v>0.1</v>
      </c>
      <c r="AQ70" s="168">
        <f>IF(AK70&lt;&gt;0,Constantes!$E17,0)</f>
        <v>0.03</v>
      </c>
      <c r="AR70" s="322"/>
      <c r="AS70" s="83"/>
      <c r="AT70" s="12" t="str">
        <f>AT54</f>
        <v>Services</v>
      </c>
      <c r="AU70" s="54" t="str">
        <f t="shared" si="13"/>
        <v>Moyens de paiement</v>
      </c>
      <c r="AV70" s="178">
        <v>0.1</v>
      </c>
      <c r="AW70" s="318">
        <f>Scénario!G22</f>
        <v>0.2</v>
      </c>
      <c r="AX70" s="311">
        <f>Calcul!AV64</f>
        <v>2</v>
      </c>
      <c r="AY70" s="319"/>
      <c r="AZ70" s="85"/>
      <c r="BA70" s="178">
        <v>0.1</v>
      </c>
      <c r="BB70" s="168">
        <f>IF(AV70&lt;&gt;0,Constantes!$E17,0)</f>
        <v>0.03</v>
      </c>
      <c r="BC70" s="88"/>
    </row>
    <row r="71" spans="1:55" ht="22.8" customHeight="1" x14ac:dyDescent="0.25">
      <c r="A71" s="83"/>
      <c r="B71" s="17"/>
      <c r="C71" s="57" t="str">
        <f t="shared" si="9"/>
        <v>Ouverture compte</v>
      </c>
      <c r="D71" s="715">
        <v>0.3</v>
      </c>
      <c r="E71" s="318">
        <f>Scénario!C23</f>
        <v>0.2</v>
      </c>
      <c r="F71" s="311">
        <f>Calcul!D65</f>
        <v>2</v>
      </c>
      <c r="G71" s="723"/>
      <c r="H71" s="85"/>
      <c r="I71" s="715">
        <v>0.25</v>
      </c>
      <c r="J71" s="168">
        <f>IF(D71&lt;&gt;0,Constantes!$E18,0)</f>
        <v>0</v>
      </c>
      <c r="K71" s="322"/>
      <c r="L71" s="83"/>
      <c r="M71" s="17"/>
      <c r="N71" s="57" t="str">
        <f t="shared" si="10"/>
        <v>Ouverture compte</v>
      </c>
      <c r="O71" s="418">
        <v>0.15</v>
      </c>
      <c r="P71" s="318">
        <f>Scénario!D23</f>
        <v>0.2</v>
      </c>
      <c r="Q71" s="311">
        <f>Calcul!O65</f>
        <v>2</v>
      </c>
      <c r="R71" s="421"/>
      <c r="S71" s="85"/>
      <c r="T71" s="418">
        <v>0.05</v>
      </c>
      <c r="U71" s="168">
        <f>IF(O71&lt;&gt;0,Constantes!$E18,0)</f>
        <v>0</v>
      </c>
      <c r="V71" s="322"/>
      <c r="W71" s="83"/>
      <c r="X71" s="17"/>
      <c r="Y71" s="57" t="str">
        <f t="shared" si="11"/>
        <v>Ouverture compte</v>
      </c>
      <c r="Z71" s="381">
        <v>0.1</v>
      </c>
      <c r="AA71" s="318">
        <f>Scénario!E23</f>
        <v>0.15</v>
      </c>
      <c r="AB71" s="311">
        <f>Calcul!Z65</f>
        <v>2</v>
      </c>
      <c r="AC71" s="384"/>
      <c r="AD71" s="85"/>
      <c r="AE71" s="381">
        <v>0.05</v>
      </c>
      <c r="AF71" s="168">
        <f>IF(Z71&lt;&gt;0,Constantes!$E18,0)</f>
        <v>0</v>
      </c>
      <c r="AG71" s="322"/>
      <c r="AH71" s="83"/>
      <c r="AI71" s="17"/>
      <c r="AJ71" s="57" t="str">
        <f t="shared" si="12"/>
        <v>Ouverture compte</v>
      </c>
      <c r="AK71" s="398">
        <v>0.05</v>
      </c>
      <c r="AL71" s="318">
        <f>Scénario!F23</f>
        <v>0.25</v>
      </c>
      <c r="AM71" s="311">
        <f>Calcul!AK65</f>
        <v>2</v>
      </c>
      <c r="AN71" s="401"/>
      <c r="AO71" s="85"/>
      <c r="AP71" s="398">
        <v>0.05</v>
      </c>
      <c r="AQ71" s="168">
        <f>IF(AK71&lt;&gt;0,Constantes!$E18,0)</f>
        <v>0</v>
      </c>
      <c r="AR71" s="322"/>
      <c r="AS71" s="83"/>
      <c r="AT71" s="17"/>
      <c r="AU71" s="57" t="str">
        <f t="shared" si="13"/>
        <v>Ouverture compte</v>
      </c>
      <c r="AV71" s="180">
        <v>0.15</v>
      </c>
      <c r="AW71" s="318">
        <f>Scénario!G23</f>
        <v>0.25</v>
      </c>
      <c r="AX71" s="311">
        <f>Calcul!AV65</f>
        <v>2</v>
      </c>
      <c r="AY71" s="321"/>
      <c r="AZ71" s="85"/>
      <c r="BA71" s="180">
        <v>0.05</v>
      </c>
      <c r="BB71" s="168">
        <f>IF(AV71&lt;&gt;0,Constantes!$E18,0)</f>
        <v>0</v>
      </c>
      <c r="BC71" s="88"/>
    </row>
    <row r="72" spans="1:55" ht="22.8" customHeight="1" thickBot="1" x14ac:dyDescent="0.3">
      <c r="A72" s="83"/>
      <c r="B72" s="15"/>
      <c r="C72" s="56" t="str">
        <f t="shared" si="9"/>
        <v>Téléphonie</v>
      </c>
      <c r="D72" s="716">
        <v>0</v>
      </c>
      <c r="E72" s="318">
        <f>Scénario!C24</f>
        <v>0</v>
      </c>
      <c r="F72" s="311">
        <f>Calcul!D66</f>
        <v>0</v>
      </c>
      <c r="G72" s="722"/>
      <c r="H72" s="85"/>
      <c r="I72" s="716">
        <v>0</v>
      </c>
      <c r="J72" s="168">
        <f>IF(D72&lt;&gt;0,Constantes!$E19,0)</f>
        <v>0</v>
      </c>
      <c r="K72" s="322"/>
      <c r="L72" s="83"/>
      <c r="M72" s="15"/>
      <c r="N72" s="56" t="str">
        <f t="shared" si="10"/>
        <v>Téléphonie</v>
      </c>
      <c r="O72" s="417"/>
      <c r="P72" s="318">
        <f>Scénario!D24</f>
        <v>0</v>
      </c>
      <c r="Q72" s="311">
        <f>Calcul!O66</f>
        <v>0</v>
      </c>
      <c r="R72" s="420"/>
      <c r="S72" s="85"/>
      <c r="T72" s="417"/>
      <c r="U72" s="168">
        <f>IF(O72&lt;&gt;0,Constantes!$E19,0)</f>
        <v>0</v>
      </c>
      <c r="V72" s="322"/>
      <c r="W72" s="83"/>
      <c r="X72" s="15"/>
      <c r="Y72" s="56" t="str">
        <f t="shared" si="11"/>
        <v>Téléphonie</v>
      </c>
      <c r="Z72" s="380"/>
      <c r="AA72" s="318">
        <f>Scénario!E24</f>
        <v>0.1</v>
      </c>
      <c r="AB72" s="311">
        <f>Calcul!Z66</f>
        <v>0</v>
      </c>
      <c r="AC72" s="383">
        <v>1</v>
      </c>
      <c r="AD72" s="85"/>
      <c r="AE72" s="380"/>
      <c r="AF72" s="168">
        <f>IF(Z72&lt;&gt;0,Constantes!$E19,0)</f>
        <v>0</v>
      </c>
      <c r="AG72" s="322"/>
      <c r="AH72" s="83"/>
      <c r="AI72" s="15"/>
      <c r="AJ72" s="56" t="str">
        <f t="shared" si="12"/>
        <v>Téléphonie</v>
      </c>
      <c r="AK72" s="397">
        <v>0.1</v>
      </c>
      <c r="AL72" s="318">
        <f>Scénario!F24</f>
        <v>0.1</v>
      </c>
      <c r="AM72" s="311">
        <f>Calcul!AK66</f>
        <v>1</v>
      </c>
      <c r="AN72" s="400"/>
      <c r="AO72" s="85"/>
      <c r="AP72" s="397">
        <v>0.15</v>
      </c>
      <c r="AQ72" s="168">
        <f>IF(AK72&lt;&gt;0,Constantes!$E19,0)</f>
        <v>0.03</v>
      </c>
      <c r="AR72" s="322"/>
      <c r="AS72" s="83"/>
      <c r="AT72" s="15"/>
      <c r="AU72" s="56" t="str">
        <f t="shared" si="13"/>
        <v>Téléphonie</v>
      </c>
      <c r="AV72" s="179">
        <v>0.05</v>
      </c>
      <c r="AW72" s="318">
        <f>Scénario!G24</f>
        <v>0.15</v>
      </c>
      <c r="AX72" s="311">
        <f>Calcul!AV66</f>
        <v>1</v>
      </c>
      <c r="AY72" s="320">
        <v>1</v>
      </c>
      <c r="AZ72" s="85"/>
      <c r="BA72" s="179">
        <v>0.15</v>
      </c>
      <c r="BB72" s="168">
        <f>IF(AV72&lt;&gt;0,Constantes!$E19,0)</f>
        <v>0.03</v>
      </c>
      <c r="BC72" s="88"/>
    </row>
    <row r="73" spans="1:55" ht="14.4" customHeight="1" x14ac:dyDescent="0.25">
      <c r="A73" s="83"/>
      <c r="B73" s="85"/>
      <c r="C73" s="85"/>
      <c r="D73" s="85"/>
      <c r="E73" s="85"/>
      <c r="G73" s="85"/>
      <c r="H73" s="85"/>
      <c r="I73" s="85"/>
      <c r="J73" s="85"/>
      <c r="K73" s="88"/>
      <c r="L73" s="83"/>
      <c r="M73" s="85"/>
      <c r="N73" s="85"/>
      <c r="O73" s="85"/>
      <c r="P73" s="85"/>
      <c r="Q73" s="85"/>
      <c r="R73" s="85"/>
      <c r="S73" s="85"/>
      <c r="U73" s="85"/>
      <c r="V73" s="88"/>
      <c r="W73" s="83"/>
      <c r="X73" s="85"/>
      <c r="Y73" s="85"/>
      <c r="Z73" s="85"/>
      <c r="AA73" s="85"/>
      <c r="AB73" s="85"/>
      <c r="AC73" s="85"/>
      <c r="AD73" s="85"/>
      <c r="AF73" s="85"/>
      <c r="AG73" s="88"/>
      <c r="AH73" s="83"/>
      <c r="AI73" s="85"/>
      <c r="AJ73" s="85"/>
      <c r="AK73" s="85"/>
      <c r="AL73" s="85"/>
      <c r="AM73" s="85"/>
      <c r="AN73" s="85"/>
      <c r="AO73" s="85"/>
      <c r="AQ73" s="85"/>
      <c r="AR73" s="88"/>
      <c r="AS73" s="83"/>
      <c r="AT73" s="85"/>
      <c r="AU73" s="85"/>
      <c r="AV73" s="85"/>
      <c r="AW73" s="85"/>
      <c r="AX73" s="85"/>
      <c r="AY73" s="85"/>
      <c r="AZ73" s="85"/>
      <c r="BB73" s="85"/>
      <c r="BC73" s="88"/>
    </row>
    <row r="74" spans="1:55" ht="22.8" customHeight="1" thickBot="1" x14ac:dyDescent="0.3">
      <c r="A74" s="97"/>
      <c r="B74" s="98"/>
      <c r="C74" s="98"/>
      <c r="D74" s="168">
        <f>SUM(D63:D72)</f>
        <v>1</v>
      </c>
      <c r="E74" s="98"/>
      <c r="G74" s="98"/>
      <c r="H74" s="98"/>
      <c r="I74" s="22" t="s">
        <v>223</v>
      </c>
      <c r="J74" s="98"/>
      <c r="K74" s="99"/>
      <c r="L74" s="97"/>
      <c r="M74" s="98"/>
      <c r="N74" s="98"/>
      <c r="O74" s="168">
        <f>SUM(O63:O72)</f>
        <v>1</v>
      </c>
      <c r="P74" s="98"/>
      <c r="Q74" s="98"/>
      <c r="R74" s="98"/>
      <c r="S74" s="98"/>
      <c r="T74" s="22" t="s">
        <v>223</v>
      </c>
      <c r="U74" s="98"/>
      <c r="V74" s="99"/>
      <c r="W74" s="97"/>
      <c r="X74" s="98"/>
      <c r="Y74" s="98"/>
      <c r="Z74" s="101">
        <f>SUM(Z63:Z72)</f>
        <v>0.99999999999999989</v>
      </c>
      <c r="AA74" s="98"/>
      <c r="AB74" s="98"/>
      <c r="AC74" s="98"/>
      <c r="AD74" s="98"/>
      <c r="AE74" s="22" t="s">
        <v>223</v>
      </c>
      <c r="AF74" s="98"/>
      <c r="AG74" s="99"/>
      <c r="AH74" s="97"/>
      <c r="AI74" s="98"/>
      <c r="AJ74" s="98"/>
      <c r="AK74" s="101">
        <f>SUM(AK63:AK72)</f>
        <v>1</v>
      </c>
      <c r="AL74" s="98"/>
      <c r="AM74" s="98"/>
      <c r="AN74" s="98"/>
      <c r="AO74" s="98"/>
      <c r="AP74" s="22" t="s">
        <v>223</v>
      </c>
      <c r="AQ74" s="98"/>
      <c r="AR74" s="99"/>
      <c r="AS74" s="97"/>
      <c r="AT74" s="98"/>
      <c r="AU74" s="98"/>
      <c r="AV74" s="101">
        <f>SUM(AV63:AV72)</f>
        <v>1</v>
      </c>
      <c r="AW74" s="98"/>
      <c r="AX74" s="98"/>
      <c r="AY74" s="98"/>
      <c r="AZ74" s="98"/>
      <c r="BA74" s="22" t="s">
        <v>223</v>
      </c>
      <c r="BB74" s="98"/>
      <c r="BC74" s="99"/>
    </row>
    <row r="75" spans="1:55" ht="22.8" customHeight="1" thickBot="1" x14ac:dyDescent="0.3">
      <c r="A75" s="802" t="s">
        <v>66</v>
      </c>
      <c r="B75" s="803"/>
      <c r="C75" s="803"/>
      <c r="D75" s="803"/>
      <c r="E75" s="803"/>
      <c r="F75" s="803"/>
      <c r="G75" s="803"/>
      <c r="H75" s="803"/>
      <c r="I75" s="803"/>
      <c r="J75" s="803"/>
      <c r="K75" s="804"/>
      <c r="L75" s="802" t="s">
        <v>66</v>
      </c>
      <c r="M75" s="803"/>
      <c r="N75" s="803"/>
      <c r="O75" s="803"/>
      <c r="P75" s="803"/>
      <c r="Q75" s="803"/>
      <c r="R75" s="803"/>
      <c r="S75" s="803"/>
      <c r="T75" s="803"/>
      <c r="U75" s="803"/>
      <c r="V75" s="804"/>
      <c r="W75" s="802" t="s">
        <v>66</v>
      </c>
      <c r="X75" s="803"/>
      <c r="Y75" s="803"/>
      <c r="Z75" s="803"/>
      <c r="AA75" s="803"/>
      <c r="AB75" s="803"/>
      <c r="AC75" s="803"/>
      <c r="AD75" s="803"/>
      <c r="AE75" s="803"/>
      <c r="AF75" s="803"/>
      <c r="AG75" s="804"/>
      <c r="AH75" s="802" t="s">
        <v>66</v>
      </c>
      <c r="AI75" s="803"/>
      <c r="AJ75" s="803"/>
      <c r="AK75" s="803"/>
      <c r="AL75" s="803"/>
      <c r="AM75" s="803"/>
      <c r="AN75" s="803"/>
      <c r="AO75" s="803"/>
      <c r="AP75" s="803"/>
      <c r="AQ75" s="803"/>
      <c r="AR75" s="804"/>
      <c r="AS75" s="802" t="s">
        <v>66</v>
      </c>
      <c r="AT75" s="803"/>
      <c r="AU75" s="803"/>
      <c r="AV75" s="803"/>
      <c r="AW75" s="803"/>
      <c r="AX75" s="803"/>
      <c r="AY75" s="803"/>
      <c r="AZ75" s="803"/>
      <c r="BA75" s="803"/>
      <c r="BB75" s="803"/>
      <c r="BC75" s="804"/>
    </row>
    <row r="76" spans="1:55" ht="22.8" customHeight="1" thickBot="1" x14ac:dyDescent="0.3">
      <c r="A76" s="79"/>
      <c r="B76" s="53"/>
      <c r="C76" s="53"/>
      <c r="D76" s="80"/>
      <c r="E76" s="80"/>
      <c r="F76" s="80"/>
      <c r="G76" s="80"/>
      <c r="H76" s="80"/>
      <c r="I76" s="80"/>
      <c r="J76" s="80"/>
      <c r="K76" s="82"/>
      <c r="L76" s="79"/>
      <c r="M76" s="53"/>
      <c r="N76" s="53"/>
      <c r="O76" s="80"/>
      <c r="P76" s="80"/>
      <c r="Q76" s="80"/>
      <c r="R76" s="80"/>
      <c r="S76" s="80"/>
      <c r="T76" s="80"/>
      <c r="U76" s="80"/>
      <c r="V76" s="82"/>
      <c r="W76" s="79"/>
      <c r="X76" s="53"/>
      <c r="Y76" s="53"/>
      <c r="Z76" s="80"/>
      <c r="AA76" s="80"/>
      <c r="AB76" s="80"/>
      <c r="AC76" s="80"/>
      <c r="AD76" s="80"/>
      <c r="AE76" s="80"/>
      <c r="AF76" s="80"/>
      <c r="AG76" s="82"/>
      <c r="AH76" s="79"/>
      <c r="AI76" s="53"/>
      <c r="AJ76" s="53"/>
      <c r="AK76" s="80"/>
      <c r="AL76" s="80"/>
      <c r="AM76" s="80"/>
      <c r="AN76" s="80"/>
      <c r="AO76" s="80"/>
      <c r="AP76" s="80"/>
      <c r="AQ76" s="80"/>
      <c r="AR76" s="82"/>
      <c r="AS76" s="79"/>
      <c r="AT76" s="53"/>
      <c r="AU76" s="53"/>
      <c r="AV76" s="80"/>
      <c r="AW76" s="80"/>
      <c r="AX76" s="80"/>
      <c r="AY76" s="80"/>
      <c r="AZ76" s="80"/>
      <c r="BA76" s="80"/>
      <c r="BB76" s="80"/>
      <c r="BC76" s="82"/>
    </row>
    <row r="77" spans="1:55" ht="22.8" customHeight="1" thickBot="1" x14ac:dyDescent="0.3">
      <c r="A77" s="83"/>
      <c r="B77" s="93" t="s">
        <v>14</v>
      </c>
      <c r="C77" s="52"/>
      <c r="D77" s="744">
        <v>0.2</v>
      </c>
      <c r="E77" s="85"/>
      <c r="F77" s="224" t="s">
        <v>220</v>
      </c>
      <c r="G77" s="85"/>
      <c r="H77" s="85"/>
      <c r="I77" s="797" t="s">
        <v>222</v>
      </c>
      <c r="J77" s="85"/>
      <c r="K77" s="88"/>
      <c r="L77" s="83"/>
      <c r="M77" s="93" t="s">
        <v>14</v>
      </c>
      <c r="N77" s="52"/>
      <c r="O77" s="412">
        <v>0.2</v>
      </c>
      <c r="P77" s="85"/>
      <c r="Q77" s="362" t="s">
        <v>220</v>
      </c>
      <c r="R77" s="85"/>
      <c r="S77" s="85"/>
      <c r="T77" s="797" t="s">
        <v>222</v>
      </c>
      <c r="U77" s="85"/>
      <c r="V77" s="88"/>
      <c r="W77" s="83"/>
      <c r="X77" s="93" t="s">
        <v>14</v>
      </c>
      <c r="Y77" s="52"/>
      <c r="Z77" s="375">
        <v>0.15</v>
      </c>
      <c r="AA77" s="85"/>
      <c r="AB77" s="362" t="s">
        <v>220</v>
      </c>
      <c r="AC77" s="85"/>
      <c r="AD77" s="85"/>
      <c r="AE77" s="797" t="s">
        <v>222</v>
      </c>
      <c r="AF77" s="85"/>
      <c r="AG77" s="88"/>
      <c r="AH77" s="83"/>
      <c r="AI77" s="93" t="s">
        <v>14</v>
      </c>
      <c r="AJ77" s="52"/>
      <c r="AK77" s="392">
        <v>0.15</v>
      </c>
      <c r="AL77" s="85"/>
      <c r="AM77" s="362" t="s">
        <v>220</v>
      </c>
      <c r="AN77" s="85"/>
      <c r="AO77" s="85"/>
      <c r="AP77" s="797" t="s">
        <v>222</v>
      </c>
      <c r="AQ77" s="85"/>
      <c r="AR77" s="88"/>
      <c r="AS77" s="83"/>
      <c r="AT77" s="93" t="s">
        <v>14</v>
      </c>
      <c r="AU77" s="52"/>
      <c r="AV77" s="177">
        <v>0.15</v>
      </c>
      <c r="AW77" s="85"/>
      <c r="AX77" s="362" t="s">
        <v>220</v>
      </c>
      <c r="AY77" s="85"/>
      <c r="AZ77" s="85"/>
      <c r="BA77" s="797" t="s">
        <v>222</v>
      </c>
      <c r="BB77" s="85"/>
      <c r="BC77" s="88"/>
    </row>
    <row r="78" spans="1:55" ht="22.8" customHeight="1" thickBot="1" x14ac:dyDescent="0.3">
      <c r="A78" s="83"/>
      <c r="B78" s="93" t="s">
        <v>221</v>
      </c>
      <c r="C78" s="85"/>
      <c r="D78" s="100"/>
      <c r="E78" s="316" t="s">
        <v>86</v>
      </c>
      <c r="F78" s="315" t="s">
        <v>324</v>
      </c>
      <c r="G78" s="316" t="s">
        <v>323</v>
      </c>
      <c r="H78" s="85"/>
      <c r="I78" s="798"/>
      <c r="J78" s="713" t="s">
        <v>124</v>
      </c>
      <c r="K78" s="191"/>
      <c r="L78" s="83"/>
      <c r="M78" s="93" t="s">
        <v>221</v>
      </c>
      <c r="N78" s="85"/>
      <c r="O78" s="100"/>
      <c r="P78" s="362" t="s">
        <v>86</v>
      </c>
      <c r="Q78" s="361" t="s">
        <v>324</v>
      </c>
      <c r="R78" s="362" t="s">
        <v>323</v>
      </c>
      <c r="S78" s="85"/>
      <c r="T78" s="798"/>
      <c r="U78" s="713" t="s">
        <v>124</v>
      </c>
      <c r="V78" s="191"/>
      <c r="W78" s="83"/>
      <c r="X78" s="93" t="s">
        <v>221</v>
      </c>
      <c r="Y78" s="85"/>
      <c r="Z78" s="100"/>
      <c r="AA78" s="362" t="s">
        <v>86</v>
      </c>
      <c r="AB78" s="361" t="s">
        <v>324</v>
      </c>
      <c r="AC78" s="362" t="s">
        <v>323</v>
      </c>
      <c r="AD78" s="85"/>
      <c r="AE78" s="798"/>
      <c r="AF78" s="713" t="s">
        <v>124</v>
      </c>
      <c r="AG78" s="191"/>
      <c r="AH78" s="83"/>
      <c r="AI78" s="93" t="s">
        <v>221</v>
      </c>
      <c r="AJ78" s="85"/>
      <c r="AK78" s="100"/>
      <c r="AL78" s="362" t="s">
        <v>86</v>
      </c>
      <c r="AM78" s="361" t="s">
        <v>324</v>
      </c>
      <c r="AN78" s="362" t="s">
        <v>323</v>
      </c>
      <c r="AO78" s="85"/>
      <c r="AP78" s="798"/>
      <c r="AQ78" s="713" t="s">
        <v>124</v>
      </c>
      <c r="AR78" s="191"/>
      <c r="AS78" s="83"/>
      <c r="AT78" s="93" t="s">
        <v>221</v>
      </c>
      <c r="AU78" s="85"/>
      <c r="AV78" s="100"/>
      <c r="AW78" s="362" t="s">
        <v>86</v>
      </c>
      <c r="AX78" s="361" t="s">
        <v>324</v>
      </c>
      <c r="AY78" s="362" t="s">
        <v>323</v>
      </c>
      <c r="AZ78" s="85"/>
      <c r="BA78" s="798"/>
      <c r="BB78" s="713" t="s">
        <v>124</v>
      </c>
      <c r="BC78" s="88"/>
    </row>
    <row r="79" spans="1:55" ht="22.8" customHeight="1" x14ac:dyDescent="0.25">
      <c r="A79" s="83"/>
      <c r="B79" s="12" t="str">
        <f>B63</f>
        <v>Collecte</v>
      </c>
      <c r="C79" s="54" t="str">
        <f t="shared" ref="C79:C88" si="14">C20</f>
        <v>Court terme</v>
      </c>
      <c r="D79" s="714">
        <v>0.2</v>
      </c>
      <c r="E79" s="318">
        <f>Scénario!C27</f>
        <v>0.1</v>
      </c>
      <c r="F79" s="311">
        <f>Calcul!E57</f>
        <v>2</v>
      </c>
      <c r="G79" s="724"/>
      <c r="H79" s="94"/>
      <c r="I79" s="714">
        <v>0.4</v>
      </c>
      <c r="J79" s="168">
        <f>IF(D79&lt;&gt;0,Constantes!$E10,0)</f>
        <v>7.0000000000000007E-2</v>
      </c>
      <c r="K79" s="322"/>
      <c r="L79" s="83"/>
      <c r="M79" s="12" t="str">
        <f>M63</f>
        <v>Collecte</v>
      </c>
      <c r="N79" s="54" t="str">
        <f t="shared" ref="N79:N88" si="15">N20</f>
        <v>Court terme</v>
      </c>
      <c r="O79" s="416">
        <v>0.05</v>
      </c>
      <c r="P79" s="318">
        <f>Scénario!D27</f>
        <v>0.1</v>
      </c>
      <c r="Q79" s="311">
        <f>Calcul!P57</f>
        <v>2</v>
      </c>
      <c r="R79" s="422"/>
      <c r="S79" s="94"/>
      <c r="T79" s="416">
        <v>0.2</v>
      </c>
      <c r="U79" s="168">
        <f>IF(O79&lt;&gt;0,Constantes!$E10,0)</f>
        <v>7.0000000000000007E-2</v>
      </c>
      <c r="V79" s="322"/>
      <c r="W79" s="83"/>
      <c r="X79" s="12" t="str">
        <f>X63</f>
        <v>Collecte</v>
      </c>
      <c r="Y79" s="54" t="str">
        <f t="shared" ref="Y79:Y88" si="16">Y20</f>
        <v>Court terme</v>
      </c>
      <c r="Z79" s="379">
        <v>0.1</v>
      </c>
      <c r="AA79" s="318">
        <f>Scénario!E27</f>
        <v>0.15</v>
      </c>
      <c r="AB79" s="311">
        <f>Calcul!AA57</f>
        <v>2</v>
      </c>
      <c r="AC79" s="385"/>
      <c r="AD79" s="94"/>
      <c r="AE79" s="379">
        <v>0.2</v>
      </c>
      <c r="AF79" s="168">
        <f>IF(Z79&lt;&gt;0,Constantes!$E10,0)</f>
        <v>7.0000000000000007E-2</v>
      </c>
      <c r="AG79" s="322"/>
      <c r="AH79" s="83"/>
      <c r="AI79" s="12" t="str">
        <f>AI63</f>
        <v>Collecte</v>
      </c>
      <c r="AJ79" s="54" t="str">
        <f t="shared" ref="AJ79:AJ88" si="17">AJ20</f>
        <v>Court terme</v>
      </c>
      <c r="AK79" s="396">
        <v>0.05</v>
      </c>
      <c r="AL79" s="318">
        <f>Scénario!F27</f>
        <v>0.15</v>
      </c>
      <c r="AM79" s="311">
        <f>Calcul!AL57</f>
        <v>2</v>
      </c>
      <c r="AN79" s="402"/>
      <c r="AO79" s="94"/>
      <c r="AP79" s="396">
        <v>0.2</v>
      </c>
      <c r="AQ79" s="168">
        <f>IF(AK79&lt;&gt;0,Constantes!$E10,0)</f>
        <v>7.0000000000000007E-2</v>
      </c>
      <c r="AR79" s="322"/>
      <c r="AS79" s="83"/>
      <c r="AT79" s="12" t="str">
        <f>AT63</f>
        <v>Collecte</v>
      </c>
      <c r="AU79" s="54" t="str">
        <f t="shared" ref="AU79:AU88" si="18">AU20</f>
        <v>Court terme</v>
      </c>
      <c r="AV79" s="178">
        <v>0.1</v>
      </c>
      <c r="AW79" s="318">
        <f>Scénario!G27</f>
        <v>0.15</v>
      </c>
      <c r="AX79" s="311">
        <f>Calcul!AW57</f>
        <v>2</v>
      </c>
      <c r="AY79" s="323"/>
      <c r="AZ79" s="94"/>
      <c r="BA79" s="178">
        <v>0.2</v>
      </c>
      <c r="BB79" s="168">
        <f>IF(AV79&lt;&gt;0,Constantes!$E10,0)</f>
        <v>7.0000000000000007E-2</v>
      </c>
      <c r="BC79" s="88"/>
    </row>
    <row r="80" spans="1:55" ht="22.8" customHeight="1" thickBot="1" x14ac:dyDescent="0.3">
      <c r="A80" s="83"/>
      <c r="B80" s="15"/>
      <c r="C80" s="56" t="str">
        <f t="shared" si="14"/>
        <v>Moyen et long terme</v>
      </c>
      <c r="D80" s="716">
        <v>0.05</v>
      </c>
      <c r="E80" s="318">
        <f>Scénario!C28</f>
        <v>0.25</v>
      </c>
      <c r="F80" s="311">
        <f>Calcul!E58</f>
        <v>1</v>
      </c>
      <c r="G80" s="722">
        <v>1</v>
      </c>
      <c r="H80" s="22"/>
      <c r="I80" s="716">
        <v>0.3</v>
      </c>
      <c r="J80" s="168">
        <f>IF(D80&lt;&gt;0,Constantes!$E11,0)</f>
        <v>0.12</v>
      </c>
      <c r="K80" s="322"/>
      <c r="L80" s="83"/>
      <c r="M80" s="15"/>
      <c r="N80" s="56" t="str">
        <f t="shared" si="15"/>
        <v>Moyen et long terme</v>
      </c>
      <c r="O80" s="417">
        <v>0.2</v>
      </c>
      <c r="P80" s="318">
        <f>Scénario!D28</f>
        <v>0.25</v>
      </c>
      <c r="Q80" s="311">
        <f>Calcul!P58</f>
        <v>2</v>
      </c>
      <c r="R80" s="420"/>
      <c r="S80" s="22"/>
      <c r="T80" s="417">
        <v>0.2</v>
      </c>
      <c r="U80" s="168">
        <f>IF(O80&lt;&gt;0,Constantes!$E11,0)</f>
        <v>0.12</v>
      </c>
      <c r="V80" s="322"/>
      <c r="W80" s="83"/>
      <c r="X80" s="15"/>
      <c r="Y80" s="56" t="str">
        <f t="shared" si="16"/>
        <v>Moyen et long terme</v>
      </c>
      <c r="Z80" s="380">
        <v>0.1</v>
      </c>
      <c r="AA80" s="318">
        <f>Scénario!E28</f>
        <v>0.2</v>
      </c>
      <c r="AB80" s="311">
        <f>Calcul!AA58</f>
        <v>2</v>
      </c>
      <c r="AC80" s="383"/>
      <c r="AD80" s="22"/>
      <c r="AE80" s="380">
        <v>0.2</v>
      </c>
      <c r="AF80" s="168">
        <f>IF(Z80&lt;&gt;0,Constantes!$E11,0)</f>
        <v>0.12</v>
      </c>
      <c r="AG80" s="322"/>
      <c r="AH80" s="83"/>
      <c r="AI80" s="15"/>
      <c r="AJ80" s="56" t="str">
        <f t="shared" si="17"/>
        <v>Moyen et long terme</v>
      </c>
      <c r="AK80" s="397">
        <v>0.1</v>
      </c>
      <c r="AL80" s="318">
        <f>Scénario!F28</f>
        <v>0.2</v>
      </c>
      <c r="AM80" s="311">
        <f>Calcul!AL58</f>
        <v>2</v>
      </c>
      <c r="AN80" s="400"/>
      <c r="AO80" s="22"/>
      <c r="AP80" s="397">
        <v>0.2</v>
      </c>
      <c r="AQ80" s="168">
        <f>IF(AK80&lt;&gt;0,Constantes!$E11,0)</f>
        <v>0.12</v>
      </c>
      <c r="AR80" s="322"/>
      <c r="AS80" s="83"/>
      <c r="AT80" s="15"/>
      <c r="AU80" s="56" t="str">
        <f t="shared" si="18"/>
        <v>Moyen et long terme</v>
      </c>
      <c r="AV80" s="179">
        <v>0.1</v>
      </c>
      <c r="AW80" s="318">
        <f>Scénario!G28</f>
        <v>0.2</v>
      </c>
      <c r="AX80" s="311">
        <f>Calcul!AW58</f>
        <v>2</v>
      </c>
      <c r="AY80" s="320"/>
      <c r="AZ80" s="22"/>
      <c r="BA80" s="179">
        <v>0.2</v>
      </c>
      <c r="BB80" s="168">
        <f>IF(AV80&lt;&gt;0,Constantes!$E11,0)</f>
        <v>0.12</v>
      </c>
      <c r="BC80" s="88"/>
    </row>
    <row r="81" spans="1:55" ht="22.8" customHeight="1" x14ac:dyDescent="0.25">
      <c r="A81" s="83"/>
      <c r="B81" s="12" t="str">
        <f>B65</f>
        <v>Crédit</v>
      </c>
      <c r="C81" s="54" t="str">
        <f t="shared" si="14"/>
        <v>Immobilier</v>
      </c>
      <c r="D81" s="714">
        <v>0.3</v>
      </c>
      <c r="E81" s="318">
        <f>Scénario!C29</f>
        <v>0.15</v>
      </c>
      <c r="F81" s="311">
        <f>Calcul!E59</f>
        <v>2</v>
      </c>
      <c r="G81" s="721"/>
      <c r="H81" s="85"/>
      <c r="I81" s="714">
        <v>0.05</v>
      </c>
      <c r="J81" s="168">
        <f>IF(D81&lt;&gt;0,Constantes!$E12,0)</f>
        <v>0.15</v>
      </c>
      <c r="K81" s="322"/>
      <c r="L81" s="83"/>
      <c r="M81" s="12" t="str">
        <f>M65</f>
        <v>Crédit</v>
      </c>
      <c r="N81" s="54" t="str">
        <f t="shared" si="15"/>
        <v>Immobilier</v>
      </c>
      <c r="O81" s="416">
        <v>0.15</v>
      </c>
      <c r="P81" s="318">
        <f>Scénario!D29</f>
        <v>0.15</v>
      </c>
      <c r="Q81" s="311">
        <f>Calcul!P59</f>
        <v>2</v>
      </c>
      <c r="R81" s="419"/>
      <c r="S81" s="85"/>
      <c r="T81" s="416">
        <v>0.4</v>
      </c>
      <c r="U81" s="168">
        <f>IF(O81&lt;&gt;0,Constantes!$E12,0)</f>
        <v>0.15</v>
      </c>
      <c r="V81" s="322"/>
      <c r="W81" s="83"/>
      <c r="X81" s="12" t="str">
        <f>X65</f>
        <v>Crédit</v>
      </c>
      <c r="Y81" s="54" t="str">
        <f t="shared" si="16"/>
        <v>Immobilier</v>
      </c>
      <c r="Z81" s="379">
        <v>0.3</v>
      </c>
      <c r="AA81" s="318">
        <f>Scénario!E29</f>
        <v>0.4</v>
      </c>
      <c r="AB81" s="311">
        <f>Calcul!AA59</f>
        <v>2</v>
      </c>
      <c r="AC81" s="382">
        <v>1</v>
      </c>
      <c r="AD81" s="85"/>
      <c r="AE81" s="379">
        <v>0.4</v>
      </c>
      <c r="AF81" s="168">
        <f>IF(Z81&lt;&gt;0,Constantes!$E12,0)</f>
        <v>0.15</v>
      </c>
      <c r="AG81" s="322"/>
      <c r="AH81" s="83"/>
      <c r="AI81" s="12" t="str">
        <f>AI65</f>
        <v>Crédit</v>
      </c>
      <c r="AJ81" s="54" t="str">
        <f t="shared" si="17"/>
        <v>Immobilier</v>
      </c>
      <c r="AK81" s="396">
        <v>0.15</v>
      </c>
      <c r="AL81" s="318">
        <f>Scénario!F29</f>
        <v>0.15</v>
      </c>
      <c r="AM81" s="311">
        <f>Calcul!AL59</f>
        <v>3</v>
      </c>
      <c r="AN81" s="399"/>
      <c r="AO81" s="85"/>
      <c r="AP81" s="396">
        <v>0.4</v>
      </c>
      <c r="AQ81" s="168">
        <f>IF(AK81&lt;&gt;0,Constantes!$E12,0)</f>
        <v>0.15</v>
      </c>
      <c r="AR81" s="322"/>
      <c r="AS81" s="83"/>
      <c r="AT81" s="12" t="str">
        <f>AT65</f>
        <v>Crédit</v>
      </c>
      <c r="AU81" s="54" t="str">
        <f t="shared" si="18"/>
        <v>Immobilier</v>
      </c>
      <c r="AV81" s="178">
        <v>0.3</v>
      </c>
      <c r="AW81" s="318">
        <f>Scénario!G29</f>
        <v>0.25</v>
      </c>
      <c r="AX81" s="311">
        <f>Calcul!AW59</f>
        <v>3</v>
      </c>
      <c r="AY81" s="319"/>
      <c r="AZ81" s="85"/>
      <c r="BA81" s="178">
        <v>0.4</v>
      </c>
      <c r="BB81" s="168">
        <f>IF(AV81&lt;&gt;0,Constantes!$E12,0)</f>
        <v>0.15</v>
      </c>
      <c r="BC81" s="88"/>
    </row>
    <row r="82" spans="1:55" ht="22.8" customHeight="1" x14ac:dyDescent="0.25">
      <c r="A82" s="83"/>
      <c r="B82" s="17"/>
      <c r="C82" s="57" t="str">
        <f t="shared" si="14"/>
        <v>Consommation</v>
      </c>
      <c r="D82" s="715">
        <v>0.1</v>
      </c>
      <c r="E82" s="318">
        <f>Scénario!C30</f>
        <v>0.15</v>
      </c>
      <c r="F82" s="311">
        <f>Calcul!E60</f>
        <v>1</v>
      </c>
      <c r="G82" s="723"/>
      <c r="H82" s="85"/>
      <c r="I82" s="715">
        <v>0.3</v>
      </c>
      <c r="J82" s="168">
        <f>IF(D82&lt;&gt;0,Constantes!$E13,0)</f>
        <v>7.0000000000000007E-2</v>
      </c>
      <c r="K82" s="322"/>
      <c r="L82" s="83"/>
      <c r="M82" s="17"/>
      <c r="N82" s="57" t="str">
        <f t="shared" si="15"/>
        <v>Consommation</v>
      </c>
      <c r="O82" s="418">
        <v>0.1</v>
      </c>
      <c r="P82" s="318">
        <f>Scénario!D30</f>
        <v>0.15</v>
      </c>
      <c r="Q82" s="311">
        <f>Calcul!P60</f>
        <v>1</v>
      </c>
      <c r="R82" s="421"/>
      <c r="S82" s="85"/>
      <c r="T82" s="418">
        <v>0.15</v>
      </c>
      <c r="U82" s="168">
        <f>IF(O82&lt;&gt;0,Constantes!$E13,0)</f>
        <v>7.0000000000000007E-2</v>
      </c>
      <c r="V82" s="322"/>
      <c r="W82" s="83"/>
      <c r="X82" s="17"/>
      <c r="Y82" s="57" t="str">
        <f t="shared" si="16"/>
        <v>Consommation</v>
      </c>
      <c r="Z82" s="381">
        <v>0.1</v>
      </c>
      <c r="AA82" s="318">
        <f>Scénario!E30</f>
        <v>0.2</v>
      </c>
      <c r="AB82" s="311">
        <f>Calcul!AA60</f>
        <v>1</v>
      </c>
      <c r="AC82" s="384">
        <v>1</v>
      </c>
      <c r="AD82" s="85"/>
      <c r="AE82" s="381">
        <v>0.15</v>
      </c>
      <c r="AF82" s="168">
        <f>IF(Z82&lt;&gt;0,Constantes!$E13,0)</f>
        <v>7.0000000000000007E-2</v>
      </c>
      <c r="AG82" s="322"/>
      <c r="AH82" s="83"/>
      <c r="AI82" s="17"/>
      <c r="AJ82" s="57" t="str">
        <f t="shared" si="17"/>
        <v>Consommation</v>
      </c>
      <c r="AK82" s="398">
        <v>0.15</v>
      </c>
      <c r="AL82" s="318">
        <f>Scénario!F30</f>
        <v>0.2</v>
      </c>
      <c r="AM82" s="311">
        <f>Calcul!AL60</f>
        <v>2</v>
      </c>
      <c r="AN82" s="401"/>
      <c r="AO82" s="85"/>
      <c r="AP82" s="398">
        <v>0.15</v>
      </c>
      <c r="AQ82" s="168">
        <f>IF(AK82&lt;&gt;0,Constantes!$E13,0)</f>
        <v>7.0000000000000007E-2</v>
      </c>
      <c r="AR82" s="322"/>
      <c r="AS82" s="83"/>
      <c r="AT82" s="17"/>
      <c r="AU82" s="57" t="str">
        <f t="shared" si="18"/>
        <v>Consommation</v>
      </c>
      <c r="AV82" s="180">
        <v>0.1</v>
      </c>
      <c r="AW82" s="318">
        <f>Scénario!G30</f>
        <v>0.2</v>
      </c>
      <c r="AX82" s="311">
        <f>Calcul!AW60</f>
        <v>2</v>
      </c>
      <c r="AY82" s="321"/>
      <c r="AZ82" s="85"/>
      <c r="BA82" s="180">
        <v>0.15</v>
      </c>
      <c r="BB82" s="168">
        <f>IF(AV82&lt;&gt;0,Constantes!$E13,0)</f>
        <v>7.0000000000000007E-2</v>
      </c>
      <c r="BC82" s="88"/>
    </row>
    <row r="83" spans="1:55" ht="22.8" customHeight="1" thickBot="1" x14ac:dyDescent="0.3">
      <c r="A83" s="83"/>
      <c r="B83" s="15"/>
      <c r="C83" s="56" t="str">
        <f t="shared" si="14"/>
        <v>Renouvelable</v>
      </c>
      <c r="D83" s="716">
        <v>0.1</v>
      </c>
      <c r="E83" s="318">
        <f>Scénario!C31</f>
        <v>0.1</v>
      </c>
      <c r="F83" s="311">
        <f>Calcul!E61</f>
        <v>1</v>
      </c>
      <c r="G83" s="722"/>
      <c r="H83" s="85"/>
      <c r="I83" s="716">
        <v>0.3</v>
      </c>
      <c r="J83" s="168">
        <f>IF(D83&lt;&gt;0,Constantes!$E14,0)</f>
        <v>0.03</v>
      </c>
      <c r="K83" s="322"/>
      <c r="L83" s="83"/>
      <c r="M83" s="15"/>
      <c r="N83" s="56" t="str">
        <f t="shared" si="15"/>
        <v>Renouvelable</v>
      </c>
      <c r="O83" s="417">
        <v>0.1</v>
      </c>
      <c r="P83" s="318">
        <f>Scénario!D31</f>
        <v>0.1</v>
      </c>
      <c r="Q83" s="311">
        <f>Calcul!P61</f>
        <v>1</v>
      </c>
      <c r="R83" s="420"/>
      <c r="S83" s="85"/>
      <c r="T83" s="417">
        <v>0.1</v>
      </c>
      <c r="U83" s="168">
        <f>IF(O83&lt;&gt;0,Constantes!$E14,0)</f>
        <v>0.03</v>
      </c>
      <c r="V83" s="322"/>
      <c r="W83" s="83"/>
      <c r="X83" s="15"/>
      <c r="Y83" s="56" t="str">
        <f t="shared" si="16"/>
        <v>Renouvelable</v>
      </c>
      <c r="Z83" s="380">
        <v>0.05</v>
      </c>
      <c r="AA83" s="318">
        <f>Scénario!E31</f>
        <v>0.25</v>
      </c>
      <c r="AB83" s="311">
        <f>Calcul!AA61</f>
        <v>1</v>
      </c>
      <c r="AC83" s="383"/>
      <c r="AD83" s="85"/>
      <c r="AE83" s="380">
        <v>0.1</v>
      </c>
      <c r="AF83" s="168">
        <f>IF(Z83&lt;&gt;0,Constantes!$E14,0)</f>
        <v>0.03</v>
      </c>
      <c r="AG83" s="322"/>
      <c r="AH83" s="83"/>
      <c r="AI83" s="15"/>
      <c r="AJ83" s="56" t="str">
        <f t="shared" si="17"/>
        <v>Renouvelable</v>
      </c>
      <c r="AK83" s="397">
        <v>0.1</v>
      </c>
      <c r="AL83" s="318">
        <f>Scénario!F31</f>
        <v>0.25</v>
      </c>
      <c r="AM83" s="311">
        <f>Calcul!AL61</f>
        <v>1</v>
      </c>
      <c r="AN83" s="400">
        <v>1</v>
      </c>
      <c r="AO83" s="85"/>
      <c r="AP83" s="397">
        <v>0.1</v>
      </c>
      <c r="AQ83" s="168">
        <f>IF(AK83&lt;&gt;0,Constantes!$E14,0)</f>
        <v>0.03</v>
      </c>
      <c r="AR83" s="322"/>
      <c r="AS83" s="83"/>
      <c r="AT83" s="15"/>
      <c r="AU83" s="56" t="str">
        <f t="shared" si="18"/>
        <v>Renouvelable</v>
      </c>
      <c r="AV83" s="179">
        <v>0.05</v>
      </c>
      <c r="AW83" s="318">
        <f>Scénario!G31</f>
        <v>0.25</v>
      </c>
      <c r="AX83" s="311">
        <f>Calcul!AW61</f>
        <v>2</v>
      </c>
      <c r="AY83" s="320"/>
      <c r="AZ83" s="85"/>
      <c r="BA83" s="179">
        <v>0.1</v>
      </c>
      <c r="BB83" s="168">
        <f>IF(AV83&lt;&gt;0,Constantes!$E14,0)</f>
        <v>0.03</v>
      </c>
      <c r="BC83" s="88"/>
    </row>
    <row r="84" spans="1:55" ht="22.8" customHeight="1" x14ac:dyDescent="0.25">
      <c r="A84" s="83"/>
      <c r="B84" s="12" t="str">
        <f>B68</f>
        <v>Assurance</v>
      </c>
      <c r="C84" s="54" t="str">
        <f t="shared" si="14"/>
        <v>IARD</v>
      </c>
      <c r="D84" s="714">
        <v>0</v>
      </c>
      <c r="E84" s="318">
        <f>Scénario!C32</f>
        <v>0</v>
      </c>
      <c r="F84" s="311">
        <f>Calcul!E62</f>
        <v>0</v>
      </c>
      <c r="G84" s="721"/>
      <c r="H84" s="85"/>
      <c r="I84" s="714">
        <v>0</v>
      </c>
      <c r="J84" s="168">
        <f>IF(D84&lt;&gt;0,Constantes!$E15,0)</f>
        <v>0</v>
      </c>
      <c r="K84" s="322"/>
      <c r="L84" s="83"/>
      <c r="M84" s="12" t="str">
        <f>M68</f>
        <v>Assurance</v>
      </c>
      <c r="N84" s="54" t="str">
        <f t="shared" si="15"/>
        <v>IARD</v>
      </c>
      <c r="O84" s="416"/>
      <c r="P84" s="318">
        <f>Scénario!D32</f>
        <v>0</v>
      </c>
      <c r="Q84" s="311">
        <f>Calcul!P62</f>
        <v>0</v>
      </c>
      <c r="R84" s="419">
        <v>1</v>
      </c>
      <c r="S84" s="85"/>
      <c r="T84" s="416"/>
      <c r="U84" s="168">
        <f>IF(O84&lt;&gt;0,Constantes!$E15,0)</f>
        <v>0</v>
      </c>
      <c r="V84" s="322"/>
      <c r="W84" s="83"/>
      <c r="X84" s="12" t="str">
        <f>X68</f>
        <v>Assurance</v>
      </c>
      <c r="Y84" s="54" t="str">
        <f t="shared" si="16"/>
        <v>IARD</v>
      </c>
      <c r="Z84" s="379">
        <v>0.15</v>
      </c>
      <c r="AA84" s="318">
        <f>Scénario!E32</f>
        <v>0.2</v>
      </c>
      <c r="AB84" s="311">
        <f>Calcul!AA62</f>
        <v>1</v>
      </c>
      <c r="AC84" s="382"/>
      <c r="AD84" s="85"/>
      <c r="AE84" s="379">
        <v>0.2</v>
      </c>
      <c r="AF84" s="168">
        <f>IF(Z84&lt;&gt;0,Constantes!$E15,0)</f>
        <v>0.12</v>
      </c>
      <c r="AG84" s="322"/>
      <c r="AH84" s="83"/>
      <c r="AI84" s="12" t="str">
        <f>AI68</f>
        <v>Assurance</v>
      </c>
      <c r="AJ84" s="54" t="str">
        <f t="shared" si="17"/>
        <v>IARD</v>
      </c>
      <c r="AK84" s="396">
        <v>0.15</v>
      </c>
      <c r="AL84" s="318">
        <f>Scénario!F32</f>
        <v>0.15</v>
      </c>
      <c r="AM84" s="311">
        <f>Calcul!AL62</f>
        <v>1</v>
      </c>
      <c r="AN84" s="399"/>
      <c r="AO84" s="85"/>
      <c r="AP84" s="396">
        <v>0.2</v>
      </c>
      <c r="AQ84" s="168">
        <f>IF(AK84&lt;&gt;0,Constantes!$E15,0)</f>
        <v>0.12</v>
      </c>
      <c r="AR84" s="322"/>
      <c r="AS84" s="83"/>
      <c r="AT84" s="12" t="str">
        <f>AT68</f>
        <v>Assurance</v>
      </c>
      <c r="AU84" s="54" t="str">
        <f t="shared" si="18"/>
        <v>IARD</v>
      </c>
      <c r="AV84" s="178">
        <v>0.15</v>
      </c>
      <c r="AW84" s="318">
        <f>Scénario!G32</f>
        <v>0.3</v>
      </c>
      <c r="AX84" s="311">
        <f>Calcul!AW62</f>
        <v>1</v>
      </c>
      <c r="AY84" s="319">
        <v>1</v>
      </c>
      <c r="AZ84" s="85"/>
      <c r="BA84" s="178">
        <v>0.2</v>
      </c>
      <c r="BB84" s="168">
        <f>IF(AV84&lt;&gt;0,Constantes!$E15,0)</f>
        <v>0.12</v>
      </c>
      <c r="BC84" s="88"/>
    </row>
    <row r="85" spans="1:55" ht="22.8" customHeight="1" thickBot="1" x14ac:dyDescent="0.3">
      <c r="A85" s="83"/>
      <c r="B85" s="15"/>
      <c r="C85" s="56" t="str">
        <f t="shared" si="14"/>
        <v>Prévoyance</v>
      </c>
      <c r="D85" s="716">
        <v>0.1</v>
      </c>
      <c r="E85" s="318">
        <f>Scénario!C33</f>
        <v>0.2</v>
      </c>
      <c r="F85" s="311">
        <f>Calcul!E63</f>
        <v>1</v>
      </c>
      <c r="G85" s="722">
        <v>1</v>
      </c>
      <c r="H85" s="85"/>
      <c r="I85" s="716">
        <v>0</v>
      </c>
      <c r="J85" s="168">
        <f>IF(D85&lt;&gt;0,Constantes!$E16,0)</f>
        <v>0.12</v>
      </c>
      <c r="K85" s="322"/>
      <c r="L85" s="83"/>
      <c r="M85" s="15"/>
      <c r="N85" s="56" t="str">
        <f t="shared" si="15"/>
        <v>Prévoyance</v>
      </c>
      <c r="O85" s="417">
        <v>0.2</v>
      </c>
      <c r="P85" s="318">
        <f>Scénario!D33</f>
        <v>0.2</v>
      </c>
      <c r="Q85" s="311">
        <f>Calcul!P63</f>
        <v>2</v>
      </c>
      <c r="R85" s="420"/>
      <c r="S85" s="85"/>
      <c r="T85" s="417">
        <v>0.25</v>
      </c>
      <c r="U85" s="168">
        <f>IF(O85&lt;&gt;0,Constantes!$E16,0)</f>
        <v>0.12</v>
      </c>
      <c r="V85" s="322"/>
      <c r="W85" s="83"/>
      <c r="X85" s="15"/>
      <c r="Y85" s="56" t="str">
        <f t="shared" si="16"/>
        <v>Prévoyance</v>
      </c>
      <c r="Z85" s="380">
        <v>0.1</v>
      </c>
      <c r="AA85" s="318">
        <f>Scénario!E33</f>
        <v>0.2</v>
      </c>
      <c r="AB85" s="311">
        <f>Calcul!AA63</f>
        <v>2</v>
      </c>
      <c r="AC85" s="383"/>
      <c r="AD85" s="85"/>
      <c r="AE85" s="380">
        <v>0.25</v>
      </c>
      <c r="AF85" s="168">
        <f>IF(Z85&lt;&gt;0,Constantes!$E16,0)</f>
        <v>0.12</v>
      </c>
      <c r="AG85" s="322"/>
      <c r="AH85" s="83"/>
      <c r="AI85" s="15"/>
      <c r="AJ85" s="56" t="str">
        <f t="shared" si="17"/>
        <v>Prévoyance</v>
      </c>
      <c r="AK85" s="397">
        <v>0.1</v>
      </c>
      <c r="AL85" s="318">
        <f>Scénario!F33</f>
        <v>0.2</v>
      </c>
      <c r="AM85" s="311">
        <f>Calcul!AL63</f>
        <v>2</v>
      </c>
      <c r="AN85" s="400"/>
      <c r="AO85" s="85"/>
      <c r="AP85" s="397">
        <v>0.25</v>
      </c>
      <c r="AQ85" s="168">
        <f>IF(AK85&lt;&gt;0,Constantes!$E16,0)</f>
        <v>0.12</v>
      </c>
      <c r="AR85" s="322"/>
      <c r="AS85" s="83"/>
      <c r="AT85" s="15"/>
      <c r="AU85" s="56" t="str">
        <f t="shared" si="18"/>
        <v>Prévoyance</v>
      </c>
      <c r="AV85" s="179">
        <v>0.1</v>
      </c>
      <c r="AW85" s="318">
        <f>Scénario!G33</f>
        <v>0.2</v>
      </c>
      <c r="AX85" s="311">
        <f>Calcul!AW63</f>
        <v>2</v>
      </c>
      <c r="AY85" s="320"/>
      <c r="AZ85" s="85"/>
      <c r="BA85" s="179">
        <v>0.25</v>
      </c>
      <c r="BB85" s="168">
        <f>IF(AV85&lt;&gt;0,Constantes!$E16,0)</f>
        <v>0.12</v>
      </c>
      <c r="BC85" s="88"/>
    </row>
    <row r="86" spans="1:55" ht="22.8" customHeight="1" x14ac:dyDescent="0.25">
      <c r="A86" s="83"/>
      <c r="B86" s="12" t="str">
        <f>B70</f>
        <v>Services</v>
      </c>
      <c r="C86" s="54" t="str">
        <f t="shared" si="14"/>
        <v>Moyens de paiement</v>
      </c>
      <c r="D86" s="714">
        <v>0.1</v>
      </c>
      <c r="E86" s="318">
        <f>Scénario!C34</f>
        <v>0.15</v>
      </c>
      <c r="F86" s="311">
        <f>Calcul!E64</f>
        <v>1</v>
      </c>
      <c r="G86" s="721"/>
      <c r="H86" s="85"/>
      <c r="I86" s="714">
        <v>0.3</v>
      </c>
      <c r="J86" s="168">
        <f>IF(D86&lt;&gt;0,Constantes!$E17,0)</f>
        <v>0.03</v>
      </c>
      <c r="K86" s="322"/>
      <c r="L86" s="83"/>
      <c r="M86" s="12" t="str">
        <f>M70</f>
        <v>Services</v>
      </c>
      <c r="N86" s="54" t="str">
        <f t="shared" si="15"/>
        <v>Moyens de paiement</v>
      </c>
      <c r="O86" s="416">
        <v>0.1</v>
      </c>
      <c r="P86" s="318">
        <f>Scénario!D34</f>
        <v>0.15</v>
      </c>
      <c r="Q86" s="311">
        <f>Calcul!P64</f>
        <v>1</v>
      </c>
      <c r="R86" s="419"/>
      <c r="S86" s="85"/>
      <c r="T86" s="416">
        <v>0.1</v>
      </c>
      <c r="U86" s="168">
        <f>IF(O86&lt;&gt;0,Constantes!$E17,0)</f>
        <v>0.03</v>
      </c>
      <c r="V86" s="322"/>
      <c r="W86" s="83"/>
      <c r="X86" s="12" t="str">
        <f>X70</f>
        <v>Services</v>
      </c>
      <c r="Y86" s="54" t="str">
        <f t="shared" si="16"/>
        <v>Moyens de paiement</v>
      </c>
      <c r="Z86" s="379">
        <v>0.05</v>
      </c>
      <c r="AA86" s="318">
        <f>Scénario!E34</f>
        <v>0.15</v>
      </c>
      <c r="AB86" s="311">
        <f>Calcul!AA64</f>
        <v>1</v>
      </c>
      <c r="AC86" s="382"/>
      <c r="AD86" s="85"/>
      <c r="AE86" s="379">
        <v>0.1</v>
      </c>
      <c r="AF86" s="168">
        <f>IF(Z86&lt;&gt;0,Constantes!$E17,0)</f>
        <v>0.03</v>
      </c>
      <c r="AG86" s="322"/>
      <c r="AH86" s="83"/>
      <c r="AI86" s="12" t="str">
        <f>AI70</f>
        <v>Services</v>
      </c>
      <c r="AJ86" s="54" t="str">
        <f t="shared" si="17"/>
        <v>Moyens de paiement</v>
      </c>
      <c r="AK86" s="396">
        <v>0.1</v>
      </c>
      <c r="AL86" s="318">
        <f>Scénario!F34</f>
        <v>0.25</v>
      </c>
      <c r="AM86" s="311">
        <f>Calcul!AL64</f>
        <v>1</v>
      </c>
      <c r="AN86" s="399"/>
      <c r="AO86" s="85"/>
      <c r="AP86" s="396">
        <v>0.1</v>
      </c>
      <c r="AQ86" s="168">
        <f>IF(AK86&lt;&gt;0,Constantes!$E17,0)</f>
        <v>0.03</v>
      </c>
      <c r="AR86" s="322"/>
      <c r="AS86" s="83"/>
      <c r="AT86" s="12" t="str">
        <f>AT70</f>
        <v>Services</v>
      </c>
      <c r="AU86" s="54" t="str">
        <f t="shared" si="18"/>
        <v>Moyens de paiement</v>
      </c>
      <c r="AV86" s="178">
        <v>0.05</v>
      </c>
      <c r="AW86" s="318">
        <f>Scénario!G34</f>
        <v>0.2</v>
      </c>
      <c r="AX86" s="311">
        <f>Calcul!AW64</f>
        <v>1</v>
      </c>
      <c r="AY86" s="319">
        <v>1</v>
      </c>
      <c r="AZ86" s="85"/>
      <c r="BA86" s="178">
        <v>0.1</v>
      </c>
      <c r="BB86" s="168">
        <f>IF(AV86&lt;&gt;0,Constantes!$E17,0)</f>
        <v>0.03</v>
      </c>
      <c r="BC86" s="88"/>
    </row>
    <row r="87" spans="1:55" ht="22.8" customHeight="1" x14ac:dyDescent="0.25">
      <c r="A87" s="83"/>
      <c r="B87" s="17"/>
      <c r="C87" s="57" t="str">
        <f t="shared" si="14"/>
        <v>Ouverture compte</v>
      </c>
      <c r="D87" s="715">
        <v>0.05</v>
      </c>
      <c r="E87" s="318">
        <f>Scénario!C35</f>
        <v>0.15</v>
      </c>
      <c r="F87" s="311">
        <f>Calcul!E65</f>
        <v>1</v>
      </c>
      <c r="G87" s="723"/>
      <c r="H87" s="85"/>
      <c r="I87" s="715">
        <v>0.4</v>
      </c>
      <c r="J87" s="168">
        <f>IF(D87&lt;&gt;0,Constantes!$E18,0)</f>
        <v>0</v>
      </c>
      <c r="K87" s="322"/>
      <c r="L87" s="83"/>
      <c r="M87" s="17"/>
      <c r="N87" s="57" t="str">
        <f t="shared" si="15"/>
        <v>Ouverture compte</v>
      </c>
      <c r="O87" s="418">
        <v>0.1</v>
      </c>
      <c r="P87" s="318">
        <f>Scénario!D35</f>
        <v>0.15</v>
      </c>
      <c r="Q87" s="311">
        <f>Calcul!P65</f>
        <v>1</v>
      </c>
      <c r="R87" s="421"/>
      <c r="S87" s="85"/>
      <c r="T87" s="418">
        <v>0.05</v>
      </c>
      <c r="U87" s="168">
        <f>IF(O87&lt;&gt;0,Constantes!$E18,0)</f>
        <v>0</v>
      </c>
      <c r="V87" s="322"/>
      <c r="W87" s="83"/>
      <c r="X87" s="17"/>
      <c r="Y87" s="57" t="str">
        <f t="shared" si="16"/>
        <v>Ouverture compte</v>
      </c>
      <c r="Z87" s="381">
        <v>0.05</v>
      </c>
      <c r="AA87" s="318">
        <f>Scénario!E35</f>
        <v>0.15</v>
      </c>
      <c r="AB87" s="311">
        <f>Calcul!AA65</f>
        <v>1</v>
      </c>
      <c r="AC87" s="384"/>
      <c r="AD87" s="85"/>
      <c r="AE87" s="381">
        <v>0.05</v>
      </c>
      <c r="AF87" s="168">
        <f>IF(Z87&lt;&gt;0,Constantes!$E18,0)</f>
        <v>0</v>
      </c>
      <c r="AG87" s="322"/>
      <c r="AH87" s="83"/>
      <c r="AI87" s="17"/>
      <c r="AJ87" s="57" t="str">
        <f t="shared" si="17"/>
        <v>Ouverture compte</v>
      </c>
      <c r="AK87" s="398">
        <v>0.05</v>
      </c>
      <c r="AL87" s="318">
        <f>Scénario!F35</f>
        <v>0.25</v>
      </c>
      <c r="AM87" s="311">
        <f>Calcul!AL65</f>
        <v>1</v>
      </c>
      <c r="AN87" s="401"/>
      <c r="AO87" s="85"/>
      <c r="AP87" s="398">
        <v>0.05</v>
      </c>
      <c r="AQ87" s="168">
        <f>IF(AK87&lt;&gt;0,Constantes!$E18,0)</f>
        <v>0</v>
      </c>
      <c r="AR87" s="322"/>
      <c r="AS87" s="83"/>
      <c r="AT87" s="17"/>
      <c r="AU87" s="57" t="str">
        <f t="shared" si="18"/>
        <v>Ouverture compte</v>
      </c>
      <c r="AV87" s="180">
        <v>0.05</v>
      </c>
      <c r="AW87" s="318">
        <f>Scénario!G35</f>
        <v>0.2</v>
      </c>
      <c r="AX87" s="311">
        <f>Calcul!AW65</f>
        <v>1</v>
      </c>
      <c r="AY87" s="321"/>
      <c r="AZ87" s="85"/>
      <c r="BA87" s="180">
        <v>0.05</v>
      </c>
      <c r="BB87" s="168">
        <f>IF(AV87&lt;&gt;0,Constantes!$E18,0)</f>
        <v>0</v>
      </c>
      <c r="BC87" s="88"/>
    </row>
    <row r="88" spans="1:55" ht="22.8" customHeight="1" thickBot="1" x14ac:dyDescent="0.3">
      <c r="A88" s="83"/>
      <c r="B88" s="15"/>
      <c r="C88" s="56" t="str">
        <f t="shared" si="14"/>
        <v>Téléphonie</v>
      </c>
      <c r="D88" s="716">
        <v>0</v>
      </c>
      <c r="E88" s="318">
        <f>Scénario!C36</f>
        <v>0</v>
      </c>
      <c r="F88" s="311">
        <f>Calcul!E66</f>
        <v>0</v>
      </c>
      <c r="G88" s="722"/>
      <c r="H88" s="85"/>
      <c r="I88" s="716">
        <v>0</v>
      </c>
      <c r="J88" s="168">
        <f>IF(D88&lt;&gt;0,Constantes!$E19,0)</f>
        <v>0</v>
      </c>
      <c r="K88" s="322"/>
      <c r="L88" s="83"/>
      <c r="M88" s="15"/>
      <c r="N88" s="56" t="str">
        <f t="shared" si="15"/>
        <v>Téléphonie</v>
      </c>
      <c r="O88" s="417"/>
      <c r="P88" s="318">
        <f>Scénario!D36</f>
        <v>0</v>
      </c>
      <c r="Q88" s="311">
        <f>Calcul!P66</f>
        <v>0</v>
      </c>
      <c r="R88" s="420">
        <v>1</v>
      </c>
      <c r="S88" s="85"/>
      <c r="T88" s="417"/>
      <c r="U88" s="168">
        <f>IF(O88&lt;&gt;0,Constantes!$E19,0)</f>
        <v>0</v>
      </c>
      <c r="V88" s="322"/>
      <c r="W88" s="83"/>
      <c r="X88" s="15"/>
      <c r="Y88" s="56" t="str">
        <f t="shared" si="16"/>
        <v>Téléphonie</v>
      </c>
      <c r="Z88" s="380">
        <v>0.1</v>
      </c>
      <c r="AA88" s="318">
        <f>Scénario!E36</f>
        <v>0.1</v>
      </c>
      <c r="AB88" s="311">
        <f>Calcul!AA66</f>
        <v>1</v>
      </c>
      <c r="AC88" s="383"/>
      <c r="AD88" s="85"/>
      <c r="AE88" s="380">
        <v>0.2</v>
      </c>
      <c r="AF88" s="168">
        <f>IF(Z88&lt;&gt;0,Constantes!$E19,0)</f>
        <v>0.03</v>
      </c>
      <c r="AG88" s="322"/>
      <c r="AH88" s="83"/>
      <c r="AI88" s="15"/>
      <c r="AJ88" s="56" t="str">
        <f t="shared" si="17"/>
        <v>Téléphonie</v>
      </c>
      <c r="AK88" s="397">
        <v>0.05</v>
      </c>
      <c r="AL88" s="318">
        <f>Scénario!F36</f>
        <v>0.1</v>
      </c>
      <c r="AM88" s="311">
        <f>Calcul!AL66</f>
        <v>1</v>
      </c>
      <c r="AN88" s="400">
        <v>1</v>
      </c>
      <c r="AO88" s="85"/>
      <c r="AP88" s="397">
        <v>0.2</v>
      </c>
      <c r="AQ88" s="168">
        <f>IF(AK88&lt;&gt;0,Constantes!$E19,0)</f>
        <v>0.03</v>
      </c>
      <c r="AR88" s="322"/>
      <c r="AS88" s="83"/>
      <c r="AT88" s="15"/>
      <c r="AU88" s="56" t="str">
        <f t="shared" si="18"/>
        <v>Téléphonie</v>
      </c>
      <c r="AV88" s="179">
        <v>0.1</v>
      </c>
      <c r="AW88" s="318">
        <f>Scénario!G36</f>
        <v>0.15</v>
      </c>
      <c r="AX88" s="311">
        <f>Calcul!AW66</f>
        <v>2</v>
      </c>
      <c r="AY88" s="320"/>
      <c r="AZ88" s="85"/>
      <c r="BA88" s="179">
        <v>0.2</v>
      </c>
      <c r="BB88" s="168">
        <f>IF(AV88&lt;&gt;0,Constantes!$E19,0)</f>
        <v>0.03</v>
      </c>
      <c r="BC88" s="88"/>
    </row>
    <row r="89" spans="1:55" ht="14.4" customHeight="1" x14ac:dyDescent="0.25">
      <c r="A89" s="83"/>
      <c r="B89" s="85"/>
      <c r="C89" s="85"/>
      <c r="D89" s="85"/>
      <c r="E89" s="85"/>
      <c r="F89" s="85"/>
      <c r="G89" s="85"/>
      <c r="H89" s="85"/>
      <c r="I89" s="85"/>
      <c r="J89" s="85"/>
      <c r="K89" s="88"/>
      <c r="L89" s="83"/>
      <c r="M89" s="85"/>
      <c r="N89" s="85"/>
      <c r="O89" s="85"/>
      <c r="P89" s="85"/>
      <c r="Q89" s="85"/>
      <c r="R89" s="85"/>
      <c r="S89" s="85"/>
      <c r="T89" s="85"/>
      <c r="U89" s="85"/>
      <c r="V89" s="88"/>
      <c r="W89" s="83"/>
      <c r="X89" s="85"/>
      <c r="Y89" s="85"/>
      <c r="Z89" s="85"/>
      <c r="AA89" s="85"/>
      <c r="AB89" s="85"/>
      <c r="AC89" s="85"/>
      <c r="AD89" s="85"/>
      <c r="AE89" s="85"/>
      <c r="AF89" s="85"/>
      <c r="AG89" s="88"/>
      <c r="AH89" s="83"/>
      <c r="AI89" s="85"/>
      <c r="AJ89" s="85"/>
      <c r="AK89" s="85"/>
      <c r="AL89" s="85"/>
      <c r="AM89" s="85"/>
      <c r="AN89" s="85"/>
      <c r="AO89" s="85"/>
      <c r="AP89" s="85"/>
      <c r="AQ89" s="85"/>
      <c r="AR89" s="88"/>
      <c r="AS89" s="83"/>
      <c r="AT89" s="85"/>
      <c r="AU89" s="85"/>
      <c r="AV89" s="85"/>
      <c r="AW89" s="85"/>
      <c r="AX89" s="311"/>
      <c r="AY89" s="85"/>
      <c r="AZ89" s="85"/>
      <c r="BA89" s="85"/>
      <c r="BB89" s="85"/>
      <c r="BC89" s="88"/>
    </row>
    <row r="90" spans="1:55" ht="22.8" customHeight="1" thickBot="1" x14ac:dyDescent="0.3">
      <c r="A90" s="97"/>
      <c r="B90" s="98"/>
      <c r="C90" s="98"/>
      <c r="D90" s="101">
        <f>SUM(D79:D88)</f>
        <v>1</v>
      </c>
      <c r="E90" s="98"/>
      <c r="F90" s="98"/>
      <c r="G90" s="98"/>
      <c r="H90" s="98"/>
      <c r="I90" s="285" t="s">
        <v>223</v>
      </c>
      <c r="J90" s="98"/>
      <c r="K90" s="99"/>
      <c r="L90" s="97"/>
      <c r="M90" s="98"/>
      <c r="N90" s="98"/>
      <c r="O90" s="101">
        <f>SUM(O79:O88)</f>
        <v>1</v>
      </c>
      <c r="P90" s="98"/>
      <c r="Q90" s="98"/>
      <c r="R90" s="98"/>
      <c r="S90" s="98"/>
      <c r="T90" s="285" t="s">
        <v>223</v>
      </c>
      <c r="U90" s="98"/>
      <c r="V90" s="99"/>
      <c r="W90" s="97"/>
      <c r="X90" s="98"/>
      <c r="Y90" s="98"/>
      <c r="Z90" s="101">
        <f>SUM(Z79:Z88)</f>
        <v>1.1000000000000001</v>
      </c>
      <c r="AA90" s="98"/>
      <c r="AB90" s="98"/>
      <c r="AC90" s="98"/>
      <c r="AD90" s="98"/>
      <c r="AE90" s="285" t="s">
        <v>223</v>
      </c>
      <c r="AF90" s="98"/>
      <c r="AG90" s="99"/>
      <c r="AH90" s="97"/>
      <c r="AI90" s="98"/>
      <c r="AJ90" s="98"/>
      <c r="AK90" s="101">
        <f>SUM(AK79:AK88)</f>
        <v>1</v>
      </c>
      <c r="AL90" s="98"/>
      <c r="AM90" s="98"/>
      <c r="AN90" s="98"/>
      <c r="AO90" s="98"/>
      <c r="AP90" s="285" t="s">
        <v>223</v>
      </c>
      <c r="AQ90" s="98"/>
      <c r="AR90" s="99"/>
      <c r="AS90" s="97"/>
      <c r="AT90" s="98"/>
      <c r="AU90" s="98"/>
      <c r="AV90" s="101">
        <f>SUM(AV79:AV88)</f>
        <v>1.1000000000000001</v>
      </c>
      <c r="AW90" s="98"/>
      <c r="AX90" s="98"/>
      <c r="AY90" s="98"/>
      <c r="AZ90" s="98"/>
      <c r="BA90" s="285" t="s">
        <v>223</v>
      </c>
      <c r="BB90" s="98"/>
      <c r="BC90" s="99"/>
    </row>
    <row r="93" spans="1:55" x14ac:dyDescent="0.25">
      <c r="B93" s="350" t="s">
        <v>134</v>
      </c>
    </row>
    <row r="94" spans="1:55" x14ac:dyDescent="0.25">
      <c r="B94" s="84"/>
      <c r="C94" s="796" t="s">
        <v>338</v>
      </c>
      <c r="D94" s="796"/>
      <c r="E94" s="796"/>
      <c r="F94" s="796"/>
      <c r="G94" s="796" t="s">
        <v>203</v>
      </c>
      <c r="H94" s="796"/>
      <c r="I94" s="796"/>
      <c r="J94" s="796"/>
      <c r="K94" s="648"/>
      <c r="L94" s="796" t="s">
        <v>233</v>
      </c>
      <c r="M94" s="796"/>
      <c r="N94" s="796"/>
      <c r="O94" s="796"/>
      <c r="P94" s="796" t="s">
        <v>149</v>
      </c>
      <c r="Q94" s="796"/>
      <c r="R94" s="796"/>
      <c r="S94" s="796"/>
    </row>
    <row r="95" spans="1:55" x14ac:dyDescent="0.25">
      <c r="B95" s="346" t="s">
        <v>217</v>
      </c>
      <c r="C95" s="117" t="s">
        <v>4</v>
      </c>
      <c r="D95" s="117" t="s">
        <v>6</v>
      </c>
      <c r="E95" s="117" t="s">
        <v>9</v>
      </c>
      <c r="F95" s="117" t="s">
        <v>11</v>
      </c>
      <c r="G95" s="117" t="s">
        <v>4</v>
      </c>
      <c r="H95" s="117" t="s">
        <v>6</v>
      </c>
      <c r="I95" s="117" t="s">
        <v>9</v>
      </c>
      <c r="J95" s="117" t="s">
        <v>11</v>
      </c>
      <c r="K95" s="117"/>
      <c r="L95" s="117" t="s">
        <v>114</v>
      </c>
      <c r="M95" s="117" t="s">
        <v>115</v>
      </c>
      <c r="N95" s="117" t="s">
        <v>116</v>
      </c>
      <c r="O95" s="117" t="s">
        <v>337</v>
      </c>
      <c r="P95" s="117" t="s">
        <v>114</v>
      </c>
      <c r="Q95" s="117" t="s">
        <v>115</v>
      </c>
      <c r="R95" s="117" t="s">
        <v>116</v>
      </c>
      <c r="S95" s="117" t="s">
        <v>337</v>
      </c>
    </row>
    <row r="96" spans="1:55" x14ac:dyDescent="0.25">
      <c r="B96" s="352">
        <f>B33</f>
        <v>0</v>
      </c>
      <c r="C96" s="127" t="str">
        <f>IF($B96&lt;&gt;0,LOOKUP($B96,Actions!$B$4:$B$26,Actions!G$4:G$26),"")</f>
        <v/>
      </c>
      <c r="D96" s="127" t="str">
        <f>IF($B96&lt;&gt;0,LOOKUP($B96,Actions!$B$4:$B$26,Actions!H$4:H$26),"")</f>
        <v/>
      </c>
      <c r="E96" s="127" t="str">
        <f>IF($B96&lt;&gt;0,LOOKUP($B96,Actions!$B$4:$B$26,Actions!I$4:I$26),"")</f>
        <v/>
      </c>
      <c r="F96" s="127" t="str">
        <f>IF($B96&lt;&gt;0,LOOKUP($B96,Actions!$B$4:$B$26,Actions!J$4:J$26),"")</f>
        <v/>
      </c>
      <c r="G96" s="127" t="str">
        <f>IF($B96&lt;&gt;0,LOOKUP($B96,Actions!$B$4:$B$26,Actions!K$4:K$26),"")</f>
        <v/>
      </c>
      <c r="H96" s="127" t="str">
        <f>IF($B96&lt;&gt;0,LOOKUP($B96,Actions!$B$4:$B$26,Actions!L$4:L$26),"")</f>
        <v/>
      </c>
      <c r="I96" s="127" t="str">
        <f>IF($B96&lt;&gt;0,LOOKUP($B96,Actions!$B$4:$B$26,Actions!M$4:M$26),"")</f>
        <v/>
      </c>
      <c r="J96" s="127" t="str">
        <f>IF($B96&lt;&gt;0,LOOKUP($B96,Actions!$B$4:$B$26,Actions!N$4:N$26),"")</f>
        <v/>
      </c>
      <c r="K96" s="127"/>
      <c r="L96" s="119" t="str">
        <f>IF($B96&lt;&gt;0,LOOKUP($B96,Actions!$B$4:$B$26,Actions!O$4:O$26),"")</f>
        <v/>
      </c>
      <c r="M96" s="119" t="str">
        <f>IF($B96&lt;&gt;0,LOOKUP($B96,Actions!$B$4:$B$26,Actions!P$4:P$26),"")</f>
        <v/>
      </c>
      <c r="N96" s="119" t="str">
        <f>IF($B96&lt;&gt;0,LOOKUP($B96,Actions!$B$4:$B$26,Actions!Q$4:Q$26),"")</f>
        <v/>
      </c>
      <c r="O96" s="119" t="str">
        <f>IF($B96&lt;&gt;0,LOOKUP($B96,Actions!$B$4:$B$26,Actions!R$4:R$26),"")</f>
        <v/>
      </c>
      <c r="P96" s="119" t="str">
        <f>IF($B96&lt;&gt;0,LOOKUP($B96,Actions!$B$4:$B$26,Actions!S$4:S$26),"")</f>
        <v/>
      </c>
      <c r="Q96" s="119" t="str">
        <f>IF($B96&lt;&gt;0,LOOKUP($B96,Actions!$B$4:$B$26,Actions!T$4:T$26),"")</f>
        <v/>
      </c>
      <c r="R96" s="119" t="str">
        <f>IF($B96&lt;&gt;0,LOOKUP($B96,Actions!$B$4:$B$26,Actions!U$4:U$26),"")</f>
        <v/>
      </c>
      <c r="S96" s="119" t="str">
        <f>IF($B96&lt;&gt;0,LOOKUP($B96,Actions!$B$4:$B$26,Actions!V$4:V$26),"")</f>
        <v/>
      </c>
    </row>
    <row r="97" spans="2:19" x14ac:dyDescent="0.25">
      <c r="B97" s="352">
        <f>B34</f>
        <v>0</v>
      </c>
      <c r="C97" s="127" t="str">
        <f>IF($B97&lt;&gt;0,LOOKUP($B97,Actions!$B$4:$B$26,Actions!G$4:G$26),"")</f>
        <v/>
      </c>
      <c r="D97" s="127" t="str">
        <f>IF($B97&lt;&gt;0,LOOKUP($B97,Actions!$B$4:$B$26,Actions!H$4:H$26),"")</f>
        <v/>
      </c>
      <c r="E97" s="127" t="str">
        <f>IF($B97&lt;&gt;0,LOOKUP($B97,Actions!$B$4:$B$26,Actions!I$4:I$26),"")</f>
        <v/>
      </c>
      <c r="F97" s="127" t="str">
        <f>IF($B97&lt;&gt;0,LOOKUP($B97,Actions!$B$4:$B$26,Actions!J$4:J$26),"")</f>
        <v/>
      </c>
      <c r="G97" s="127" t="str">
        <f>IF($B97&lt;&gt;0,LOOKUP($B97,Actions!$B$4:$B$26,Actions!K$4:K$26),"")</f>
        <v/>
      </c>
      <c r="H97" s="127" t="str">
        <f>IF($B97&lt;&gt;0,LOOKUP($B97,Actions!$B$4:$B$26,Actions!L$4:L$26),"")</f>
        <v/>
      </c>
      <c r="I97" s="127" t="str">
        <f>IF($B97&lt;&gt;0,LOOKUP($B97,Actions!$B$4:$B$26,Actions!M$4:M$26),"")</f>
        <v/>
      </c>
      <c r="J97" s="127" t="str">
        <f>IF($B97&lt;&gt;0,LOOKUP($B97,Actions!$B$4:$B$26,Actions!N$4:N$26),"")</f>
        <v/>
      </c>
      <c r="K97" s="127"/>
      <c r="L97" s="119" t="str">
        <f>IF($B97&lt;&gt;0,LOOKUP($B97,Actions!$B$4:$B$26,Actions!O$4:O$26),"")</f>
        <v/>
      </c>
      <c r="M97" s="119" t="str">
        <f>IF($B97&lt;&gt;0,LOOKUP($B97,Actions!$B$4:$B$26,Actions!P$4:P$26),"")</f>
        <v/>
      </c>
      <c r="N97" s="119" t="str">
        <f>IF($B97&lt;&gt;0,LOOKUP($B97,Actions!$B$4:$B$26,Actions!Q$4:Q$26),"")</f>
        <v/>
      </c>
      <c r="O97" s="119" t="str">
        <f>IF($B97&lt;&gt;0,LOOKUP($B97,Actions!$B$4:$B$26,Actions!R$4:R$26),"")</f>
        <v/>
      </c>
      <c r="P97" s="119" t="str">
        <f>IF($B97&lt;&gt;0,LOOKUP($B97,Actions!$B$4:$B$26,Actions!S$4:S$26),"")</f>
        <v/>
      </c>
      <c r="Q97" s="119" t="str">
        <f>IF($B97&lt;&gt;0,LOOKUP($B97,Actions!$B$4:$B$26,Actions!T$4:T$26),"")</f>
        <v/>
      </c>
      <c r="R97" s="119" t="str">
        <f>IF($B97&lt;&gt;0,LOOKUP($B97,Actions!$B$4:$B$26,Actions!U$4:U$26),"")</f>
        <v/>
      </c>
      <c r="S97" s="119" t="str">
        <f>IF($B97&lt;&gt;0,LOOKUP($B97,Actions!$B$4:$B$26,Actions!V$4:V$26),"")</f>
        <v/>
      </c>
    </row>
    <row r="98" spans="2:19" x14ac:dyDescent="0.25">
      <c r="B98" s="352">
        <f>B35</f>
        <v>0</v>
      </c>
      <c r="C98" s="127" t="str">
        <f>IF($B98&lt;&gt;0,LOOKUP($B98,Actions!$B$4:$B$26,Actions!G$4:G$26),"")</f>
        <v/>
      </c>
      <c r="D98" s="127" t="str">
        <f>IF($B98&lt;&gt;0,LOOKUP($B98,Actions!$B$4:$B$26,Actions!H$4:H$26),"")</f>
        <v/>
      </c>
      <c r="E98" s="127" t="str">
        <f>IF($B98&lt;&gt;0,LOOKUP($B98,Actions!$B$4:$B$26,Actions!I$4:I$26),"")</f>
        <v/>
      </c>
      <c r="F98" s="127" t="str">
        <f>IF($B98&lt;&gt;0,LOOKUP($B98,Actions!$B$4:$B$26,Actions!J$4:J$26),"")</f>
        <v/>
      </c>
      <c r="G98" s="127" t="str">
        <f>IF($B98&lt;&gt;0,LOOKUP($B98,Actions!$B$4:$B$26,Actions!K$4:K$26),"")</f>
        <v/>
      </c>
      <c r="H98" s="127" t="str">
        <f>IF($B98&lt;&gt;0,LOOKUP($B98,Actions!$B$4:$B$26,Actions!L$4:L$26),"")</f>
        <v/>
      </c>
      <c r="I98" s="127" t="str">
        <f>IF($B98&lt;&gt;0,LOOKUP($B98,Actions!$B$4:$B$26,Actions!M$4:M$26),"")</f>
        <v/>
      </c>
      <c r="J98" s="127" t="str">
        <f>IF($B98&lt;&gt;0,LOOKUP($B98,Actions!$B$4:$B$26,Actions!N$4:N$26),"")</f>
        <v/>
      </c>
      <c r="K98" s="127"/>
      <c r="L98" s="119" t="str">
        <f>IF($B98&lt;&gt;0,LOOKUP($B98,Actions!$B$4:$B$26,Actions!O$4:O$26),"")</f>
        <v/>
      </c>
      <c r="M98" s="119" t="str">
        <f>IF($B98&lt;&gt;0,LOOKUP($B98,Actions!$B$4:$B$26,Actions!P$4:P$26),"")</f>
        <v/>
      </c>
      <c r="N98" s="119" t="str">
        <f>IF($B98&lt;&gt;0,LOOKUP($B98,Actions!$B$4:$B$26,Actions!Q$4:Q$26),"")</f>
        <v/>
      </c>
      <c r="O98" s="119" t="str">
        <f>IF($B98&lt;&gt;0,LOOKUP($B98,Actions!$B$4:$B$26,Actions!R$4:R$26),"")</f>
        <v/>
      </c>
      <c r="P98" s="119" t="str">
        <f>IF($B98&lt;&gt;0,LOOKUP($B98,Actions!$B$4:$B$26,Actions!S$4:S$26),"")</f>
        <v/>
      </c>
      <c r="Q98" s="119" t="str">
        <f>IF($B98&lt;&gt;0,LOOKUP($B98,Actions!$B$4:$B$26,Actions!T$4:T$26),"")</f>
        <v/>
      </c>
      <c r="R98" s="119" t="str">
        <f>IF($B98&lt;&gt;0,LOOKUP($B98,Actions!$B$4:$B$26,Actions!U$4:U$26),"")</f>
        <v/>
      </c>
      <c r="S98" s="119" t="str">
        <f>IF($B98&lt;&gt;0,LOOKUP($B98,Actions!$B$4:$B$26,Actions!V$4:V$26),"")</f>
        <v/>
      </c>
    </row>
    <row r="99" spans="2:19" x14ac:dyDescent="0.25">
      <c r="B99" s="352">
        <f>G33</f>
        <v>0</v>
      </c>
      <c r="C99" s="127" t="str">
        <f>IF($B99&lt;&gt;0,LOOKUP($B99,Actions!$B$4:$B$26,Actions!G$4:G$26),"")</f>
        <v/>
      </c>
      <c r="D99" s="127" t="str">
        <f>IF($B99&lt;&gt;0,LOOKUP($B99,Actions!$B$4:$B$26,Actions!H$4:H$26),"")</f>
        <v/>
      </c>
      <c r="E99" s="127" t="str">
        <f>IF($B99&lt;&gt;0,LOOKUP($B99,Actions!$B$4:$B$26,Actions!I$4:I$26),"")</f>
        <v/>
      </c>
      <c r="F99" s="127" t="str">
        <f>IF($B99&lt;&gt;0,LOOKUP($B99,Actions!$B$4:$B$26,Actions!J$4:J$26),"")</f>
        <v/>
      </c>
      <c r="G99" s="127" t="str">
        <f>IF($B99&lt;&gt;0,LOOKUP($B99,Actions!$B$4:$B$26,Actions!K$4:K$26),"")</f>
        <v/>
      </c>
      <c r="H99" s="127" t="str">
        <f>IF($B99&lt;&gt;0,LOOKUP($B99,Actions!$B$4:$B$26,Actions!L$4:L$26),"")</f>
        <v/>
      </c>
      <c r="I99" s="127" t="str">
        <f>IF($B99&lt;&gt;0,LOOKUP($B99,Actions!$B$4:$B$26,Actions!M$4:M$26),"")</f>
        <v/>
      </c>
      <c r="J99" s="127" t="str">
        <f>IF($B99&lt;&gt;0,LOOKUP($B99,Actions!$B$4:$B$26,Actions!N$4:N$26),"")</f>
        <v/>
      </c>
      <c r="K99" s="127"/>
      <c r="L99" s="119" t="str">
        <f>IF($B99&lt;&gt;0,LOOKUP($B99,Actions!$B$4:$B$26,Actions!O$4:O$26),"")</f>
        <v/>
      </c>
      <c r="M99" s="119" t="str">
        <f>IF($B99&lt;&gt;0,LOOKUP($B99,Actions!$B$4:$B$26,Actions!P$4:P$26),"")</f>
        <v/>
      </c>
      <c r="N99" s="119" t="str">
        <f>IF($B99&lt;&gt;0,LOOKUP($B99,Actions!$B$4:$B$26,Actions!Q$4:Q$26),"")</f>
        <v/>
      </c>
      <c r="O99" s="119" t="str">
        <f>IF($B99&lt;&gt;0,LOOKUP($B99,Actions!$B$4:$B$26,Actions!R$4:R$26),"")</f>
        <v/>
      </c>
      <c r="P99" s="119" t="str">
        <f>IF($B99&lt;&gt;0,LOOKUP($B99,Actions!$B$4:$B$26,Actions!S$4:S$26),"")</f>
        <v/>
      </c>
      <c r="Q99" s="119" t="str">
        <f>IF($B99&lt;&gt;0,LOOKUP($B99,Actions!$B$4:$B$26,Actions!T$4:T$26),"")</f>
        <v/>
      </c>
      <c r="R99" s="119" t="str">
        <f>IF($B99&lt;&gt;0,LOOKUP($B99,Actions!$B$4:$B$26,Actions!U$4:U$26),"")</f>
        <v/>
      </c>
      <c r="S99" s="119" t="str">
        <f>IF($B99&lt;&gt;0,LOOKUP($B99,Actions!$B$4:$B$26,Actions!V$4:V$26),"")</f>
        <v/>
      </c>
    </row>
    <row r="100" spans="2:19" x14ac:dyDescent="0.25">
      <c r="B100" s="352">
        <f>G34</f>
        <v>0</v>
      </c>
      <c r="C100" s="127" t="str">
        <f>IF($B100&lt;&gt;0,LOOKUP($B100,Actions!$B$4:$B$26,Actions!G$4:G$26),"")</f>
        <v/>
      </c>
      <c r="D100" s="127" t="str">
        <f>IF($B100&lt;&gt;0,LOOKUP($B100,Actions!$B$4:$B$26,Actions!H$4:H$26),"")</f>
        <v/>
      </c>
      <c r="E100" s="127" t="str">
        <f>IF($B100&lt;&gt;0,LOOKUP($B100,Actions!$B$4:$B$26,Actions!I$4:I$26),"")</f>
        <v/>
      </c>
      <c r="F100" s="127" t="str">
        <f>IF($B100&lt;&gt;0,LOOKUP($B100,Actions!$B$4:$B$26,Actions!J$4:J$26),"")</f>
        <v/>
      </c>
      <c r="G100" s="127" t="str">
        <f>IF($B100&lt;&gt;0,LOOKUP($B100,Actions!$B$4:$B$26,Actions!K$4:K$26),"")</f>
        <v/>
      </c>
      <c r="H100" s="127" t="str">
        <f>IF($B100&lt;&gt;0,LOOKUP($B100,Actions!$B$4:$B$26,Actions!L$4:L$26),"")</f>
        <v/>
      </c>
      <c r="I100" s="127" t="str">
        <f>IF($B100&lt;&gt;0,LOOKUP($B100,Actions!$B$4:$B$26,Actions!M$4:M$26),"")</f>
        <v/>
      </c>
      <c r="J100" s="127" t="str">
        <f>IF($B100&lt;&gt;0,LOOKUP($B100,Actions!$B$4:$B$26,Actions!N$4:N$26),"")</f>
        <v/>
      </c>
      <c r="K100" s="127"/>
      <c r="L100" s="119" t="str">
        <f>IF($B100&lt;&gt;0,LOOKUP($B100,Actions!$B$4:$B$26,Actions!O$4:O$26),"")</f>
        <v/>
      </c>
      <c r="M100" s="119" t="str">
        <f>IF($B100&lt;&gt;0,LOOKUP($B100,Actions!$B$4:$B$26,Actions!P$4:P$26),"")</f>
        <v/>
      </c>
      <c r="N100" s="119" t="str">
        <f>IF($B100&lt;&gt;0,LOOKUP($B100,Actions!$B$4:$B$26,Actions!Q$4:Q$26),"")</f>
        <v/>
      </c>
      <c r="O100" s="119" t="str">
        <f>IF($B100&lt;&gt;0,LOOKUP($B100,Actions!$B$4:$B$26,Actions!R$4:R$26),"")</f>
        <v/>
      </c>
      <c r="P100" s="119" t="str">
        <f>IF($B100&lt;&gt;0,LOOKUP($B100,Actions!$B$4:$B$26,Actions!S$4:S$26),"")</f>
        <v/>
      </c>
      <c r="Q100" s="119" t="str">
        <f>IF($B100&lt;&gt;0,LOOKUP($B100,Actions!$B$4:$B$26,Actions!T$4:T$26),"")</f>
        <v/>
      </c>
      <c r="R100" s="119" t="str">
        <f>IF($B100&lt;&gt;0,LOOKUP($B100,Actions!$B$4:$B$26,Actions!U$4:U$26),"")</f>
        <v/>
      </c>
      <c r="S100" s="119" t="str">
        <f>IF($B100&lt;&gt;0,LOOKUP($B100,Actions!$B$4:$B$26,Actions!V$4:V$26),"")</f>
        <v/>
      </c>
    </row>
    <row r="101" spans="2:19" x14ac:dyDescent="0.25">
      <c r="B101" s="352">
        <f>G35</f>
        <v>0</v>
      </c>
      <c r="C101" s="127" t="str">
        <f>IF($B101&lt;&gt;0,LOOKUP($B101,Actions!$B$4:$B$26,Actions!G$4:G$26),"")</f>
        <v/>
      </c>
      <c r="D101" s="127" t="str">
        <f>IF($B101&lt;&gt;0,LOOKUP($B101,Actions!$B$4:$B$26,Actions!H$4:H$26),"")</f>
        <v/>
      </c>
      <c r="E101" s="127" t="str">
        <f>IF($B101&lt;&gt;0,LOOKUP($B101,Actions!$B$4:$B$26,Actions!I$4:I$26),"")</f>
        <v/>
      </c>
      <c r="F101" s="127" t="str">
        <f>IF($B101&lt;&gt;0,LOOKUP($B101,Actions!$B$4:$B$26,Actions!J$4:J$26),"")</f>
        <v/>
      </c>
      <c r="G101" s="127" t="str">
        <f>IF($B101&lt;&gt;0,LOOKUP($B101,Actions!$B$4:$B$26,Actions!K$4:K$26),"")</f>
        <v/>
      </c>
      <c r="H101" s="127" t="str">
        <f>IF($B101&lt;&gt;0,LOOKUP($B101,Actions!$B$4:$B$26,Actions!L$4:L$26),"")</f>
        <v/>
      </c>
      <c r="I101" s="127" t="str">
        <f>IF($B101&lt;&gt;0,LOOKUP($B101,Actions!$B$4:$B$26,Actions!M$4:M$26),"")</f>
        <v/>
      </c>
      <c r="J101" s="127" t="str">
        <f>IF($B101&lt;&gt;0,LOOKUP($B101,Actions!$B$4:$B$26,Actions!N$4:N$26),"")</f>
        <v/>
      </c>
      <c r="K101" s="127"/>
      <c r="L101" s="119" t="str">
        <f>IF($B101&lt;&gt;0,LOOKUP($B101,Actions!$B$4:$B$26,Actions!O$4:O$26),"")</f>
        <v/>
      </c>
      <c r="M101" s="119" t="str">
        <f>IF($B101&lt;&gt;0,LOOKUP($B101,Actions!$B$4:$B$26,Actions!P$4:P$26),"")</f>
        <v/>
      </c>
      <c r="N101" s="119" t="str">
        <f>IF($B101&lt;&gt;0,LOOKUP($B101,Actions!$B$4:$B$26,Actions!Q$4:Q$26),"")</f>
        <v/>
      </c>
      <c r="O101" s="119" t="str">
        <f>IF($B101&lt;&gt;0,LOOKUP($B101,Actions!$B$4:$B$26,Actions!R$4:R$26),"")</f>
        <v/>
      </c>
      <c r="P101" s="119" t="str">
        <f>IF($B101&lt;&gt;0,LOOKUP($B101,Actions!$B$4:$B$26,Actions!S$4:S$26),"")</f>
        <v/>
      </c>
      <c r="Q101" s="119" t="str">
        <f>IF($B101&lt;&gt;0,LOOKUP($B101,Actions!$B$4:$B$26,Actions!T$4:T$26),"")</f>
        <v/>
      </c>
      <c r="R101" s="119" t="str">
        <f>IF($B101&lt;&gt;0,LOOKUP($B101,Actions!$B$4:$B$26,Actions!U$4:U$26),"")</f>
        <v/>
      </c>
      <c r="S101" s="119" t="str">
        <f>IF($B101&lt;&gt;0,LOOKUP($B101,Actions!$B$4:$B$26,Actions!V$4:V$26),"")</f>
        <v/>
      </c>
    </row>
    <row r="102" spans="2:19" x14ac:dyDescent="0.25">
      <c r="C102" s="58"/>
      <c r="D102" s="58"/>
      <c r="E102" s="58"/>
      <c r="F102" s="58"/>
      <c r="G102" s="58"/>
      <c r="H102" s="58"/>
      <c r="I102" s="58"/>
      <c r="J102" s="58"/>
      <c r="K102" s="58"/>
    </row>
    <row r="103" spans="2:19" ht="19.2" customHeight="1" x14ac:dyDescent="0.25">
      <c r="B103" s="38" t="s">
        <v>315</v>
      </c>
      <c r="C103" s="351">
        <f t="shared" ref="C103:S103" si="19">SUM(C96:C98)+SUM(C99:C101)</f>
        <v>0</v>
      </c>
      <c r="D103" s="351">
        <f t="shared" si="19"/>
        <v>0</v>
      </c>
      <c r="E103" s="351">
        <f t="shared" si="19"/>
        <v>0</v>
      </c>
      <c r="F103" s="351">
        <f t="shared" si="19"/>
        <v>0</v>
      </c>
      <c r="G103" s="351">
        <f t="shared" si="19"/>
        <v>0</v>
      </c>
      <c r="H103" s="351">
        <f t="shared" si="19"/>
        <v>0</v>
      </c>
      <c r="I103" s="351">
        <f t="shared" si="19"/>
        <v>0</v>
      </c>
      <c r="J103" s="351">
        <f t="shared" si="19"/>
        <v>0</v>
      </c>
      <c r="K103" s="351"/>
      <c r="L103" s="118">
        <f t="shared" si="19"/>
        <v>0</v>
      </c>
      <c r="M103" s="118">
        <f t="shared" si="19"/>
        <v>0</v>
      </c>
      <c r="N103" s="118">
        <f t="shared" si="19"/>
        <v>0</v>
      </c>
      <c r="O103" s="118">
        <f t="shared" si="19"/>
        <v>0</v>
      </c>
      <c r="P103" s="118">
        <f t="shared" si="19"/>
        <v>0</v>
      </c>
      <c r="Q103" s="118">
        <f t="shared" si="19"/>
        <v>0</v>
      </c>
      <c r="R103" s="118">
        <f t="shared" si="19"/>
        <v>0</v>
      </c>
      <c r="S103" s="118">
        <f t="shared" si="19"/>
        <v>0</v>
      </c>
    </row>
    <row r="105" spans="2:19" x14ac:dyDescent="0.25">
      <c r="B105" s="350" t="s">
        <v>15</v>
      </c>
    </row>
    <row r="106" spans="2:19" x14ac:dyDescent="0.25">
      <c r="B106" s="84"/>
      <c r="C106" s="796" t="s">
        <v>338</v>
      </c>
      <c r="D106" s="796"/>
      <c r="E106" s="796"/>
      <c r="F106" s="796"/>
      <c r="G106" s="796" t="s">
        <v>203</v>
      </c>
      <c r="H106" s="796"/>
      <c r="I106" s="796"/>
      <c r="J106" s="796"/>
      <c r="K106" s="648"/>
      <c r="L106" s="796" t="s">
        <v>233</v>
      </c>
      <c r="M106" s="796"/>
      <c r="N106" s="796"/>
      <c r="O106" s="796"/>
      <c r="P106" s="796" t="s">
        <v>149</v>
      </c>
      <c r="Q106" s="796"/>
      <c r="R106" s="796"/>
      <c r="S106" s="796"/>
    </row>
    <row r="107" spans="2:19" x14ac:dyDescent="0.25">
      <c r="B107" s="346" t="s">
        <v>217</v>
      </c>
      <c r="C107" s="117" t="s">
        <v>4</v>
      </c>
      <c r="D107" s="117" t="s">
        <v>6</v>
      </c>
      <c r="E107" s="117" t="s">
        <v>9</v>
      </c>
      <c r="F107" s="117" t="s">
        <v>11</v>
      </c>
      <c r="G107" s="117" t="s">
        <v>4</v>
      </c>
      <c r="H107" s="117" t="s">
        <v>6</v>
      </c>
      <c r="I107" s="117" t="s">
        <v>9</v>
      </c>
      <c r="J107" s="117" t="s">
        <v>11</v>
      </c>
      <c r="K107" s="117"/>
      <c r="L107" s="117" t="s">
        <v>114</v>
      </c>
      <c r="M107" s="117" t="s">
        <v>115</v>
      </c>
      <c r="N107" s="117" t="s">
        <v>116</v>
      </c>
      <c r="O107" s="117" t="s">
        <v>337</v>
      </c>
      <c r="P107" s="117" t="s">
        <v>114</v>
      </c>
      <c r="Q107" s="117" t="s">
        <v>115</v>
      </c>
      <c r="R107" s="117" t="s">
        <v>116</v>
      </c>
      <c r="S107" s="117" t="s">
        <v>337</v>
      </c>
    </row>
    <row r="108" spans="2:19" x14ac:dyDescent="0.25">
      <c r="B108" s="352">
        <f>M33</f>
        <v>6</v>
      </c>
      <c r="C108" s="127">
        <f>IF($B108&lt;&gt;0,LOOKUP($B108,Actions!$B$4:$B$26,Actions!G$4:G$26),"")</f>
        <v>0.05</v>
      </c>
      <c r="D108" s="127">
        <f>IF($B108&lt;&gt;0,LOOKUP($B108,Actions!$B$4:$B$26,Actions!H$4:H$26),"")</f>
        <v>0</v>
      </c>
      <c r="E108" s="127">
        <f>IF($B108&lt;&gt;0,LOOKUP($B108,Actions!$B$4:$B$26,Actions!I$4:I$26),"")</f>
        <v>0</v>
      </c>
      <c r="F108" s="127">
        <f>IF($B108&lt;&gt;0,LOOKUP($B108,Actions!$B$4:$B$26,Actions!J$4:J$26),"")</f>
        <v>0</v>
      </c>
      <c r="G108" s="127">
        <f>IF($B108&lt;&gt;0,LOOKUP($B108,Actions!$B$4:$B$26,Actions!K$4:K$26),"")</f>
        <v>0.04</v>
      </c>
      <c r="H108" s="127">
        <f>IF($B108&lt;&gt;0,LOOKUP($B108,Actions!$B$4:$B$26,Actions!L$4:L$26),"")</f>
        <v>0</v>
      </c>
      <c r="I108" s="127">
        <f>IF($B108&lt;&gt;0,LOOKUP($B108,Actions!$B$4:$B$26,Actions!M$4:M$26),"")</f>
        <v>0</v>
      </c>
      <c r="J108" s="127">
        <f>IF($B108&lt;&gt;0,LOOKUP($B108,Actions!$B$4:$B$26,Actions!N$4:N$26),"")</f>
        <v>0</v>
      </c>
      <c r="K108" s="127"/>
      <c r="L108" s="119">
        <f>IF($B108&lt;&gt;0,LOOKUP($B108,Actions!$B$4:$B$26,Actions!O$4:O$26),"")</f>
        <v>0</v>
      </c>
      <c r="M108" s="119">
        <f>IF($B108&lt;&gt;0,LOOKUP($B108,Actions!$B$4:$B$26,Actions!P$4:P$26),"")</f>
        <v>0</v>
      </c>
      <c r="N108" s="119">
        <f>IF($B108&lt;&gt;0,LOOKUP($B108,Actions!$B$4:$B$26,Actions!Q$4:Q$26),"")</f>
        <v>0</v>
      </c>
      <c r="O108" s="119">
        <f>IF($B108&lt;&gt;0,LOOKUP($B108,Actions!$B$4:$B$26,Actions!R$4:R$26),"")</f>
        <v>0</v>
      </c>
      <c r="P108" s="119">
        <f>IF($B108&lt;&gt;0,LOOKUP($B108,Actions!$B$4:$B$26,Actions!S$4:S$26),"")</f>
        <v>0</v>
      </c>
      <c r="Q108" s="119">
        <f>IF($B108&lt;&gt;0,LOOKUP($B108,Actions!$B$4:$B$26,Actions!T$4:T$26),"")</f>
        <v>0</v>
      </c>
      <c r="R108" s="119">
        <f>IF($B108&lt;&gt;0,LOOKUP($B108,Actions!$B$4:$B$26,Actions!U$4:U$26),"")</f>
        <v>0</v>
      </c>
      <c r="S108" s="119">
        <f>IF($B108&lt;&gt;0,LOOKUP($B108,Actions!$B$4:$B$26,Actions!V$4:V$26),"")</f>
        <v>0</v>
      </c>
    </row>
    <row r="109" spans="2:19" x14ac:dyDescent="0.25">
      <c r="B109" s="352">
        <f>M34</f>
        <v>0</v>
      </c>
      <c r="C109" s="127" t="str">
        <f>IF($B109&lt;&gt;0,LOOKUP($B109,Actions!$B$4:$B$26,Actions!G$4:G$26),"")</f>
        <v/>
      </c>
      <c r="D109" s="127" t="str">
        <f>IF($B109&lt;&gt;0,LOOKUP($B109,Actions!$B$4:$B$26,Actions!H$4:H$26),"")</f>
        <v/>
      </c>
      <c r="E109" s="127" t="str">
        <f>IF($B109&lt;&gt;0,LOOKUP($B109,Actions!$B$4:$B$26,Actions!I$4:I$26),"")</f>
        <v/>
      </c>
      <c r="F109" s="127" t="str">
        <f>IF($B109&lt;&gt;0,LOOKUP($B109,Actions!$B$4:$B$26,Actions!J$4:J$26),"")</f>
        <v/>
      </c>
      <c r="G109" s="127" t="str">
        <f>IF($B109&lt;&gt;0,LOOKUP($B109,Actions!$B$4:$B$26,Actions!K$4:K$26),"")</f>
        <v/>
      </c>
      <c r="H109" s="127" t="str">
        <f>IF($B109&lt;&gt;0,LOOKUP($B109,Actions!$B$4:$B$26,Actions!L$4:L$26),"")</f>
        <v/>
      </c>
      <c r="I109" s="127" t="str">
        <f>IF($B109&lt;&gt;0,LOOKUP($B109,Actions!$B$4:$B$26,Actions!M$4:M$26),"")</f>
        <v/>
      </c>
      <c r="J109" s="127" t="str">
        <f>IF($B109&lt;&gt;0,LOOKUP($B109,Actions!$B$4:$B$26,Actions!N$4:N$26),"")</f>
        <v/>
      </c>
      <c r="K109" s="127"/>
      <c r="L109" s="119" t="str">
        <f>IF($B109&lt;&gt;0,LOOKUP($B109,Actions!$B$4:$B$26,Actions!O$4:O$26),"")</f>
        <v/>
      </c>
      <c r="M109" s="119" t="str">
        <f>IF($B109&lt;&gt;0,LOOKUP($B109,Actions!$B$4:$B$26,Actions!P$4:P$26),"")</f>
        <v/>
      </c>
      <c r="N109" s="119" t="str">
        <f>IF($B109&lt;&gt;0,LOOKUP($B109,Actions!$B$4:$B$26,Actions!Q$4:Q$26),"")</f>
        <v/>
      </c>
      <c r="O109" s="119" t="str">
        <f>IF($B109&lt;&gt;0,LOOKUP($B109,Actions!$B$4:$B$26,Actions!R$4:R$26),"")</f>
        <v/>
      </c>
      <c r="P109" s="119" t="str">
        <f>IF($B109&lt;&gt;0,LOOKUP($B109,Actions!$B$4:$B$26,Actions!S$4:S$26),"")</f>
        <v/>
      </c>
      <c r="Q109" s="119" t="str">
        <f>IF($B109&lt;&gt;0,LOOKUP($B109,Actions!$B$4:$B$26,Actions!T$4:T$26),"")</f>
        <v/>
      </c>
      <c r="R109" s="119" t="str">
        <f>IF($B109&lt;&gt;0,LOOKUP($B109,Actions!$B$4:$B$26,Actions!U$4:U$26),"")</f>
        <v/>
      </c>
      <c r="S109" s="119" t="str">
        <f>IF($B109&lt;&gt;0,LOOKUP($B109,Actions!$B$4:$B$26,Actions!V$4:V$26),"")</f>
        <v/>
      </c>
    </row>
    <row r="110" spans="2:19" x14ac:dyDescent="0.25">
      <c r="B110" s="352">
        <f>M35</f>
        <v>0</v>
      </c>
      <c r="C110" s="127" t="str">
        <f>IF($B110&lt;&gt;0,LOOKUP($B110,Actions!$B$4:$B$26,Actions!G$4:G$26),"")</f>
        <v/>
      </c>
      <c r="D110" s="127" t="str">
        <f>IF($B110&lt;&gt;0,LOOKUP($B110,Actions!$B$4:$B$26,Actions!H$4:H$26),"")</f>
        <v/>
      </c>
      <c r="E110" s="127" t="str">
        <f>IF($B110&lt;&gt;0,LOOKUP($B110,Actions!$B$4:$B$26,Actions!I$4:I$26),"")</f>
        <v/>
      </c>
      <c r="F110" s="127" t="str">
        <f>IF($B110&lt;&gt;0,LOOKUP($B110,Actions!$B$4:$B$26,Actions!J$4:J$26),"")</f>
        <v/>
      </c>
      <c r="G110" s="127" t="str">
        <f>IF($B110&lt;&gt;0,LOOKUP($B110,Actions!$B$4:$B$26,Actions!K$4:K$26),"")</f>
        <v/>
      </c>
      <c r="H110" s="127" t="str">
        <f>IF($B110&lt;&gt;0,LOOKUP($B110,Actions!$B$4:$B$26,Actions!L$4:L$26),"")</f>
        <v/>
      </c>
      <c r="I110" s="127" t="str">
        <f>IF($B110&lt;&gt;0,LOOKUP($B110,Actions!$B$4:$B$26,Actions!M$4:M$26),"")</f>
        <v/>
      </c>
      <c r="J110" s="127" t="str">
        <f>IF($B110&lt;&gt;0,LOOKUP($B110,Actions!$B$4:$B$26,Actions!N$4:N$26),"")</f>
        <v/>
      </c>
      <c r="K110" s="127"/>
      <c r="L110" s="119" t="str">
        <f>IF($B110&lt;&gt;0,LOOKUP($B110,Actions!$B$4:$B$26,Actions!O$4:O$26),"")</f>
        <v/>
      </c>
      <c r="M110" s="119" t="str">
        <f>IF($B110&lt;&gt;0,LOOKUP($B110,Actions!$B$4:$B$26,Actions!P$4:P$26),"")</f>
        <v/>
      </c>
      <c r="N110" s="119" t="str">
        <f>IF($B110&lt;&gt;0,LOOKUP($B110,Actions!$B$4:$B$26,Actions!Q$4:Q$26),"")</f>
        <v/>
      </c>
      <c r="O110" s="119" t="str">
        <f>IF($B110&lt;&gt;0,LOOKUP($B110,Actions!$B$4:$B$26,Actions!R$4:R$26),"")</f>
        <v/>
      </c>
      <c r="P110" s="119" t="str">
        <f>IF($B110&lt;&gt;0,LOOKUP($B110,Actions!$B$4:$B$26,Actions!S$4:S$26),"")</f>
        <v/>
      </c>
      <c r="Q110" s="119" t="str">
        <f>IF($B110&lt;&gt;0,LOOKUP($B110,Actions!$B$4:$B$26,Actions!T$4:T$26),"")</f>
        <v/>
      </c>
      <c r="R110" s="119" t="str">
        <f>IF($B110&lt;&gt;0,LOOKUP($B110,Actions!$B$4:$B$26,Actions!U$4:U$26),"")</f>
        <v/>
      </c>
      <c r="S110" s="119" t="str">
        <f>IF($B110&lt;&gt;0,LOOKUP($B110,Actions!$B$4:$B$26,Actions!V$4:V$26),"")</f>
        <v/>
      </c>
    </row>
    <row r="111" spans="2:19" x14ac:dyDescent="0.25">
      <c r="B111" s="352">
        <f>R33</f>
        <v>21</v>
      </c>
      <c r="C111" s="127">
        <f>IF($B111&lt;&gt;0,LOOKUP($B111,Actions!$B$4:$B$26,Actions!G$4:G$26),"")</f>
        <v>0</v>
      </c>
      <c r="D111" s="127">
        <f>IF($B111&lt;&gt;0,LOOKUP($B111,Actions!$B$4:$B$26,Actions!H$4:H$26),"")</f>
        <v>0</v>
      </c>
      <c r="E111" s="127">
        <f>IF($B111&lt;&gt;0,LOOKUP($B111,Actions!$B$4:$B$26,Actions!I$4:I$26),"")</f>
        <v>0</v>
      </c>
      <c r="F111" s="127">
        <f>IF($B111&lt;&gt;0,LOOKUP($B111,Actions!$B$4:$B$26,Actions!J$4:J$26),"")</f>
        <v>0</v>
      </c>
      <c r="G111" s="127">
        <f>IF($B111&lt;&gt;0,LOOKUP($B111,Actions!$B$4:$B$26,Actions!K$4:K$26),"")</f>
        <v>0</v>
      </c>
      <c r="H111" s="127">
        <f>IF($B111&lt;&gt;0,LOOKUP($B111,Actions!$B$4:$B$26,Actions!L$4:L$26),"")</f>
        <v>0</v>
      </c>
      <c r="I111" s="127">
        <f>IF($B111&lt;&gt;0,LOOKUP($B111,Actions!$B$4:$B$26,Actions!M$4:M$26),"")</f>
        <v>0</v>
      </c>
      <c r="J111" s="127">
        <f>IF($B111&lt;&gt;0,LOOKUP($B111,Actions!$B$4:$B$26,Actions!N$4:N$26),"")</f>
        <v>0</v>
      </c>
      <c r="K111" s="127"/>
      <c r="L111" s="119">
        <f>IF($B111&lt;&gt;0,LOOKUP($B111,Actions!$B$4:$B$26,Actions!O$4:O$26),"")</f>
        <v>0</v>
      </c>
      <c r="M111" s="119">
        <f>IF($B111&lt;&gt;0,LOOKUP($B111,Actions!$B$4:$B$26,Actions!P$4:P$26),"")</f>
        <v>0</v>
      </c>
      <c r="N111" s="119">
        <f>IF($B111&lt;&gt;0,LOOKUP($B111,Actions!$B$4:$B$26,Actions!Q$4:Q$26),"")</f>
        <v>0</v>
      </c>
      <c r="O111" s="119"/>
      <c r="P111" s="119">
        <f>IF($B111&lt;&gt;0,LOOKUP($B111,Actions!$B$4:$B$26,Actions!S$4:S$26),"")</f>
        <v>5</v>
      </c>
      <c r="Q111" s="119">
        <f>IF($B111&lt;&gt;0,LOOKUP($B111,Actions!$B$4:$B$26,Actions!T$4:T$26),"")</f>
        <v>2</v>
      </c>
      <c r="R111" s="119">
        <f>IF($B111&lt;&gt;0,LOOKUP($B111,Actions!$B$4:$B$26,Actions!U$4:U$26),"")</f>
        <v>0</v>
      </c>
      <c r="S111" s="119">
        <f>IF($B111&lt;&gt;0,LOOKUP($B111,Actions!$B$4:$B$26,Actions!V$4:V$26),"")</f>
        <v>0</v>
      </c>
    </row>
    <row r="112" spans="2:19" x14ac:dyDescent="0.25">
      <c r="B112" s="352">
        <f>R34</f>
        <v>0</v>
      </c>
      <c r="C112" s="127" t="str">
        <f>IF($B112&lt;&gt;0,LOOKUP($B112,Actions!$B$4:$B$26,Actions!G$4:G$26),"")</f>
        <v/>
      </c>
      <c r="D112" s="127" t="str">
        <f>IF($B112&lt;&gt;0,LOOKUP($B112,Actions!$B$4:$B$26,Actions!H$4:H$26),"")</f>
        <v/>
      </c>
      <c r="E112" s="127" t="str">
        <f>IF($B112&lt;&gt;0,LOOKUP($B112,Actions!$B$4:$B$26,Actions!I$4:I$26),"")</f>
        <v/>
      </c>
      <c r="F112" s="127" t="str">
        <f>IF($B112&lt;&gt;0,LOOKUP($B112,Actions!$B$4:$B$26,Actions!J$4:J$26),"")</f>
        <v/>
      </c>
      <c r="G112" s="127" t="str">
        <f>IF($B112&lt;&gt;0,LOOKUP($B112,Actions!$B$4:$B$26,Actions!K$4:K$26),"")</f>
        <v/>
      </c>
      <c r="H112" s="127" t="str">
        <f>IF($B112&lt;&gt;0,LOOKUP($B112,Actions!$B$4:$B$26,Actions!L$4:L$26),"")</f>
        <v/>
      </c>
      <c r="I112" s="127" t="str">
        <f>IF($B112&lt;&gt;0,LOOKUP($B112,Actions!$B$4:$B$26,Actions!M$4:M$26),"")</f>
        <v/>
      </c>
      <c r="J112" s="127" t="str">
        <f>IF($B112&lt;&gt;0,LOOKUP($B112,Actions!$B$4:$B$26,Actions!N$4:N$26),"")</f>
        <v/>
      </c>
      <c r="K112" s="127"/>
      <c r="L112" s="119" t="str">
        <f>IF($B112&lt;&gt;0,LOOKUP($B112,Actions!$B$4:$B$26,Actions!O$4:O$26),"")</f>
        <v/>
      </c>
      <c r="M112" s="119" t="str">
        <f>IF($B112&lt;&gt;0,LOOKUP($B112,Actions!$B$4:$B$26,Actions!P$4:P$26),"")</f>
        <v/>
      </c>
      <c r="N112" s="119" t="str">
        <f>IF($B112&lt;&gt;0,LOOKUP($B112,Actions!$B$4:$B$26,Actions!Q$4:Q$26),"")</f>
        <v/>
      </c>
      <c r="O112" s="119"/>
      <c r="P112" s="119" t="str">
        <f>IF($B112&lt;&gt;0,LOOKUP($B112,Actions!$B$4:$B$26,Actions!S$4:S$26),"")</f>
        <v/>
      </c>
      <c r="Q112" s="119" t="str">
        <f>IF($B112&lt;&gt;0,LOOKUP($B112,Actions!$B$4:$B$26,Actions!T$4:T$26),"")</f>
        <v/>
      </c>
      <c r="R112" s="119" t="str">
        <f>IF($B112&lt;&gt;0,LOOKUP($B112,Actions!$B$4:$B$26,Actions!U$4:U$26),"")</f>
        <v/>
      </c>
      <c r="S112" s="119" t="str">
        <f>IF($B112&lt;&gt;0,LOOKUP($B112,Actions!$B$4:$B$26,Actions!V$4:V$26),"")</f>
        <v/>
      </c>
    </row>
    <row r="113" spans="2:19" x14ac:dyDescent="0.25">
      <c r="B113" s="352">
        <f>R35</f>
        <v>0</v>
      </c>
      <c r="C113" s="127" t="str">
        <f>IF($B113&lt;&gt;0,LOOKUP($B113,Actions!$B$4:$B$26,Actions!G$4:G$26),"")</f>
        <v/>
      </c>
      <c r="D113" s="127" t="str">
        <f>IF($B113&lt;&gt;0,LOOKUP($B113,Actions!$B$4:$B$26,Actions!H$4:H$26),"")</f>
        <v/>
      </c>
      <c r="E113" s="127" t="str">
        <f>IF($B113&lt;&gt;0,LOOKUP($B113,Actions!$B$4:$B$26,Actions!I$4:I$26),"")</f>
        <v/>
      </c>
      <c r="F113" s="127" t="str">
        <f>IF($B113&lt;&gt;0,LOOKUP($B113,Actions!$B$4:$B$26,Actions!J$4:J$26),"")</f>
        <v/>
      </c>
      <c r="G113" s="127" t="str">
        <f>IF($B113&lt;&gt;0,LOOKUP($B113,Actions!$B$4:$B$26,Actions!K$4:K$26),"")</f>
        <v/>
      </c>
      <c r="H113" s="127" t="str">
        <f>IF($B113&lt;&gt;0,LOOKUP($B113,Actions!$B$4:$B$26,Actions!L$4:L$26),"")</f>
        <v/>
      </c>
      <c r="I113" s="127" t="str">
        <f>IF($B113&lt;&gt;0,LOOKUP($B113,Actions!$B$4:$B$26,Actions!M$4:M$26),"")</f>
        <v/>
      </c>
      <c r="J113" s="127" t="str">
        <f>IF($B113&lt;&gt;0,LOOKUP($B113,Actions!$B$4:$B$26,Actions!N$4:N$26),"")</f>
        <v/>
      </c>
      <c r="K113" s="127"/>
      <c r="L113" s="119" t="str">
        <f>IF($B113&lt;&gt;0,LOOKUP($B113,Actions!$B$4:$B$26,Actions!O$4:O$26),"")</f>
        <v/>
      </c>
      <c r="M113" s="119" t="str">
        <f>IF($B113&lt;&gt;0,LOOKUP($B113,Actions!$B$4:$B$26,Actions!P$4:P$26),"")</f>
        <v/>
      </c>
      <c r="N113" s="119" t="str">
        <f>IF($B113&lt;&gt;0,LOOKUP($B113,Actions!$B$4:$B$26,Actions!Q$4:Q$26),"")</f>
        <v/>
      </c>
      <c r="O113" s="119"/>
      <c r="P113" s="119" t="str">
        <f>IF($B113&lt;&gt;0,LOOKUP($B113,Actions!$B$4:$B$26,Actions!S$4:S$26),"")</f>
        <v/>
      </c>
      <c r="Q113" s="119" t="str">
        <f>IF($B113&lt;&gt;0,LOOKUP($B113,Actions!$B$4:$B$26,Actions!T$4:T$26),"")</f>
        <v/>
      </c>
      <c r="R113" s="119" t="str">
        <f>IF($B113&lt;&gt;0,LOOKUP($B113,Actions!$B$4:$B$26,Actions!U$4:U$26),"")</f>
        <v/>
      </c>
      <c r="S113" s="119" t="str">
        <f>IF($B113&lt;&gt;0,LOOKUP($B113,Actions!$B$4:$B$26,Actions!V$4:V$26),"")</f>
        <v/>
      </c>
    </row>
    <row r="114" spans="2:19" x14ac:dyDescent="0.25">
      <c r="C114" s="58"/>
      <c r="D114" s="58"/>
      <c r="E114" s="58"/>
      <c r="F114" s="58"/>
      <c r="G114" s="58"/>
      <c r="H114" s="58"/>
      <c r="I114" s="58"/>
      <c r="J114" s="58"/>
      <c r="K114" s="58"/>
    </row>
    <row r="115" spans="2:19" ht="19.2" customHeight="1" x14ac:dyDescent="0.25">
      <c r="B115" s="38" t="s">
        <v>315</v>
      </c>
      <c r="C115" s="351">
        <f t="shared" ref="C115:S115" si="20">SUM(C108:C110)+SUM(C111:C113)</f>
        <v>0.05</v>
      </c>
      <c r="D115" s="351">
        <f t="shared" si="20"/>
        <v>0</v>
      </c>
      <c r="E115" s="351">
        <f t="shared" si="20"/>
        <v>0</v>
      </c>
      <c r="F115" s="351">
        <f t="shared" si="20"/>
        <v>0</v>
      </c>
      <c r="G115" s="351">
        <f t="shared" si="20"/>
        <v>0.04</v>
      </c>
      <c r="H115" s="351">
        <f t="shared" si="20"/>
        <v>0</v>
      </c>
      <c r="I115" s="351">
        <f t="shared" si="20"/>
        <v>0</v>
      </c>
      <c r="J115" s="351">
        <f t="shared" si="20"/>
        <v>0</v>
      </c>
      <c r="K115" s="351"/>
      <c r="L115" s="118">
        <f t="shared" si="20"/>
        <v>0</v>
      </c>
      <c r="M115" s="118">
        <f t="shared" si="20"/>
        <v>0</v>
      </c>
      <c r="N115" s="118">
        <f t="shared" si="20"/>
        <v>0</v>
      </c>
      <c r="O115" s="118">
        <f t="shared" si="20"/>
        <v>0</v>
      </c>
      <c r="P115" s="118">
        <f t="shared" si="20"/>
        <v>5</v>
      </c>
      <c r="Q115" s="118">
        <f t="shared" si="20"/>
        <v>2</v>
      </c>
      <c r="R115" s="118">
        <f t="shared" si="20"/>
        <v>0</v>
      </c>
      <c r="S115" s="118">
        <f t="shared" si="20"/>
        <v>0</v>
      </c>
    </row>
    <row r="117" spans="2:19" x14ac:dyDescent="0.25">
      <c r="B117" s="350" t="s">
        <v>16</v>
      </c>
    </row>
    <row r="118" spans="2:19" x14ac:dyDescent="0.25">
      <c r="B118" s="84"/>
      <c r="C118" s="796" t="s">
        <v>338</v>
      </c>
      <c r="D118" s="796"/>
      <c r="E118" s="796"/>
      <c r="F118" s="796"/>
      <c r="G118" s="796" t="s">
        <v>203</v>
      </c>
      <c r="H118" s="796"/>
      <c r="I118" s="796"/>
      <c r="J118" s="796"/>
      <c r="K118" s="648"/>
      <c r="L118" s="796" t="s">
        <v>233</v>
      </c>
      <c r="M118" s="796"/>
      <c r="N118" s="796"/>
      <c r="O118" s="796"/>
      <c r="P118" s="796" t="s">
        <v>149</v>
      </c>
      <c r="Q118" s="796"/>
      <c r="R118" s="796"/>
      <c r="S118" s="796"/>
    </row>
    <row r="119" spans="2:19" x14ac:dyDescent="0.25">
      <c r="B119" s="346" t="s">
        <v>217</v>
      </c>
      <c r="C119" s="117" t="s">
        <v>4</v>
      </c>
      <c r="D119" s="117" t="s">
        <v>6</v>
      </c>
      <c r="E119" s="117" t="s">
        <v>9</v>
      </c>
      <c r="F119" s="117" t="s">
        <v>11</v>
      </c>
      <c r="G119" s="117" t="s">
        <v>4</v>
      </c>
      <c r="H119" s="117" t="s">
        <v>6</v>
      </c>
      <c r="I119" s="117" t="s">
        <v>9</v>
      </c>
      <c r="J119" s="117" t="s">
        <v>11</v>
      </c>
      <c r="K119" s="117"/>
      <c r="L119" s="117" t="s">
        <v>114</v>
      </c>
      <c r="M119" s="117" t="s">
        <v>115</v>
      </c>
      <c r="N119" s="117" t="s">
        <v>116</v>
      </c>
      <c r="O119" s="117" t="s">
        <v>337</v>
      </c>
      <c r="P119" s="117" t="s">
        <v>114</v>
      </c>
      <c r="Q119" s="117" t="s">
        <v>115</v>
      </c>
      <c r="R119" s="117" t="s">
        <v>116</v>
      </c>
      <c r="S119" s="117" t="s">
        <v>337</v>
      </c>
    </row>
    <row r="120" spans="2:19" x14ac:dyDescent="0.25">
      <c r="B120" s="352">
        <f>X33</f>
        <v>4</v>
      </c>
      <c r="C120" s="127">
        <f>IF($B120&lt;&gt;0,LOOKUP($B120,Actions!$B$4:$B$26,Actions!G$4:G$26),"")</f>
        <v>0</v>
      </c>
      <c r="D120" s="127">
        <f>IF($B120&lt;&gt;0,LOOKUP($B120,Actions!$B$4:$B$26,Actions!H$4:H$26),"")</f>
        <v>0</v>
      </c>
      <c r="E120" s="127">
        <f>IF($B120&lt;&gt;0,LOOKUP($B120,Actions!$B$4:$B$26,Actions!I$4:I$26),"")</f>
        <v>0</v>
      </c>
      <c r="F120" s="127">
        <f>IF($B120&lt;&gt;0,LOOKUP($B120,Actions!$B$4:$B$26,Actions!J$4:J$26),"")</f>
        <v>0</v>
      </c>
      <c r="G120" s="127">
        <f>IF($B120&lt;&gt;0,LOOKUP($B120,Actions!$B$4:$B$26,Actions!K$4:K$26),"")</f>
        <v>0</v>
      </c>
      <c r="H120" s="127">
        <f>IF($B120&lt;&gt;0,LOOKUP($B120,Actions!$B$4:$B$26,Actions!L$4:L$26),"")</f>
        <v>0</v>
      </c>
      <c r="I120" s="127">
        <f>IF($B120&lt;&gt;0,LOOKUP($B120,Actions!$B$4:$B$26,Actions!M$4:M$26),"")</f>
        <v>0</v>
      </c>
      <c r="J120" s="127">
        <f>IF($B120&lt;&gt;0,LOOKUP($B120,Actions!$B$4:$B$26,Actions!N$4:N$26),"")</f>
        <v>0</v>
      </c>
      <c r="K120" s="127"/>
      <c r="L120" s="119">
        <f>IF($B120&lt;&gt;0,LOOKUP($B120,Actions!$B$4:$B$26,Actions!O$4:O$26),"")</f>
        <v>4</v>
      </c>
      <c r="M120" s="119">
        <f>IF($B120&lt;&gt;0,LOOKUP($B120,Actions!$B$4:$B$26,Actions!P$4:P$26),"")</f>
        <v>3</v>
      </c>
      <c r="N120" s="119">
        <f>IF($B120&lt;&gt;0,LOOKUP($B120,Actions!$B$4:$B$26,Actions!Q$4:Q$26),"")</f>
        <v>2</v>
      </c>
      <c r="O120" s="119">
        <f>IF($B120&lt;&gt;0,LOOKUP($B120,Actions!$B$4:$B$26,Actions!R$4:R$26),"")</f>
        <v>1</v>
      </c>
      <c r="P120" s="119">
        <f>IF($B120&lt;&gt;0,LOOKUP($B120,Actions!$B$4:$B$26,Actions!S$4:S$26),"")</f>
        <v>0</v>
      </c>
      <c r="Q120" s="119">
        <f>IF($B120&lt;&gt;0,LOOKUP($B120,Actions!$B$4:$B$26,Actions!T$4:T$26),"")</f>
        <v>0</v>
      </c>
      <c r="R120" s="119">
        <f>IF($B120&lt;&gt;0,LOOKUP($B120,Actions!$B$4:$B$26,Actions!U$4:U$26),"")</f>
        <v>0</v>
      </c>
      <c r="S120" s="119">
        <f>IF($B120&lt;&gt;0,LOOKUP($B120,Actions!$B$4:$B$26,Actions!V$4:V$26),"")</f>
        <v>0</v>
      </c>
    </row>
    <row r="121" spans="2:19" x14ac:dyDescent="0.25">
      <c r="B121" s="352">
        <f>X34</f>
        <v>12</v>
      </c>
      <c r="C121" s="127">
        <f>IF($B121&lt;&gt;0,LOOKUP($B121,Actions!$B$4:$B$26,Actions!G$4:G$26),"")</f>
        <v>0</v>
      </c>
      <c r="D121" s="127">
        <f>IF($B121&lt;&gt;0,LOOKUP($B121,Actions!$B$4:$B$26,Actions!H$4:H$26),"")</f>
        <v>0</v>
      </c>
      <c r="E121" s="127">
        <f>IF($B121&lt;&gt;0,LOOKUP($B121,Actions!$B$4:$B$26,Actions!I$4:I$26),"")</f>
        <v>0.08</v>
      </c>
      <c r="F121" s="127">
        <f>IF($B121&lt;&gt;0,LOOKUP($B121,Actions!$B$4:$B$26,Actions!J$4:J$26),"")</f>
        <v>0</v>
      </c>
      <c r="G121" s="127">
        <f>IF($B121&lt;&gt;0,LOOKUP($B121,Actions!$B$4:$B$26,Actions!K$4:K$26),"")</f>
        <v>0</v>
      </c>
      <c r="H121" s="127">
        <f>IF($B121&lt;&gt;0,LOOKUP($B121,Actions!$B$4:$B$26,Actions!L$4:L$26),"")</f>
        <v>0</v>
      </c>
      <c r="I121" s="127">
        <f>IF($B121&lt;&gt;0,LOOKUP($B121,Actions!$B$4:$B$26,Actions!M$4:M$26),"")</f>
        <v>0.02</v>
      </c>
      <c r="J121" s="127">
        <f>IF($B121&lt;&gt;0,LOOKUP($B121,Actions!$B$4:$B$26,Actions!N$4:N$26),"")</f>
        <v>0</v>
      </c>
      <c r="K121" s="127"/>
      <c r="L121" s="119">
        <f>IF($B121&lt;&gt;0,LOOKUP($B121,Actions!$B$4:$B$26,Actions!O$4:O$26),"")</f>
        <v>0</v>
      </c>
      <c r="M121" s="119">
        <f>IF($B121&lt;&gt;0,LOOKUP($B121,Actions!$B$4:$B$26,Actions!P$4:P$26),"")</f>
        <v>0</v>
      </c>
      <c r="N121" s="119">
        <f>IF($B121&lt;&gt;0,LOOKUP($B121,Actions!$B$4:$B$26,Actions!Q$4:Q$26),"")</f>
        <v>0</v>
      </c>
      <c r="O121" s="119">
        <f>IF($B121&lt;&gt;0,LOOKUP($B121,Actions!$B$4:$B$26,Actions!R$4:R$26),"")</f>
        <v>0</v>
      </c>
      <c r="P121" s="119">
        <f>IF($B121&lt;&gt;0,LOOKUP($B121,Actions!$B$4:$B$26,Actions!S$4:S$26),"")</f>
        <v>0</v>
      </c>
      <c r="Q121" s="119">
        <f>IF($B121&lt;&gt;0,LOOKUP($B121,Actions!$B$4:$B$26,Actions!T$4:T$26),"")</f>
        <v>0</v>
      </c>
      <c r="R121" s="119">
        <f>IF($B121&lt;&gt;0,LOOKUP($B121,Actions!$B$4:$B$26,Actions!U$4:U$26),"")</f>
        <v>0</v>
      </c>
      <c r="S121" s="119">
        <f>IF($B121&lt;&gt;0,LOOKUP($B121,Actions!$B$4:$B$26,Actions!V$4:V$26),"")</f>
        <v>0</v>
      </c>
    </row>
    <row r="122" spans="2:19" x14ac:dyDescent="0.25">
      <c r="B122" s="352">
        <f>X35</f>
        <v>0</v>
      </c>
      <c r="C122" s="127" t="str">
        <f>IF($B122&lt;&gt;0,LOOKUP($B122,Actions!$B$4:$B$26,Actions!G$4:G$26),"")</f>
        <v/>
      </c>
      <c r="D122" s="127" t="str">
        <f>IF($B122&lt;&gt;0,LOOKUP($B122,Actions!$B$4:$B$26,Actions!H$4:H$26),"")</f>
        <v/>
      </c>
      <c r="E122" s="127" t="str">
        <f>IF($B122&lt;&gt;0,LOOKUP($B122,Actions!$B$4:$B$26,Actions!I$4:I$26),"")</f>
        <v/>
      </c>
      <c r="F122" s="127" t="str">
        <f>IF($B122&lt;&gt;0,LOOKUP($B122,Actions!$B$4:$B$26,Actions!J$4:J$26),"")</f>
        <v/>
      </c>
      <c r="G122" s="127" t="str">
        <f>IF($B122&lt;&gt;0,LOOKUP($B122,Actions!$B$4:$B$26,Actions!K$4:K$26),"")</f>
        <v/>
      </c>
      <c r="H122" s="127" t="str">
        <f>IF($B122&lt;&gt;0,LOOKUP($B122,Actions!$B$4:$B$26,Actions!L$4:L$26),"")</f>
        <v/>
      </c>
      <c r="I122" s="127" t="str">
        <f>IF($B122&lt;&gt;0,LOOKUP($B122,Actions!$B$4:$B$26,Actions!M$4:M$26),"")</f>
        <v/>
      </c>
      <c r="J122" s="127" t="str">
        <f>IF($B122&lt;&gt;0,LOOKUP($B122,Actions!$B$4:$B$26,Actions!N$4:N$26),"")</f>
        <v/>
      </c>
      <c r="K122" s="127"/>
      <c r="L122" s="119" t="str">
        <f>IF($B122&lt;&gt;0,LOOKUP($B122,Actions!$B$4:$B$26,Actions!O$4:O$26),"")</f>
        <v/>
      </c>
      <c r="M122" s="119" t="str">
        <f>IF($B122&lt;&gt;0,LOOKUP($B122,Actions!$B$4:$B$26,Actions!P$4:P$26),"")</f>
        <v/>
      </c>
      <c r="N122" s="119" t="str">
        <f>IF($B122&lt;&gt;0,LOOKUP($B122,Actions!$B$4:$B$26,Actions!Q$4:Q$26),"")</f>
        <v/>
      </c>
      <c r="O122" s="119" t="str">
        <f>IF($B122&lt;&gt;0,LOOKUP($B122,Actions!$B$4:$B$26,Actions!R$4:R$26),"")</f>
        <v/>
      </c>
      <c r="P122" s="119" t="str">
        <f>IF($B122&lt;&gt;0,LOOKUP($B122,Actions!$B$4:$B$26,Actions!S$4:S$26),"")</f>
        <v/>
      </c>
      <c r="Q122" s="119" t="str">
        <f>IF($B122&lt;&gt;0,LOOKUP($B122,Actions!$B$4:$B$26,Actions!T$4:T$26),"")</f>
        <v/>
      </c>
      <c r="R122" s="119" t="str">
        <f>IF($B122&lt;&gt;0,LOOKUP($B122,Actions!$B$4:$B$26,Actions!U$4:U$26),"")</f>
        <v/>
      </c>
      <c r="S122" s="119" t="str">
        <f>IF($B122&lt;&gt;0,LOOKUP($B122,Actions!$B$4:$B$26,Actions!V$4:V$26),"")</f>
        <v/>
      </c>
    </row>
    <row r="123" spans="2:19" x14ac:dyDescent="0.25">
      <c r="B123" s="352">
        <f>AC33</f>
        <v>20</v>
      </c>
      <c r="C123" s="127">
        <f>IF($B123&lt;&gt;0,LOOKUP($B123,Actions!$B$4:$B$26,Actions!G$4:G$26),"")</f>
        <v>0</v>
      </c>
      <c r="D123" s="127">
        <f>IF($B123&lt;&gt;0,LOOKUP($B123,Actions!$B$4:$B$26,Actions!H$4:H$26),"")</f>
        <v>0</v>
      </c>
      <c r="E123" s="127">
        <f>IF($B123&lt;&gt;0,LOOKUP($B123,Actions!$B$4:$B$26,Actions!I$4:I$26),"")</f>
        <v>0</v>
      </c>
      <c r="F123" s="127">
        <f>IF($B123&lt;&gt;0,LOOKUP($B123,Actions!$B$4:$B$26,Actions!J$4:J$26),"")</f>
        <v>0</v>
      </c>
      <c r="G123" s="127">
        <f>IF($B123&lt;&gt;0,LOOKUP($B123,Actions!$B$4:$B$26,Actions!K$4:K$26),"")</f>
        <v>0</v>
      </c>
      <c r="H123" s="127">
        <f>IF($B123&lt;&gt;0,LOOKUP($B123,Actions!$B$4:$B$26,Actions!L$4:L$26),"")</f>
        <v>0</v>
      </c>
      <c r="I123" s="127">
        <f>IF($B123&lt;&gt;0,LOOKUP($B123,Actions!$B$4:$B$26,Actions!M$4:M$26),"")</f>
        <v>0</v>
      </c>
      <c r="J123" s="127">
        <f>IF($B123&lt;&gt;0,LOOKUP($B123,Actions!$B$4:$B$26,Actions!N$4:N$26),"")</f>
        <v>0</v>
      </c>
      <c r="K123" s="127"/>
      <c r="L123" s="119">
        <f>IF($B123&lt;&gt;0,LOOKUP($B123,Actions!$B$4:$B$26,Actions!O$4:O$26),"")</f>
        <v>0</v>
      </c>
      <c r="M123" s="119">
        <f>IF($B123&lt;&gt;0,LOOKUP($B123,Actions!$B$4:$B$26,Actions!P$4:P$26),"")</f>
        <v>0</v>
      </c>
      <c r="N123" s="119">
        <f>IF($B123&lt;&gt;0,LOOKUP($B123,Actions!$B$4:$B$26,Actions!Q$4:Q$26),"")</f>
        <v>0</v>
      </c>
      <c r="O123" s="119">
        <f>IF($B123&lt;&gt;0,LOOKUP($B123,Actions!$B$4:$B$26,Actions!R$4:R$26),"")</f>
        <v>0</v>
      </c>
      <c r="P123" s="119">
        <f>IF($B123&lt;&gt;0,LOOKUP($B123,Actions!$B$4:$B$26,Actions!S$4:S$26),"")</f>
        <v>2</v>
      </c>
      <c r="Q123" s="119">
        <f>IF($B123&lt;&gt;0,LOOKUP($B123,Actions!$B$4:$B$26,Actions!T$4:T$26),"")</f>
        <v>0</v>
      </c>
      <c r="R123" s="119">
        <f>IF($B123&lt;&gt;0,LOOKUP($B123,Actions!$B$4:$B$26,Actions!U$4:U$26),"")</f>
        <v>0</v>
      </c>
      <c r="S123" s="119">
        <f>IF($B123&lt;&gt;0,LOOKUP($B123,Actions!$B$4:$B$26,Actions!V$4:V$26),"")</f>
        <v>0</v>
      </c>
    </row>
    <row r="124" spans="2:19" x14ac:dyDescent="0.25">
      <c r="B124" s="352">
        <f>AC34</f>
        <v>0</v>
      </c>
      <c r="C124" s="127" t="str">
        <f>IF($B124&lt;&gt;0,LOOKUP($B124,Actions!$B$4:$B$26,Actions!G$4:G$26),"")</f>
        <v/>
      </c>
      <c r="D124" s="127" t="str">
        <f>IF($B124&lt;&gt;0,LOOKUP($B124,Actions!$B$4:$B$26,Actions!H$4:H$26),"")</f>
        <v/>
      </c>
      <c r="E124" s="127" t="str">
        <f>IF($B124&lt;&gt;0,LOOKUP($B124,Actions!$B$4:$B$26,Actions!I$4:I$26),"")</f>
        <v/>
      </c>
      <c r="F124" s="127" t="str">
        <f>IF($B124&lt;&gt;0,LOOKUP($B124,Actions!$B$4:$B$26,Actions!J$4:J$26),"")</f>
        <v/>
      </c>
      <c r="G124" s="127" t="str">
        <f>IF($B124&lt;&gt;0,LOOKUP($B124,Actions!$B$4:$B$26,Actions!K$4:K$26),"")</f>
        <v/>
      </c>
      <c r="H124" s="127" t="str">
        <f>IF($B124&lt;&gt;0,LOOKUP($B124,Actions!$B$4:$B$26,Actions!L$4:L$26),"")</f>
        <v/>
      </c>
      <c r="I124" s="127" t="str">
        <f>IF($B124&lt;&gt;0,LOOKUP($B124,Actions!$B$4:$B$26,Actions!M$4:M$26),"")</f>
        <v/>
      </c>
      <c r="J124" s="127" t="str">
        <f>IF($B124&lt;&gt;0,LOOKUP($B124,Actions!$B$4:$B$26,Actions!N$4:N$26),"")</f>
        <v/>
      </c>
      <c r="K124" s="127"/>
      <c r="L124" s="119" t="str">
        <f>IF($B124&lt;&gt;0,LOOKUP($B124,Actions!$B$4:$B$26,Actions!O$4:O$26),"")</f>
        <v/>
      </c>
      <c r="M124" s="119" t="str">
        <f>IF($B124&lt;&gt;0,LOOKUP($B124,Actions!$B$4:$B$26,Actions!P$4:P$26),"")</f>
        <v/>
      </c>
      <c r="N124" s="119" t="str">
        <f>IF($B124&lt;&gt;0,LOOKUP($B124,Actions!$B$4:$B$26,Actions!Q$4:Q$26),"")</f>
        <v/>
      </c>
      <c r="O124" s="119" t="str">
        <f>IF($B124&lt;&gt;0,LOOKUP($B124,Actions!$B$4:$B$26,Actions!R$4:R$26),"")</f>
        <v/>
      </c>
      <c r="P124" s="119" t="str">
        <f>IF($B124&lt;&gt;0,LOOKUP($B124,Actions!$B$4:$B$26,Actions!S$4:S$26),"")</f>
        <v/>
      </c>
      <c r="Q124" s="119" t="str">
        <f>IF($B124&lt;&gt;0,LOOKUP($B124,Actions!$B$4:$B$26,Actions!T$4:T$26),"")</f>
        <v/>
      </c>
      <c r="R124" s="119" t="str">
        <f>IF($B124&lt;&gt;0,LOOKUP($B124,Actions!$B$4:$B$26,Actions!U$4:U$26),"")</f>
        <v/>
      </c>
      <c r="S124" s="119" t="str">
        <f>IF($B124&lt;&gt;0,LOOKUP($B124,Actions!$B$4:$B$26,Actions!V$4:V$26),"")</f>
        <v/>
      </c>
    </row>
    <row r="125" spans="2:19" x14ac:dyDescent="0.25">
      <c r="B125" s="352">
        <f>AC35</f>
        <v>0</v>
      </c>
      <c r="C125" s="127" t="str">
        <f>IF($B125&lt;&gt;0,LOOKUP($B125,Actions!$B$4:$B$26,Actions!G$4:G$26),"")</f>
        <v/>
      </c>
      <c r="D125" s="127" t="str">
        <f>IF($B125&lt;&gt;0,LOOKUP($B125,Actions!$B$4:$B$26,Actions!H$4:H$26),"")</f>
        <v/>
      </c>
      <c r="E125" s="127" t="str">
        <f>IF($B125&lt;&gt;0,LOOKUP($B125,Actions!$B$4:$B$26,Actions!I$4:I$26),"")</f>
        <v/>
      </c>
      <c r="F125" s="127" t="str">
        <f>IF($B125&lt;&gt;0,LOOKUP($B125,Actions!$B$4:$B$26,Actions!J$4:J$26),"")</f>
        <v/>
      </c>
      <c r="G125" s="127" t="str">
        <f>IF($B125&lt;&gt;0,LOOKUP($B125,Actions!$B$4:$B$26,Actions!K$4:K$26),"")</f>
        <v/>
      </c>
      <c r="H125" s="127" t="str">
        <f>IF($B125&lt;&gt;0,LOOKUP($B125,Actions!$B$4:$B$26,Actions!L$4:L$26),"")</f>
        <v/>
      </c>
      <c r="I125" s="127" t="str">
        <f>IF($B125&lt;&gt;0,LOOKUP($B125,Actions!$B$4:$B$26,Actions!M$4:M$26),"")</f>
        <v/>
      </c>
      <c r="J125" s="127" t="str">
        <f>IF($B125&lt;&gt;0,LOOKUP($B125,Actions!$B$4:$B$26,Actions!N$4:N$26),"")</f>
        <v/>
      </c>
      <c r="K125" s="127"/>
      <c r="L125" s="119" t="str">
        <f>IF($B125&lt;&gt;0,LOOKUP($B125,Actions!$B$4:$B$26,Actions!O$4:O$26),"")</f>
        <v/>
      </c>
      <c r="M125" s="119" t="str">
        <f>IF($B125&lt;&gt;0,LOOKUP($B125,Actions!$B$4:$B$26,Actions!P$4:P$26),"")</f>
        <v/>
      </c>
      <c r="N125" s="119" t="str">
        <f>IF($B125&lt;&gt;0,LOOKUP($B125,Actions!$B$4:$B$26,Actions!Q$4:Q$26),"")</f>
        <v/>
      </c>
      <c r="O125" s="119" t="str">
        <f>IF($B125&lt;&gt;0,LOOKUP($B125,Actions!$B$4:$B$26,Actions!R$4:R$26),"")</f>
        <v/>
      </c>
      <c r="P125" s="119" t="str">
        <f>IF($B125&lt;&gt;0,LOOKUP($B125,Actions!$B$4:$B$26,Actions!S$4:S$26),"")</f>
        <v/>
      </c>
      <c r="Q125" s="119" t="str">
        <f>IF($B125&lt;&gt;0,LOOKUP($B125,Actions!$B$4:$B$26,Actions!T$4:T$26),"")</f>
        <v/>
      </c>
      <c r="R125" s="119" t="str">
        <f>IF($B125&lt;&gt;0,LOOKUP($B125,Actions!$B$4:$B$26,Actions!U$4:U$26),"")</f>
        <v/>
      </c>
      <c r="S125" s="119" t="str">
        <f>IF($B125&lt;&gt;0,LOOKUP($B125,Actions!$B$4:$B$26,Actions!V$4:V$26),"")</f>
        <v/>
      </c>
    </row>
    <row r="126" spans="2:19" x14ac:dyDescent="0.25">
      <c r="C126" s="58"/>
      <c r="D126" s="58"/>
      <c r="E126" s="58"/>
      <c r="F126" s="58"/>
      <c r="G126" s="58"/>
      <c r="H126" s="58"/>
      <c r="I126" s="58"/>
      <c r="J126" s="58"/>
      <c r="K126" s="58"/>
    </row>
    <row r="127" spans="2:19" ht="19.2" customHeight="1" x14ac:dyDescent="0.25">
      <c r="B127" s="38" t="s">
        <v>315</v>
      </c>
      <c r="C127" s="351">
        <f t="shared" ref="C127:S127" si="21">SUM(C120:C122)+SUM(C123:C125)</f>
        <v>0</v>
      </c>
      <c r="D127" s="351">
        <f t="shared" si="21"/>
        <v>0</v>
      </c>
      <c r="E127" s="351">
        <f t="shared" si="21"/>
        <v>0.08</v>
      </c>
      <c r="F127" s="351">
        <f t="shared" si="21"/>
        <v>0</v>
      </c>
      <c r="G127" s="351">
        <f t="shared" si="21"/>
        <v>0</v>
      </c>
      <c r="H127" s="351">
        <f t="shared" si="21"/>
        <v>0</v>
      </c>
      <c r="I127" s="351">
        <f t="shared" si="21"/>
        <v>0.02</v>
      </c>
      <c r="J127" s="351">
        <f t="shared" si="21"/>
        <v>0</v>
      </c>
      <c r="K127" s="351"/>
      <c r="L127" s="118">
        <f>SUM(L120:L122)+SUM(L123:L125)</f>
        <v>4</v>
      </c>
      <c r="M127" s="118">
        <f t="shared" si="21"/>
        <v>3</v>
      </c>
      <c r="N127" s="118">
        <f t="shared" si="21"/>
        <v>2</v>
      </c>
      <c r="O127" s="118"/>
      <c r="P127" s="118">
        <f t="shared" si="21"/>
        <v>2</v>
      </c>
      <c r="Q127" s="118">
        <f t="shared" si="21"/>
        <v>0</v>
      </c>
      <c r="R127" s="118"/>
      <c r="S127" s="118">
        <f t="shared" si="21"/>
        <v>0</v>
      </c>
    </row>
    <row r="129" spans="2:19" x14ac:dyDescent="0.25">
      <c r="B129" s="350" t="s">
        <v>17</v>
      </c>
    </row>
    <row r="130" spans="2:19" x14ac:dyDescent="0.25">
      <c r="B130" s="84"/>
      <c r="C130" s="796" t="s">
        <v>338</v>
      </c>
      <c r="D130" s="796"/>
      <c r="E130" s="796"/>
      <c r="F130" s="796"/>
      <c r="G130" s="796" t="s">
        <v>203</v>
      </c>
      <c r="H130" s="796"/>
      <c r="I130" s="796"/>
      <c r="J130" s="796"/>
      <c r="K130" s="648"/>
      <c r="L130" s="796" t="s">
        <v>233</v>
      </c>
      <c r="M130" s="796"/>
      <c r="N130" s="796"/>
      <c r="O130" s="796"/>
      <c r="P130" s="796" t="s">
        <v>149</v>
      </c>
      <c r="Q130" s="796"/>
      <c r="R130" s="796"/>
      <c r="S130" s="796"/>
    </row>
    <row r="131" spans="2:19" x14ac:dyDescent="0.25">
      <c r="B131" s="346" t="s">
        <v>217</v>
      </c>
      <c r="C131" s="117" t="s">
        <v>4</v>
      </c>
      <c r="D131" s="117" t="s">
        <v>6</v>
      </c>
      <c r="E131" s="117" t="s">
        <v>9</v>
      </c>
      <c r="F131" s="117" t="s">
        <v>11</v>
      </c>
      <c r="G131" s="117" t="s">
        <v>4</v>
      </c>
      <c r="H131" s="117" t="s">
        <v>6</v>
      </c>
      <c r="I131" s="117" t="s">
        <v>9</v>
      </c>
      <c r="J131" s="117" t="s">
        <v>11</v>
      </c>
      <c r="K131" s="117"/>
      <c r="L131" s="117" t="s">
        <v>114</v>
      </c>
      <c r="M131" s="117" t="s">
        <v>115</v>
      </c>
      <c r="N131" s="117" t="s">
        <v>116</v>
      </c>
      <c r="O131" s="117" t="s">
        <v>337</v>
      </c>
      <c r="P131" s="117" t="s">
        <v>114</v>
      </c>
      <c r="Q131" s="117" t="s">
        <v>115</v>
      </c>
      <c r="R131" s="117" t="s">
        <v>116</v>
      </c>
      <c r="S131" s="117" t="s">
        <v>337</v>
      </c>
    </row>
    <row r="132" spans="2:19" x14ac:dyDescent="0.25">
      <c r="B132" s="352">
        <f>AI33</f>
        <v>2</v>
      </c>
      <c r="C132" s="127">
        <f>IF($B132&lt;&gt;0,LOOKUP($B132,Actions!$B$4:$B$26,Actions!G$4:G$26),"")</f>
        <v>0</v>
      </c>
      <c r="D132" s="127">
        <f>IF($B132&lt;&gt;0,LOOKUP($B132,Actions!$B$4:$B$26,Actions!H$4:H$26),"")</f>
        <v>0</v>
      </c>
      <c r="E132" s="127">
        <f>IF($B132&lt;&gt;0,LOOKUP($B132,Actions!$B$4:$B$26,Actions!I$4:I$26),"")</f>
        <v>0</v>
      </c>
      <c r="F132" s="127">
        <f>IF($B132&lt;&gt;0,LOOKUP($B132,Actions!$B$4:$B$26,Actions!J$4:J$26),"")</f>
        <v>0</v>
      </c>
      <c r="G132" s="127">
        <f>IF($B132&lt;&gt;0,LOOKUP($B132,Actions!$B$4:$B$26,Actions!K$4:K$26),"")</f>
        <v>0</v>
      </c>
      <c r="H132" s="127">
        <f>IF($B132&lt;&gt;0,LOOKUP($B132,Actions!$B$4:$B$26,Actions!L$4:L$26),"")</f>
        <v>0</v>
      </c>
      <c r="I132" s="127">
        <f>IF($B132&lt;&gt;0,LOOKUP($B132,Actions!$B$4:$B$26,Actions!M$4:M$26),"")</f>
        <v>0</v>
      </c>
      <c r="J132" s="127">
        <f>IF($B132&lt;&gt;0,LOOKUP($B132,Actions!$B$4:$B$26,Actions!N$4:N$26),"")</f>
        <v>0</v>
      </c>
      <c r="K132" s="127"/>
      <c r="L132" s="119">
        <f>IF($B132&lt;&gt;0,LOOKUP($B132,Actions!$B$4:$B$26,Actions!O$4:O$26),"")</f>
        <v>6</v>
      </c>
      <c r="M132" s="119">
        <f>IF($B132&lt;&gt;0,LOOKUP($B132,Actions!$B$4:$B$26,Actions!P$4:P$26),"")</f>
        <v>6</v>
      </c>
      <c r="N132" s="119">
        <f>IF($B132&lt;&gt;0,LOOKUP($B132,Actions!$B$4:$B$26,Actions!Q$4:Q$26),"")</f>
        <v>6</v>
      </c>
      <c r="O132" s="119">
        <f>IF($B132&lt;&gt;0,LOOKUP($B132,Actions!$B$4:$B$26,Actions!R$4:R$26),"")</f>
        <v>6</v>
      </c>
      <c r="P132" s="119">
        <f>IF($B132&lt;&gt;0,LOOKUP($B132,Actions!$B$4:$B$26,Actions!S$4:S$26),"")</f>
        <v>0</v>
      </c>
      <c r="Q132" s="119">
        <f>IF($B132&lt;&gt;0,LOOKUP($B132,Actions!$B$4:$B$26,Actions!T$4:T$26),"")</f>
        <v>0</v>
      </c>
      <c r="R132" s="119">
        <f>IF($B132&lt;&gt;0,LOOKUP($B132,Actions!$B$4:$B$26,Actions!U$4:U$26),"")</f>
        <v>0</v>
      </c>
      <c r="S132" s="119">
        <f>IF($B132&lt;&gt;0,LOOKUP($B132,Actions!$B$4:$B$26,Actions!V$4:V$26),"")</f>
        <v>0</v>
      </c>
    </row>
    <row r="133" spans="2:19" x14ac:dyDescent="0.25">
      <c r="B133" s="352">
        <f>AI34</f>
        <v>13</v>
      </c>
      <c r="C133" s="127">
        <f>IF($B133&lt;&gt;0,LOOKUP($B133,Actions!$B$4:$B$26,Actions!G$4:G$26),"")</f>
        <v>0</v>
      </c>
      <c r="D133" s="127">
        <f>IF($B133&lt;&gt;0,LOOKUP($B133,Actions!$B$4:$B$26,Actions!H$4:H$26),"")</f>
        <v>0</v>
      </c>
      <c r="E133" s="127">
        <f>IF($B133&lt;&gt;0,LOOKUP($B133,Actions!$B$4:$B$26,Actions!I$4:I$26),"")</f>
        <v>0</v>
      </c>
      <c r="F133" s="127">
        <f>IF($B133&lt;&gt;0,LOOKUP($B133,Actions!$B$4:$B$26,Actions!J$4:J$26),"")</f>
        <v>0.08</v>
      </c>
      <c r="G133" s="127">
        <f>IF($B133&lt;&gt;0,LOOKUP($B133,Actions!$B$4:$B$26,Actions!K$4:K$26),"")</f>
        <v>0</v>
      </c>
      <c r="H133" s="127">
        <f>IF($B133&lt;&gt;0,LOOKUP($B133,Actions!$B$4:$B$26,Actions!L$4:L$26),"")</f>
        <v>0</v>
      </c>
      <c r="I133" s="127">
        <f>IF($B133&lt;&gt;0,LOOKUP($B133,Actions!$B$4:$B$26,Actions!M$4:M$26),"")</f>
        <v>0</v>
      </c>
      <c r="J133" s="127">
        <f>IF($B133&lt;&gt;0,LOOKUP($B133,Actions!$B$4:$B$26,Actions!N$4:N$26),"")</f>
        <v>0.02</v>
      </c>
      <c r="K133" s="127"/>
      <c r="L133" s="119">
        <f>IF($B133&lt;&gt;0,LOOKUP($B133,Actions!$B$4:$B$26,Actions!O$4:O$26),"")</f>
        <v>0</v>
      </c>
      <c r="M133" s="119">
        <f>IF($B133&lt;&gt;0,LOOKUP($B133,Actions!$B$4:$B$26,Actions!P$4:P$26),"")</f>
        <v>0</v>
      </c>
      <c r="N133" s="119">
        <f>IF($B133&lt;&gt;0,LOOKUP($B133,Actions!$B$4:$B$26,Actions!Q$4:Q$26),"")</f>
        <v>0</v>
      </c>
      <c r="O133" s="119">
        <f>IF($B133&lt;&gt;0,LOOKUP($B133,Actions!$B$4:$B$26,Actions!R$4:R$26),"")</f>
        <v>0</v>
      </c>
      <c r="P133" s="119">
        <f>IF($B133&lt;&gt;0,LOOKUP($B133,Actions!$B$4:$B$26,Actions!S$4:S$26),"")</f>
        <v>0</v>
      </c>
      <c r="Q133" s="119">
        <f>IF($B133&lt;&gt;0,LOOKUP($B133,Actions!$B$4:$B$26,Actions!T$4:T$26),"")</f>
        <v>0</v>
      </c>
      <c r="R133" s="119">
        <f>IF($B133&lt;&gt;0,LOOKUP($B133,Actions!$B$4:$B$26,Actions!U$4:U$26),"")</f>
        <v>0</v>
      </c>
      <c r="S133" s="119">
        <f>IF($B133&lt;&gt;0,LOOKUP($B133,Actions!$B$4:$B$26,Actions!V$4:V$26),"")</f>
        <v>0</v>
      </c>
    </row>
    <row r="134" spans="2:19" x14ac:dyDescent="0.25">
      <c r="B134" s="352">
        <f>AI35</f>
        <v>0</v>
      </c>
      <c r="C134" s="127" t="str">
        <f>IF($B134&lt;&gt;0,LOOKUP($B134,Actions!$B$4:$B$26,Actions!G$4:G$26),"")</f>
        <v/>
      </c>
      <c r="D134" s="127" t="str">
        <f>IF($B134&lt;&gt;0,LOOKUP($B134,Actions!$B$4:$B$26,Actions!H$4:H$26),"")</f>
        <v/>
      </c>
      <c r="E134" s="127" t="str">
        <f>IF($B134&lt;&gt;0,LOOKUP($B134,Actions!$B$4:$B$26,Actions!I$4:I$26),"")</f>
        <v/>
      </c>
      <c r="F134" s="127" t="str">
        <f>IF($B134&lt;&gt;0,LOOKUP($B134,Actions!$B$4:$B$26,Actions!J$4:J$26),"")</f>
        <v/>
      </c>
      <c r="G134" s="127" t="str">
        <f>IF($B134&lt;&gt;0,LOOKUP($B134,Actions!$B$4:$B$26,Actions!K$4:K$26),"")</f>
        <v/>
      </c>
      <c r="H134" s="127" t="str">
        <f>IF($B134&lt;&gt;0,LOOKUP($B134,Actions!$B$4:$B$26,Actions!L$4:L$26),"")</f>
        <v/>
      </c>
      <c r="I134" s="127" t="str">
        <f>IF($B134&lt;&gt;0,LOOKUP($B134,Actions!$B$4:$B$26,Actions!M$4:M$26),"")</f>
        <v/>
      </c>
      <c r="J134" s="127" t="str">
        <f>IF($B134&lt;&gt;0,LOOKUP($B134,Actions!$B$4:$B$26,Actions!N$4:N$26),"")</f>
        <v/>
      </c>
      <c r="K134" s="127"/>
      <c r="L134" s="119" t="str">
        <f>IF($B134&lt;&gt;0,LOOKUP($B134,Actions!$B$4:$B$26,Actions!O$4:O$26),"")</f>
        <v/>
      </c>
      <c r="M134" s="119" t="str">
        <f>IF($B134&lt;&gt;0,LOOKUP($B134,Actions!$B$4:$B$26,Actions!P$4:P$26),"")</f>
        <v/>
      </c>
      <c r="N134" s="119" t="str">
        <f>IF($B134&lt;&gt;0,LOOKUP($B134,Actions!$B$4:$B$26,Actions!Q$4:Q$26),"")</f>
        <v/>
      </c>
      <c r="O134" s="119" t="str">
        <f>IF($B134&lt;&gt;0,LOOKUP($B134,Actions!$B$4:$B$26,Actions!R$4:R$26),"")</f>
        <v/>
      </c>
      <c r="P134" s="119" t="str">
        <f>IF($B134&lt;&gt;0,LOOKUP($B134,Actions!$B$4:$B$26,Actions!S$4:S$26),"")</f>
        <v/>
      </c>
      <c r="Q134" s="119" t="str">
        <f>IF($B134&lt;&gt;0,LOOKUP($B134,Actions!$B$4:$B$26,Actions!T$4:T$26),"")</f>
        <v/>
      </c>
      <c r="R134" s="119" t="str">
        <f>IF($B134&lt;&gt;0,LOOKUP($B134,Actions!$B$4:$B$26,Actions!U$4:U$26),"")</f>
        <v/>
      </c>
      <c r="S134" s="119" t="str">
        <f>IF($B134&lt;&gt;0,LOOKUP($B134,Actions!$B$4:$B$26,Actions!V$4:V$26),"")</f>
        <v/>
      </c>
    </row>
    <row r="135" spans="2:19" x14ac:dyDescent="0.25">
      <c r="B135" s="352">
        <f>AN33</f>
        <v>22</v>
      </c>
      <c r="C135" s="127">
        <f>IF($B135&lt;&gt;0,LOOKUP($B135,Actions!$B$4:$B$26,Actions!G$4:G$26),"")</f>
        <v>0</v>
      </c>
      <c r="D135" s="127">
        <f>IF($B135&lt;&gt;0,LOOKUP($B135,Actions!$B$4:$B$26,Actions!H$4:H$26),"")</f>
        <v>0</v>
      </c>
      <c r="E135" s="127">
        <f>IF($B135&lt;&gt;0,LOOKUP($B135,Actions!$B$4:$B$26,Actions!I$4:I$26),"")</f>
        <v>0</v>
      </c>
      <c r="F135" s="127">
        <f>IF($B135&lt;&gt;0,LOOKUP($B135,Actions!$B$4:$B$26,Actions!J$4:J$26),"")</f>
        <v>0</v>
      </c>
      <c r="G135" s="127">
        <f>IF($B135&lt;&gt;0,LOOKUP($B135,Actions!$B$4:$B$26,Actions!K$4:K$26),"")</f>
        <v>0</v>
      </c>
      <c r="H135" s="127">
        <f>IF($B135&lt;&gt;0,LOOKUP($B135,Actions!$B$4:$B$26,Actions!L$4:L$26),"")</f>
        <v>0</v>
      </c>
      <c r="I135" s="127">
        <f>IF($B135&lt;&gt;0,LOOKUP($B135,Actions!$B$4:$B$26,Actions!M$4:M$26),"")</f>
        <v>0</v>
      </c>
      <c r="J135" s="127">
        <f>IF($B135&lt;&gt;0,LOOKUP($B135,Actions!$B$4:$B$26,Actions!N$4:N$26),"")</f>
        <v>0</v>
      </c>
      <c r="K135" s="127"/>
      <c r="L135" s="119">
        <f>IF($B135&lt;&gt;0,LOOKUP($B135,Actions!$B$4:$B$26,Actions!O$4:O$26),"")</f>
        <v>0</v>
      </c>
      <c r="M135" s="119">
        <f>IF($B135&lt;&gt;0,LOOKUP($B135,Actions!$B$4:$B$26,Actions!P$4:P$26),"")</f>
        <v>0</v>
      </c>
      <c r="N135" s="119">
        <f>IF($B135&lt;&gt;0,LOOKUP($B135,Actions!$B$4:$B$26,Actions!Q$4:Q$26),"")</f>
        <v>0</v>
      </c>
      <c r="O135" s="119">
        <f>IF($B135&lt;&gt;0,LOOKUP($B135,Actions!$B$4:$B$26,Actions!R$4:R$26),"")</f>
        <v>0</v>
      </c>
      <c r="P135" s="119">
        <f>IF($B135&lt;&gt;0,LOOKUP($B135,Actions!$B$4:$B$26,Actions!S$4:S$26),"")</f>
        <v>3</v>
      </c>
      <c r="Q135" s="119">
        <f>IF($B135&lt;&gt;0,LOOKUP($B135,Actions!$B$4:$B$26,Actions!T$4:T$26),"")</f>
        <v>0</v>
      </c>
      <c r="R135" s="119">
        <f>IF($B135&lt;&gt;0,LOOKUP($B135,Actions!$B$4:$B$26,Actions!U$4:U$26),"")</f>
        <v>0</v>
      </c>
      <c r="S135" s="119">
        <f>IF($B135&lt;&gt;0,LOOKUP($B135,Actions!$B$4:$B$26,Actions!V$4:V$26),"")</f>
        <v>0</v>
      </c>
    </row>
    <row r="136" spans="2:19" x14ac:dyDescent="0.25">
      <c r="B136" s="352">
        <f>AN34</f>
        <v>0</v>
      </c>
      <c r="C136" s="127" t="str">
        <f>IF($B136&lt;&gt;0,LOOKUP($B136,Actions!$B$4:$B$26,Actions!G$4:G$26),"")</f>
        <v/>
      </c>
      <c r="D136" s="127" t="str">
        <f>IF($B136&lt;&gt;0,LOOKUP($B136,Actions!$B$4:$B$26,Actions!H$4:H$26),"")</f>
        <v/>
      </c>
      <c r="E136" s="127" t="str">
        <f>IF($B136&lt;&gt;0,LOOKUP($B136,Actions!$B$4:$B$26,Actions!I$4:I$26),"")</f>
        <v/>
      </c>
      <c r="F136" s="127" t="str">
        <f>IF($B136&lt;&gt;0,LOOKUP($B136,Actions!$B$4:$B$26,Actions!J$4:J$26),"")</f>
        <v/>
      </c>
      <c r="G136" s="127" t="str">
        <f>IF($B136&lt;&gt;0,LOOKUP($B136,Actions!$B$4:$B$26,Actions!K$4:K$26),"")</f>
        <v/>
      </c>
      <c r="H136" s="127" t="str">
        <f>IF($B136&lt;&gt;0,LOOKUP($B136,Actions!$B$4:$B$26,Actions!L$4:L$26),"")</f>
        <v/>
      </c>
      <c r="I136" s="127" t="str">
        <f>IF($B136&lt;&gt;0,LOOKUP($B136,Actions!$B$4:$B$26,Actions!M$4:M$26),"")</f>
        <v/>
      </c>
      <c r="J136" s="127" t="str">
        <f>IF($B136&lt;&gt;0,LOOKUP($B136,Actions!$B$4:$B$26,Actions!N$4:N$26),"")</f>
        <v/>
      </c>
      <c r="K136" s="127"/>
      <c r="L136" s="119" t="str">
        <f>IF($B136&lt;&gt;0,LOOKUP($B136,Actions!$B$4:$B$26,Actions!O$4:O$26),"")</f>
        <v/>
      </c>
      <c r="M136" s="119" t="str">
        <f>IF($B136&lt;&gt;0,LOOKUP($B136,Actions!$B$4:$B$26,Actions!P$4:P$26),"")</f>
        <v/>
      </c>
      <c r="N136" s="119" t="str">
        <f>IF($B136&lt;&gt;0,LOOKUP($B136,Actions!$B$4:$B$26,Actions!Q$4:Q$26),"")</f>
        <v/>
      </c>
      <c r="O136" s="119" t="str">
        <f>IF($B136&lt;&gt;0,LOOKUP($B136,Actions!$B$4:$B$26,Actions!R$4:R$26),"")</f>
        <v/>
      </c>
      <c r="P136" s="119" t="str">
        <f>IF($B136&lt;&gt;0,LOOKUP($B136,Actions!$B$4:$B$26,Actions!S$4:S$26),"")</f>
        <v/>
      </c>
      <c r="Q136" s="119" t="str">
        <f>IF($B136&lt;&gt;0,LOOKUP($B136,Actions!$B$4:$B$26,Actions!T$4:T$26),"")</f>
        <v/>
      </c>
      <c r="R136" s="119" t="str">
        <f>IF($B136&lt;&gt;0,LOOKUP($B136,Actions!$B$4:$B$26,Actions!U$4:U$26),"")</f>
        <v/>
      </c>
      <c r="S136" s="119" t="str">
        <f>IF($B136&lt;&gt;0,LOOKUP($B136,Actions!$B$4:$B$26,Actions!V$4:V$26),"")</f>
        <v/>
      </c>
    </row>
    <row r="137" spans="2:19" x14ac:dyDescent="0.25">
      <c r="B137" s="352">
        <f>AN35</f>
        <v>0</v>
      </c>
      <c r="C137" s="127" t="str">
        <f>IF($B137&lt;&gt;0,LOOKUP($B137,Actions!$B$4:$B$26,Actions!G$4:G$26),"")</f>
        <v/>
      </c>
      <c r="D137" s="127" t="str">
        <f>IF($B137&lt;&gt;0,LOOKUP($B137,Actions!$B$4:$B$26,Actions!H$4:H$26),"")</f>
        <v/>
      </c>
      <c r="E137" s="127" t="str">
        <f>IF($B137&lt;&gt;0,LOOKUP($B137,Actions!$B$4:$B$26,Actions!I$4:I$26),"")</f>
        <v/>
      </c>
      <c r="F137" s="127" t="str">
        <f>IF($B137&lt;&gt;0,LOOKUP($B137,Actions!$B$4:$B$26,Actions!J$4:J$26),"")</f>
        <v/>
      </c>
      <c r="G137" s="127" t="str">
        <f>IF($B137&lt;&gt;0,LOOKUP($B137,Actions!$B$4:$B$26,Actions!K$4:K$26),"")</f>
        <v/>
      </c>
      <c r="H137" s="127" t="str">
        <f>IF($B137&lt;&gt;0,LOOKUP($B137,Actions!$B$4:$B$26,Actions!L$4:L$26),"")</f>
        <v/>
      </c>
      <c r="I137" s="127" t="str">
        <f>IF($B137&lt;&gt;0,LOOKUP($B137,Actions!$B$4:$B$26,Actions!M$4:M$26),"")</f>
        <v/>
      </c>
      <c r="J137" s="127" t="str">
        <f>IF($B137&lt;&gt;0,LOOKUP($B137,Actions!$B$4:$B$26,Actions!N$4:N$26),"")</f>
        <v/>
      </c>
      <c r="K137" s="127"/>
      <c r="L137" s="119" t="str">
        <f>IF($B137&lt;&gt;0,LOOKUP($B137,Actions!$B$4:$B$26,Actions!O$4:O$26),"")</f>
        <v/>
      </c>
      <c r="M137" s="119" t="str">
        <f>IF($B137&lt;&gt;0,LOOKUP($B137,Actions!$B$4:$B$26,Actions!P$4:P$26),"")</f>
        <v/>
      </c>
      <c r="N137" s="119" t="str">
        <f>IF($B137&lt;&gt;0,LOOKUP($B137,Actions!$B$4:$B$26,Actions!Q$4:Q$26),"")</f>
        <v/>
      </c>
      <c r="O137" s="119" t="str">
        <f>IF($B137&lt;&gt;0,LOOKUP($B137,Actions!$B$4:$B$26,Actions!R$4:R$26),"")</f>
        <v/>
      </c>
      <c r="P137" s="119" t="str">
        <f>IF($B137&lt;&gt;0,LOOKUP($B137,Actions!$B$4:$B$26,Actions!S$4:S$26),"")</f>
        <v/>
      </c>
      <c r="Q137" s="119" t="str">
        <f>IF($B137&lt;&gt;0,LOOKUP($B137,Actions!$B$4:$B$26,Actions!T$4:T$26),"")</f>
        <v/>
      </c>
      <c r="R137" s="119" t="str">
        <f>IF($B137&lt;&gt;0,LOOKUP($B137,Actions!$B$4:$B$26,Actions!U$4:U$26),"")</f>
        <v/>
      </c>
      <c r="S137" s="119" t="str">
        <f>IF($B137&lt;&gt;0,LOOKUP($B137,Actions!$B$4:$B$26,Actions!V$4:V$26),"")</f>
        <v/>
      </c>
    </row>
    <row r="138" spans="2:19" x14ac:dyDescent="0.25">
      <c r="C138" s="58"/>
      <c r="D138" s="58"/>
      <c r="E138" s="58"/>
      <c r="F138" s="58"/>
      <c r="G138" s="58"/>
      <c r="H138" s="58"/>
      <c r="I138" s="58"/>
      <c r="J138" s="58"/>
      <c r="K138" s="58"/>
    </row>
    <row r="139" spans="2:19" ht="19.2" customHeight="1" x14ac:dyDescent="0.25">
      <c r="B139" s="38" t="s">
        <v>315</v>
      </c>
      <c r="C139" s="351">
        <f t="shared" ref="C139:S139" si="22">SUM(C132:C134)+SUM(C135:C137)</f>
        <v>0</v>
      </c>
      <c r="D139" s="351">
        <f t="shared" si="22"/>
        <v>0</v>
      </c>
      <c r="E139" s="351">
        <f t="shared" si="22"/>
        <v>0</v>
      </c>
      <c r="F139" s="351">
        <f t="shared" si="22"/>
        <v>0.08</v>
      </c>
      <c r="G139" s="351">
        <f t="shared" si="22"/>
        <v>0</v>
      </c>
      <c r="H139" s="351">
        <f t="shared" si="22"/>
        <v>0</v>
      </c>
      <c r="I139" s="351">
        <f t="shared" si="22"/>
        <v>0</v>
      </c>
      <c r="J139" s="351">
        <f t="shared" si="22"/>
        <v>0.02</v>
      </c>
      <c r="K139" s="351"/>
      <c r="L139" s="118">
        <f t="shared" si="22"/>
        <v>6</v>
      </c>
      <c r="M139" s="118">
        <f t="shared" si="22"/>
        <v>6</v>
      </c>
      <c r="N139" s="118">
        <f t="shared" si="22"/>
        <v>6</v>
      </c>
      <c r="O139" s="118">
        <f t="shared" si="22"/>
        <v>6</v>
      </c>
      <c r="P139" s="118">
        <f t="shared" si="22"/>
        <v>3</v>
      </c>
      <c r="Q139" s="118">
        <f t="shared" si="22"/>
        <v>0</v>
      </c>
      <c r="R139" s="118">
        <f t="shared" si="22"/>
        <v>0</v>
      </c>
      <c r="S139" s="118">
        <f t="shared" si="22"/>
        <v>0</v>
      </c>
    </row>
    <row r="141" spans="2:19" x14ac:dyDescent="0.25">
      <c r="B141" s="350" t="s">
        <v>18</v>
      </c>
    </row>
    <row r="142" spans="2:19" x14ac:dyDescent="0.25">
      <c r="B142" s="84"/>
      <c r="C142" s="796" t="s">
        <v>338</v>
      </c>
      <c r="D142" s="796"/>
      <c r="E142" s="796"/>
      <c r="F142" s="796"/>
      <c r="G142" s="796" t="s">
        <v>203</v>
      </c>
      <c r="H142" s="796"/>
      <c r="I142" s="796"/>
      <c r="J142" s="796"/>
      <c r="K142" s="648"/>
      <c r="L142" s="796" t="s">
        <v>233</v>
      </c>
      <c r="M142" s="796"/>
      <c r="N142" s="796"/>
      <c r="O142" s="796"/>
      <c r="P142" s="796" t="s">
        <v>149</v>
      </c>
      <c r="Q142" s="796"/>
      <c r="R142" s="796"/>
      <c r="S142" s="796"/>
    </row>
    <row r="143" spans="2:19" x14ac:dyDescent="0.25">
      <c r="B143" s="346" t="s">
        <v>217</v>
      </c>
      <c r="C143" s="117" t="s">
        <v>4</v>
      </c>
      <c r="D143" s="117" t="s">
        <v>6</v>
      </c>
      <c r="E143" s="117" t="s">
        <v>9</v>
      </c>
      <c r="F143" s="117" t="s">
        <v>11</v>
      </c>
      <c r="G143" s="117" t="s">
        <v>4</v>
      </c>
      <c r="H143" s="117" t="s">
        <v>6</v>
      </c>
      <c r="I143" s="117" t="s">
        <v>9</v>
      </c>
      <c r="J143" s="117" t="s">
        <v>11</v>
      </c>
      <c r="K143" s="117"/>
      <c r="L143" s="117" t="s">
        <v>114</v>
      </c>
      <c r="M143" s="117" t="s">
        <v>115</v>
      </c>
      <c r="N143" s="117" t="s">
        <v>116</v>
      </c>
      <c r="O143" s="117" t="s">
        <v>337</v>
      </c>
      <c r="P143" s="117" t="s">
        <v>114</v>
      </c>
      <c r="Q143" s="117" t="s">
        <v>115</v>
      </c>
      <c r="R143" s="117" t="s">
        <v>116</v>
      </c>
      <c r="S143" s="117" t="s">
        <v>337</v>
      </c>
    </row>
    <row r="144" spans="2:19" x14ac:dyDescent="0.25">
      <c r="B144" s="352">
        <f>AT33</f>
        <v>8</v>
      </c>
      <c r="C144" s="127">
        <f>IF($B144&lt;&gt;0,LOOKUP($B144,Actions!$B$4:$B$26,Actions!G$4:G$26),"")</f>
        <v>0</v>
      </c>
      <c r="D144" s="127">
        <f>IF($B144&lt;&gt;0,LOOKUP($B144,Actions!$B$4:$B$26,Actions!H$4:H$26),"")</f>
        <v>0</v>
      </c>
      <c r="E144" s="127">
        <f>IF($B144&lt;&gt;0,LOOKUP($B144,Actions!$B$4:$B$26,Actions!I$4:I$26),"")</f>
        <v>0.05</v>
      </c>
      <c r="F144" s="127">
        <f>IF($B144&lt;&gt;0,LOOKUP($B144,Actions!$B$4:$B$26,Actions!J$4:J$26),"")</f>
        <v>0</v>
      </c>
      <c r="G144" s="127">
        <f>IF($B144&lt;&gt;0,LOOKUP($B144,Actions!$B$4:$B$26,Actions!K$4:K$26),"")</f>
        <v>0</v>
      </c>
      <c r="H144" s="127">
        <f>IF($B144&lt;&gt;0,LOOKUP($B144,Actions!$B$4:$B$26,Actions!L$4:L$26),"")</f>
        <v>0</v>
      </c>
      <c r="I144" s="127">
        <f>IF($B144&lt;&gt;0,LOOKUP($B144,Actions!$B$4:$B$26,Actions!M$4:M$26),"")</f>
        <v>0.04</v>
      </c>
      <c r="J144" s="127">
        <f>IF($B144&lt;&gt;0,LOOKUP($B144,Actions!$B$4:$B$26,Actions!N$4:N$26),"")</f>
        <v>0</v>
      </c>
      <c r="K144" s="127"/>
      <c r="L144" s="119">
        <f>IF($B144&lt;&gt;0,LOOKUP($B144,Actions!$B$4:$B$26,Actions!O$4:O$26),"")</f>
        <v>0</v>
      </c>
      <c r="M144" s="119">
        <f>IF($B144&lt;&gt;0,LOOKUP($B144,Actions!$B$4:$B$26,Actions!P$4:P$26),"")</f>
        <v>0</v>
      </c>
      <c r="N144" s="119">
        <f>IF($B144&lt;&gt;0,LOOKUP($B144,Actions!$B$4:$B$26,Actions!Q$4:Q$26),"")</f>
        <v>0</v>
      </c>
      <c r="O144" s="119">
        <f>IF($B144&lt;&gt;0,LOOKUP($B144,Actions!$B$4:$B$26,Actions!R$4:R$26),"")</f>
        <v>0</v>
      </c>
      <c r="P144" s="119">
        <f>IF($B144&lt;&gt;0,LOOKUP($B144,Actions!$B$4:$B$26,Actions!S$4:S$26),"")</f>
        <v>0</v>
      </c>
      <c r="Q144" s="119">
        <f>IF($B144&lt;&gt;0,LOOKUP($B144,Actions!$B$4:$B$26,Actions!T$4:T$26),"")</f>
        <v>0</v>
      </c>
      <c r="R144" s="119">
        <f>IF($B144&lt;&gt;0,LOOKUP($B144,Actions!$B$4:$B$26,Actions!U$4:U$26),"")</f>
        <v>0</v>
      </c>
      <c r="S144" s="119">
        <f>IF($B144&lt;&gt;0,LOOKUP($B144,Actions!$B$4:$B$26,Actions!V$4:V$26),"")</f>
        <v>0</v>
      </c>
    </row>
    <row r="145" spans="2:19" x14ac:dyDescent="0.25">
      <c r="B145" s="352">
        <f>AT34</f>
        <v>17</v>
      </c>
      <c r="C145" s="127">
        <f>IF($B145&lt;&gt;0,LOOKUP($B145,Actions!$B$4:$B$26,Actions!G$4:G$26),"")</f>
        <v>0</v>
      </c>
      <c r="D145" s="127">
        <f>IF($B145&lt;&gt;0,LOOKUP($B145,Actions!$B$4:$B$26,Actions!H$4:H$26),"")</f>
        <v>0</v>
      </c>
      <c r="E145" s="127">
        <f>IF($B145&lt;&gt;0,LOOKUP($B145,Actions!$B$4:$B$26,Actions!I$4:I$26),"")</f>
        <v>0</v>
      </c>
      <c r="F145" s="127">
        <f>IF($B145&lt;&gt;0,LOOKUP($B145,Actions!$B$4:$B$26,Actions!J$4:J$26),"")</f>
        <v>0</v>
      </c>
      <c r="G145" s="127">
        <f>IF($B145&lt;&gt;0,LOOKUP($B145,Actions!$B$4:$B$26,Actions!K$4:K$26),"")</f>
        <v>0</v>
      </c>
      <c r="H145" s="127">
        <f>IF($B145&lt;&gt;0,LOOKUP($B145,Actions!$B$4:$B$26,Actions!L$4:L$26),"")</f>
        <v>0</v>
      </c>
      <c r="I145" s="127">
        <f>IF($B145&lt;&gt;0,LOOKUP($B145,Actions!$B$4:$B$26,Actions!M$4:M$26),"")</f>
        <v>0</v>
      </c>
      <c r="J145" s="127">
        <f>IF($B145&lt;&gt;0,LOOKUP($B145,Actions!$B$4:$B$26,Actions!N$4:N$26),"")</f>
        <v>0</v>
      </c>
      <c r="K145" s="127"/>
      <c r="L145" s="119">
        <f>IF($B145&lt;&gt;0,LOOKUP($B145,Actions!$B$4:$B$26,Actions!O$4:O$26),"")</f>
        <v>3</v>
      </c>
      <c r="M145" s="119">
        <f>IF($B145&lt;&gt;0,LOOKUP($B145,Actions!$B$4:$B$26,Actions!P$4:P$26),"")</f>
        <v>1</v>
      </c>
      <c r="N145" s="119">
        <f>IF($B145&lt;&gt;0,LOOKUP($B145,Actions!$B$4:$B$26,Actions!Q$4:Q$26),"")</f>
        <v>0</v>
      </c>
      <c r="O145" s="119">
        <f>IF($B145&lt;&gt;0,LOOKUP($B145,Actions!$B$4:$B$26,Actions!R$4:R$26),"")</f>
        <v>0</v>
      </c>
      <c r="P145" s="119">
        <f>IF($B145&lt;&gt;0,LOOKUP($B145,Actions!$B$4:$B$26,Actions!S$4:S$26),"")</f>
        <v>0</v>
      </c>
      <c r="Q145" s="119">
        <f>IF($B145&lt;&gt;0,LOOKUP($B145,Actions!$B$4:$B$26,Actions!T$4:T$26),"")</f>
        <v>0</v>
      </c>
      <c r="R145" s="119">
        <f>IF($B145&lt;&gt;0,LOOKUP($B145,Actions!$B$4:$B$26,Actions!U$4:U$26),"")</f>
        <v>0</v>
      </c>
      <c r="S145" s="119">
        <f>IF($B145&lt;&gt;0,LOOKUP($B145,Actions!$B$4:$B$26,Actions!V$4:V$26),"")</f>
        <v>0</v>
      </c>
    </row>
    <row r="146" spans="2:19" x14ac:dyDescent="0.25">
      <c r="B146" s="352">
        <f>AT35</f>
        <v>0</v>
      </c>
      <c r="C146" s="127" t="str">
        <f>IF($B146&lt;&gt;0,LOOKUP($B146,Actions!$B$4:$B$26,Actions!G$4:G$26),"")</f>
        <v/>
      </c>
      <c r="D146" s="127" t="str">
        <f>IF($B146&lt;&gt;0,LOOKUP($B146,Actions!$B$4:$B$26,Actions!H$4:H$26),"")</f>
        <v/>
      </c>
      <c r="E146" s="127" t="str">
        <f>IF($B146&lt;&gt;0,LOOKUP($B146,Actions!$B$4:$B$26,Actions!I$4:I$26),"")</f>
        <v/>
      </c>
      <c r="F146" s="127" t="str">
        <f>IF($B146&lt;&gt;0,LOOKUP($B146,Actions!$B$4:$B$26,Actions!J$4:J$26),"")</f>
        <v/>
      </c>
      <c r="G146" s="127" t="str">
        <f>IF($B146&lt;&gt;0,LOOKUP($B146,Actions!$B$4:$B$26,Actions!K$4:K$26),"")</f>
        <v/>
      </c>
      <c r="H146" s="127" t="str">
        <f>IF($B146&lt;&gt;0,LOOKUP($B146,Actions!$B$4:$B$26,Actions!L$4:L$26),"")</f>
        <v/>
      </c>
      <c r="I146" s="127" t="str">
        <f>IF($B146&lt;&gt;0,LOOKUP($B146,Actions!$B$4:$B$26,Actions!M$4:M$26),"")</f>
        <v/>
      </c>
      <c r="J146" s="127" t="str">
        <f>IF($B146&lt;&gt;0,LOOKUP($B146,Actions!$B$4:$B$26,Actions!N$4:N$26),"")</f>
        <v/>
      </c>
      <c r="K146" s="127"/>
      <c r="L146" s="119" t="str">
        <f>IF($B146&lt;&gt;0,LOOKUP($B146,Actions!$B$4:$B$26,Actions!O$4:O$26),"")</f>
        <v/>
      </c>
      <c r="M146" s="119" t="str">
        <f>IF($B146&lt;&gt;0,LOOKUP($B146,Actions!$B$4:$B$26,Actions!P$4:P$26),"")</f>
        <v/>
      </c>
      <c r="N146" s="119" t="str">
        <f>IF($B146&lt;&gt;0,LOOKUP($B146,Actions!$B$4:$B$26,Actions!Q$4:Q$26),"")</f>
        <v/>
      </c>
      <c r="O146" s="119" t="str">
        <f>IF($B146&lt;&gt;0,LOOKUP($B146,Actions!$B$4:$B$26,Actions!R$4:R$26),"")</f>
        <v/>
      </c>
      <c r="P146" s="119" t="str">
        <f>IF($B146&lt;&gt;0,LOOKUP($B146,Actions!$B$4:$B$26,Actions!S$4:S$26),"")</f>
        <v/>
      </c>
      <c r="Q146" s="119" t="str">
        <f>IF($B146&lt;&gt;0,LOOKUP($B146,Actions!$B$4:$B$26,Actions!T$4:T$26),"")</f>
        <v/>
      </c>
      <c r="R146" s="119" t="str">
        <f>IF($B146&lt;&gt;0,LOOKUP($B146,Actions!$B$4:$B$26,Actions!U$4:U$26),"")</f>
        <v/>
      </c>
      <c r="S146" s="119" t="str">
        <f>IF($B146&lt;&gt;0,LOOKUP($B146,Actions!$B$4:$B$26,Actions!V$4:V$26),"")</f>
        <v/>
      </c>
    </row>
    <row r="147" spans="2:19" x14ac:dyDescent="0.25">
      <c r="B147" s="352">
        <f>AY33</f>
        <v>24</v>
      </c>
      <c r="C147" s="127">
        <f>IF($B147&lt;&gt;0,LOOKUP($B147,Actions!$B$4:$B$26,Actions!G$4:G$26),"")</f>
        <v>0</v>
      </c>
      <c r="D147" s="127">
        <f>IF($B147&lt;&gt;0,LOOKUP($B147,Actions!$B$4:$B$26,Actions!H$4:H$26),"")</f>
        <v>0</v>
      </c>
      <c r="E147" s="127">
        <f>IF($B147&lt;&gt;0,LOOKUP($B147,Actions!$B$4:$B$26,Actions!I$4:I$26),"")</f>
        <v>0</v>
      </c>
      <c r="F147" s="127">
        <f>IF($B147&lt;&gt;0,LOOKUP($B147,Actions!$B$4:$B$26,Actions!J$4:J$26),"")</f>
        <v>0</v>
      </c>
      <c r="G147" s="127">
        <f>IF($B147&lt;&gt;0,LOOKUP($B147,Actions!$B$4:$B$26,Actions!K$4:K$26),"")</f>
        <v>0</v>
      </c>
      <c r="H147" s="127">
        <f>IF($B147&lt;&gt;0,LOOKUP($B147,Actions!$B$4:$B$26,Actions!L$4:L$26),"")</f>
        <v>0</v>
      </c>
      <c r="I147" s="127">
        <f>IF($B147&lt;&gt;0,LOOKUP($B147,Actions!$B$4:$B$26,Actions!M$4:M$26),"")</f>
        <v>0</v>
      </c>
      <c r="J147" s="127">
        <f>IF($B147&lt;&gt;0,LOOKUP($B147,Actions!$B$4:$B$26,Actions!N$4:N$26),"")</f>
        <v>0</v>
      </c>
      <c r="K147" s="127"/>
      <c r="L147" s="119">
        <f>IF($B147&lt;&gt;0,LOOKUP($B147,Actions!$B$4:$B$26,Actions!O$4:O$26),"")</f>
        <v>0</v>
      </c>
      <c r="M147" s="119">
        <f>IF($B147&lt;&gt;0,LOOKUP($B147,Actions!$B$4:$B$26,Actions!P$4:P$26),"")</f>
        <v>0</v>
      </c>
      <c r="N147" s="119">
        <f>IF($B147&lt;&gt;0,LOOKUP($B147,Actions!$B$4:$B$26,Actions!Q$4:Q$26),"")</f>
        <v>0</v>
      </c>
      <c r="O147" s="119">
        <f>IF($B147&lt;&gt;0,LOOKUP($B147,Actions!$B$4:$B$26,Actions!R$4:R$26),"")</f>
        <v>0</v>
      </c>
      <c r="P147" s="119">
        <f>IF($B147&lt;&gt;0,LOOKUP($B147,Actions!$B$4:$B$26,Actions!S$4:S$26),"")</f>
        <v>3</v>
      </c>
      <c r="Q147" s="119">
        <f>IF($B147&lt;&gt;0,LOOKUP($B147,Actions!$B$4:$B$26,Actions!T$4:T$26),"")</f>
        <v>2</v>
      </c>
      <c r="R147" s="119">
        <f>IF($B147&lt;&gt;0,LOOKUP($B147,Actions!$B$4:$B$26,Actions!U$4:U$26),"")</f>
        <v>1</v>
      </c>
      <c r="S147" s="119">
        <f>IF($B147&lt;&gt;0,LOOKUP($B147,Actions!$B$4:$B$26,Actions!V$4:V$26),"")</f>
        <v>0</v>
      </c>
    </row>
    <row r="148" spans="2:19" x14ac:dyDescent="0.25">
      <c r="B148" s="352">
        <f>AY34</f>
        <v>0</v>
      </c>
      <c r="C148" s="127" t="str">
        <f>IF($B148&lt;&gt;0,LOOKUP($B148,Actions!$B$4:$B$26,Actions!G$4:G$26),"")</f>
        <v/>
      </c>
      <c r="D148" s="127" t="str">
        <f>IF($B148&lt;&gt;0,LOOKUP($B148,Actions!$B$4:$B$26,Actions!H$4:H$26),"")</f>
        <v/>
      </c>
      <c r="E148" s="127" t="str">
        <f>IF($B148&lt;&gt;0,LOOKUP($B148,Actions!$B$4:$B$26,Actions!I$4:I$26),"")</f>
        <v/>
      </c>
      <c r="F148" s="127" t="str">
        <f>IF($B148&lt;&gt;0,LOOKUP($B148,Actions!$B$4:$B$26,Actions!J$4:J$26),"")</f>
        <v/>
      </c>
      <c r="G148" s="127" t="str">
        <f>IF($B148&lt;&gt;0,LOOKUP($B148,Actions!$B$4:$B$26,Actions!K$4:K$26),"")</f>
        <v/>
      </c>
      <c r="H148" s="127" t="str">
        <f>IF($B148&lt;&gt;0,LOOKUP($B148,Actions!$B$4:$B$26,Actions!L$4:L$26),"")</f>
        <v/>
      </c>
      <c r="I148" s="127" t="str">
        <f>IF($B148&lt;&gt;0,LOOKUP($B148,Actions!$B$4:$B$26,Actions!M$4:M$26),"")</f>
        <v/>
      </c>
      <c r="J148" s="127" t="str">
        <f>IF($B148&lt;&gt;0,LOOKUP($B148,Actions!$B$4:$B$26,Actions!N$4:N$26),"")</f>
        <v/>
      </c>
      <c r="K148" s="127"/>
      <c r="L148" s="119" t="str">
        <f>IF($B148&lt;&gt;0,LOOKUP($B148,Actions!$B$4:$B$26,Actions!O$4:O$26),"")</f>
        <v/>
      </c>
      <c r="M148" s="119" t="str">
        <f>IF($B148&lt;&gt;0,LOOKUP($B148,Actions!$B$4:$B$26,Actions!P$4:P$26),"")</f>
        <v/>
      </c>
      <c r="N148" s="119" t="str">
        <f>IF($B148&lt;&gt;0,LOOKUP($B148,Actions!$B$4:$B$26,Actions!Q$4:Q$26),"")</f>
        <v/>
      </c>
      <c r="O148" s="119" t="str">
        <f>IF($B148&lt;&gt;0,LOOKUP($B148,Actions!$B$4:$B$26,Actions!R$4:R$26),"")</f>
        <v/>
      </c>
      <c r="P148" s="119" t="str">
        <f>IF($B148&lt;&gt;0,LOOKUP($B148,Actions!$B$4:$B$26,Actions!S$4:S$26),"")</f>
        <v/>
      </c>
      <c r="Q148" s="119" t="str">
        <f>IF($B148&lt;&gt;0,LOOKUP($B148,Actions!$B$4:$B$26,Actions!T$4:T$26),"")</f>
        <v/>
      </c>
      <c r="R148" s="119" t="str">
        <f>IF($B148&lt;&gt;0,LOOKUP($B148,Actions!$B$4:$B$26,Actions!U$4:U$26),"")</f>
        <v/>
      </c>
      <c r="S148" s="119" t="str">
        <f>IF($B148&lt;&gt;0,LOOKUP($B148,Actions!$B$4:$B$26,Actions!V$4:V$26),"")</f>
        <v/>
      </c>
    </row>
    <row r="149" spans="2:19" x14ac:dyDescent="0.25">
      <c r="B149" s="352">
        <f>AY35</f>
        <v>0</v>
      </c>
      <c r="C149" s="127" t="str">
        <f>IF($B149&lt;&gt;0,LOOKUP($B149,Actions!$B$4:$B$26,Actions!G$4:G$26),"")</f>
        <v/>
      </c>
      <c r="D149" s="127" t="str">
        <f>IF($B149&lt;&gt;0,LOOKUP($B149,Actions!$B$4:$B$26,Actions!H$4:H$26),"")</f>
        <v/>
      </c>
      <c r="E149" s="127" t="str">
        <f>IF($B149&lt;&gt;0,LOOKUP($B149,Actions!$B$4:$B$26,Actions!I$4:I$26),"")</f>
        <v/>
      </c>
      <c r="F149" s="127" t="str">
        <f>IF($B149&lt;&gt;0,LOOKUP($B149,Actions!$B$4:$B$26,Actions!J$4:J$26),"")</f>
        <v/>
      </c>
      <c r="G149" s="127" t="str">
        <f>IF($B149&lt;&gt;0,LOOKUP($B149,Actions!$B$4:$B$26,Actions!K$4:K$26),"")</f>
        <v/>
      </c>
      <c r="H149" s="127" t="str">
        <f>IF($B149&lt;&gt;0,LOOKUP($B149,Actions!$B$4:$B$26,Actions!L$4:L$26),"")</f>
        <v/>
      </c>
      <c r="I149" s="127" t="str">
        <f>IF($B149&lt;&gt;0,LOOKUP($B149,Actions!$B$4:$B$26,Actions!M$4:M$26),"")</f>
        <v/>
      </c>
      <c r="J149" s="127" t="str">
        <f>IF($B149&lt;&gt;0,LOOKUP($B149,Actions!$B$4:$B$26,Actions!N$4:N$26),"")</f>
        <v/>
      </c>
      <c r="K149" s="127"/>
      <c r="L149" s="119" t="str">
        <f>IF($B149&lt;&gt;0,LOOKUP($B149,Actions!$B$4:$B$26,Actions!O$4:O$26),"")</f>
        <v/>
      </c>
      <c r="M149" s="119" t="str">
        <f>IF($B149&lt;&gt;0,LOOKUP($B149,Actions!$B$4:$B$26,Actions!P$4:P$26),"")</f>
        <v/>
      </c>
      <c r="N149" s="119" t="str">
        <f>IF($B149&lt;&gt;0,LOOKUP($B149,Actions!$B$4:$B$26,Actions!Q$4:Q$26),"")</f>
        <v/>
      </c>
      <c r="O149" s="119" t="str">
        <f>IF($B149&lt;&gt;0,LOOKUP($B149,Actions!$B$4:$B$26,Actions!R$4:R$26),"")</f>
        <v/>
      </c>
      <c r="P149" s="119" t="str">
        <f>IF($B149&lt;&gt;0,LOOKUP($B149,Actions!$B$4:$B$26,Actions!S$4:S$26),"")</f>
        <v/>
      </c>
      <c r="Q149" s="119" t="str">
        <f>IF($B149&lt;&gt;0,LOOKUP($B149,Actions!$B$4:$B$26,Actions!T$4:T$26),"")</f>
        <v/>
      </c>
      <c r="R149" s="119" t="str">
        <f>IF($B149&lt;&gt;0,LOOKUP($B149,Actions!$B$4:$B$26,Actions!U$4:U$26),"")</f>
        <v/>
      </c>
      <c r="S149" s="119" t="str">
        <f>IF($B149&lt;&gt;0,LOOKUP($B149,Actions!$B$4:$B$26,Actions!V$4:V$26),"")</f>
        <v/>
      </c>
    </row>
    <row r="150" spans="2:19" x14ac:dyDescent="0.25">
      <c r="C150" s="58"/>
      <c r="D150" s="58"/>
      <c r="E150" s="58"/>
      <c r="F150" s="58"/>
      <c r="G150" s="58"/>
      <c r="H150" s="58"/>
      <c r="I150" s="58"/>
      <c r="J150" s="58"/>
      <c r="K150" s="58"/>
    </row>
    <row r="151" spans="2:19" ht="19.2" customHeight="1" x14ac:dyDescent="0.25">
      <c r="B151" s="38" t="s">
        <v>315</v>
      </c>
      <c r="C151" s="351">
        <f t="shared" ref="C151:S151" si="23">SUM(C144:C146)+SUM(C147:C149)</f>
        <v>0</v>
      </c>
      <c r="D151" s="351">
        <f t="shared" si="23"/>
        <v>0</v>
      </c>
      <c r="E151" s="351">
        <f t="shared" si="23"/>
        <v>0.05</v>
      </c>
      <c r="F151" s="351">
        <f t="shared" si="23"/>
        <v>0</v>
      </c>
      <c r="G151" s="351">
        <f t="shared" si="23"/>
        <v>0</v>
      </c>
      <c r="H151" s="351">
        <f t="shared" si="23"/>
        <v>0</v>
      </c>
      <c r="I151" s="351">
        <f t="shared" si="23"/>
        <v>0.04</v>
      </c>
      <c r="J151" s="351">
        <f t="shared" si="23"/>
        <v>0</v>
      </c>
      <c r="K151" s="351"/>
      <c r="L151" s="118">
        <f>SUM(L144:L146)+SUM(L147:L149)</f>
        <v>3</v>
      </c>
      <c r="M151" s="118">
        <f t="shared" si="23"/>
        <v>1</v>
      </c>
      <c r="N151" s="118">
        <f t="shared" si="23"/>
        <v>0</v>
      </c>
      <c r="O151" s="118">
        <f t="shared" si="23"/>
        <v>0</v>
      </c>
      <c r="P151" s="118">
        <f t="shared" si="23"/>
        <v>3</v>
      </c>
      <c r="Q151" s="118">
        <f t="shared" si="23"/>
        <v>2</v>
      </c>
      <c r="R151" s="118">
        <f t="shared" si="23"/>
        <v>1</v>
      </c>
      <c r="S151" s="118">
        <f t="shared" si="23"/>
        <v>0</v>
      </c>
    </row>
  </sheetData>
  <mergeCells count="95">
    <mergeCell ref="AH43:AR43"/>
    <mergeCell ref="AS43:BC43"/>
    <mergeCell ref="W43:AG43"/>
    <mergeCell ref="AE45:AE46"/>
    <mergeCell ref="AE61:AE62"/>
    <mergeCell ref="A43:K43"/>
    <mergeCell ref="A59:K59"/>
    <mergeCell ref="A75:K75"/>
    <mergeCell ref="L43:V43"/>
    <mergeCell ref="L59:V59"/>
    <mergeCell ref="L75:V75"/>
    <mergeCell ref="T61:T62"/>
    <mergeCell ref="Y35:Z35"/>
    <mergeCell ref="AD35:AE35"/>
    <mergeCell ref="AJ32:AK32"/>
    <mergeCell ref="AO32:AP32"/>
    <mergeCell ref="AJ33:AK33"/>
    <mergeCell ref="AO33:AP33"/>
    <mergeCell ref="AJ34:AK34"/>
    <mergeCell ref="AO34:AP34"/>
    <mergeCell ref="AJ35:AK35"/>
    <mergeCell ref="AO35:AP35"/>
    <mergeCell ref="Y32:Z32"/>
    <mergeCell ref="AD32:AE32"/>
    <mergeCell ref="Y33:Z33"/>
    <mergeCell ref="AD33:AE33"/>
    <mergeCell ref="Y34:Z34"/>
    <mergeCell ref="AD34:AE34"/>
    <mergeCell ref="AE77:AE78"/>
    <mergeCell ref="W59:AG59"/>
    <mergeCell ref="W75:AG75"/>
    <mergeCell ref="C32:D32"/>
    <mergeCell ref="H32:I32"/>
    <mergeCell ref="C33:D33"/>
    <mergeCell ref="C34:D34"/>
    <mergeCell ref="C35:D35"/>
    <mergeCell ref="T77:T78"/>
    <mergeCell ref="H35:I35"/>
    <mergeCell ref="H33:I33"/>
    <mergeCell ref="H34:I34"/>
    <mergeCell ref="I77:I78"/>
    <mergeCell ref="I45:I46"/>
    <mergeCell ref="I61:I62"/>
    <mergeCell ref="T45:T46"/>
    <mergeCell ref="A1:H1"/>
    <mergeCell ref="W1:AD1"/>
    <mergeCell ref="L1:S1"/>
    <mergeCell ref="N32:O32"/>
    <mergeCell ref="S32:T32"/>
    <mergeCell ref="N33:O33"/>
    <mergeCell ref="S33:T33"/>
    <mergeCell ref="N34:O34"/>
    <mergeCell ref="S34:T34"/>
    <mergeCell ref="N35:O35"/>
    <mergeCell ref="S35:T35"/>
    <mergeCell ref="AU34:AV34"/>
    <mergeCell ref="AZ34:BA34"/>
    <mergeCell ref="AU35:AV35"/>
    <mergeCell ref="AZ35:BA35"/>
    <mergeCell ref="AH1:AO1"/>
    <mergeCell ref="AS1:AZ1"/>
    <mergeCell ref="AU32:AV32"/>
    <mergeCell ref="AZ32:BA32"/>
    <mergeCell ref="AU33:AV33"/>
    <mergeCell ref="AZ33:BA33"/>
    <mergeCell ref="BA77:BA78"/>
    <mergeCell ref="AP77:AP78"/>
    <mergeCell ref="AP45:AP46"/>
    <mergeCell ref="AP61:AP62"/>
    <mergeCell ref="BA45:BA46"/>
    <mergeCell ref="BA61:BA62"/>
    <mergeCell ref="AH59:AR59"/>
    <mergeCell ref="AS59:BC59"/>
    <mergeCell ref="AH75:AR75"/>
    <mergeCell ref="AS75:BC75"/>
    <mergeCell ref="C94:F94"/>
    <mergeCell ref="G94:J94"/>
    <mergeCell ref="L94:O94"/>
    <mergeCell ref="P94:S94"/>
    <mergeCell ref="C106:F106"/>
    <mergeCell ref="G106:J106"/>
    <mergeCell ref="L106:O106"/>
    <mergeCell ref="P106:S106"/>
    <mergeCell ref="C142:F142"/>
    <mergeCell ref="G142:J142"/>
    <mergeCell ref="L142:O142"/>
    <mergeCell ref="P142:S142"/>
    <mergeCell ref="C118:F118"/>
    <mergeCell ref="G118:J118"/>
    <mergeCell ref="L118:O118"/>
    <mergeCell ref="P118:S118"/>
    <mergeCell ref="C130:F130"/>
    <mergeCell ref="G130:J130"/>
    <mergeCell ref="L130:O130"/>
    <mergeCell ref="P130:S130"/>
  </mergeCells>
  <pageMargins left="0.31496062992125984" right="0.31496062992125984" top="0.15748031496062992" bottom="0.15748031496062992" header="0.31496062992125984" footer="0.31496062992125984"/>
  <pageSetup paperSize="9" scale="90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REPORT">
                <anchor moveWithCells="1" sizeWithCells="1">
                  <from>
                    <xdr:col>8</xdr:col>
                    <xdr:colOff>83820</xdr:colOff>
                    <xdr:row>6</xdr:row>
                    <xdr:rowOff>38100</xdr:rowOff>
                  </from>
                  <to>
                    <xdr:col>9</xdr:col>
                    <xdr:colOff>647700</xdr:colOff>
                    <xdr:row>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AX489"/>
  <sheetViews>
    <sheetView showZeros="0" zoomScale="115" zoomScaleNormal="115" workbookViewId="0">
      <selection activeCell="B3" sqref="B3"/>
    </sheetView>
  </sheetViews>
  <sheetFormatPr baseColWidth="10" defaultRowHeight="13.8" x14ac:dyDescent="0.25"/>
  <cols>
    <col min="1" max="1" width="15.88671875" style="32" customWidth="1"/>
    <col min="2" max="2" width="22.21875" style="32" customWidth="1"/>
    <col min="3" max="6" width="14.77734375" style="32" customWidth="1"/>
    <col min="7" max="10" width="3.6640625" style="32" customWidth="1"/>
    <col min="11" max="11" width="10.44140625" style="32" customWidth="1"/>
    <col min="12" max="12" width="15.88671875" style="32" customWidth="1"/>
    <col min="13" max="13" width="22.21875" style="32" customWidth="1"/>
    <col min="14" max="17" width="14.77734375" style="32" customWidth="1"/>
    <col min="18" max="21" width="4.21875" style="32" customWidth="1"/>
    <col min="22" max="22" width="10.44140625" style="32" customWidth="1"/>
    <col min="23" max="23" width="15.88671875" style="32" customWidth="1"/>
    <col min="24" max="24" width="22.21875" style="32" customWidth="1"/>
    <col min="25" max="28" width="14.77734375" style="32" customWidth="1"/>
    <col min="29" max="32" width="3.21875" style="32" customWidth="1"/>
    <col min="33" max="33" width="11.5546875" style="32"/>
    <col min="34" max="34" width="15.88671875" style="32" customWidth="1"/>
    <col min="35" max="35" width="22.21875" style="32" customWidth="1"/>
    <col min="36" max="39" width="14.77734375" style="32" customWidth="1"/>
    <col min="40" max="43" width="2.5546875" style="32" customWidth="1"/>
    <col min="44" max="44" width="11.5546875" style="32"/>
    <col min="45" max="45" width="15.88671875" style="32" customWidth="1"/>
    <col min="46" max="46" width="22.21875" style="32" customWidth="1"/>
    <col min="47" max="50" width="14.77734375" style="32" customWidth="1"/>
    <col min="51" max="16384" width="11.5546875" style="32"/>
  </cols>
  <sheetData>
    <row r="1" spans="1:50" ht="16.2" customHeight="1" x14ac:dyDescent="0.25">
      <c r="B1" s="36" t="s">
        <v>134</v>
      </c>
      <c r="G1" s="46"/>
      <c r="H1" s="46"/>
      <c r="I1" s="46"/>
      <c r="J1" s="46"/>
      <c r="K1" s="46"/>
      <c r="M1" s="36" t="s">
        <v>15</v>
      </c>
      <c r="V1" s="46"/>
      <c r="X1" s="36" t="s">
        <v>16</v>
      </c>
      <c r="AI1" s="36" t="s">
        <v>17</v>
      </c>
      <c r="AT1" s="36" t="s">
        <v>18</v>
      </c>
    </row>
    <row r="2" spans="1:50" ht="23.4" customHeight="1" x14ac:dyDescent="0.3">
      <c r="A2" s="47" t="s">
        <v>38</v>
      </c>
      <c r="C2" s="44"/>
      <c r="G2" s="38"/>
      <c r="H2" s="38"/>
      <c r="I2" s="38"/>
      <c r="J2" s="38"/>
      <c r="K2" s="38"/>
      <c r="L2" s="47" t="s">
        <v>38</v>
      </c>
      <c r="N2" s="221"/>
      <c r="V2" s="38"/>
      <c r="W2" s="47" t="s">
        <v>38</v>
      </c>
      <c r="Y2" s="286"/>
      <c r="AH2" s="47" t="s">
        <v>38</v>
      </c>
      <c r="AJ2" s="286"/>
      <c r="AS2" s="47" t="s">
        <v>38</v>
      </c>
      <c r="AU2" s="287"/>
    </row>
    <row r="3" spans="1:50" ht="27" customHeight="1" x14ac:dyDescent="0.25">
      <c r="A3" s="749"/>
      <c r="C3" s="38" t="str">
        <f>Constantes!$C$4</f>
        <v>junior</v>
      </c>
      <c r="D3" s="38" t="str">
        <f>Constantes!$C$5</f>
        <v>senior</v>
      </c>
      <c r="E3" s="38" t="str">
        <f>Constantes!$C$6</f>
        <v>premium</v>
      </c>
      <c r="F3" s="38" t="s">
        <v>225</v>
      </c>
      <c r="G3" s="38"/>
      <c r="H3" s="38"/>
      <c r="I3" s="38"/>
      <c r="J3" s="38"/>
      <c r="K3" s="38"/>
      <c r="N3" s="38" t="str">
        <f>Constantes!$C$4</f>
        <v>junior</v>
      </c>
      <c r="O3" s="38" t="str">
        <f>Constantes!$C$5</f>
        <v>senior</v>
      </c>
      <c r="P3" s="38" t="str">
        <f>Constantes!$C$6</f>
        <v>premium</v>
      </c>
      <c r="Q3" s="38" t="s">
        <v>225</v>
      </c>
      <c r="R3" s="38"/>
      <c r="S3" s="38"/>
      <c r="T3" s="38"/>
      <c r="U3" s="38"/>
      <c r="V3" s="38"/>
      <c r="Y3" s="38" t="str">
        <f>Constantes!$C$4</f>
        <v>junior</v>
      </c>
      <c r="Z3" s="38" t="str">
        <f>Constantes!$C$5</f>
        <v>senior</v>
      </c>
      <c r="AA3" s="38" t="str">
        <f>Constantes!$C$6</f>
        <v>premium</v>
      </c>
      <c r="AB3" s="38" t="s">
        <v>225</v>
      </c>
      <c r="AC3" s="38"/>
      <c r="AD3" s="38"/>
      <c r="AE3" s="38"/>
      <c r="AF3" s="38"/>
      <c r="AJ3" s="38" t="str">
        <f>Constantes!$C$4</f>
        <v>junior</v>
      </c>
      <c r="AK3" s="38" t="str">
        <f>Constantes!$C$5</f>
        <v>senior</v>
      </c>
      <c r="AL3" s="38" t="str">
        <f>Constantes!$C$6</f>
        <v>premium</v>
      </c>
      <c r="AM3" s="38" t="s">
        <v>225</v>
      </c>
      <c r="AN3" s="38"/>
      <c r="AO3" s="38"/>
      <c r="AP3" s="38"/>
      <c r="AQ3" s="38"/>
      <c r="AU3" s="38" t="str">
        <f>Constantes!$C$4</f>
        <v>junior</v>
      </c>
      <c r="AV3" s="38" t="str">
        <f>Constantes!$C$5</f>
        <v>senior</v>
      </c>
      <c r="AW3" s="38" t="str">
        <f>Constantes!$C$6</f>
        <v>premium</v>
      </c>
      <c r="AX3" s="38" t="s">
        <v>225</v>
      </c>
    </row>
    <row r="4" spans="1:50" ht="27" customHeight="1" x14ac:dyDescent="0.25">
      <c r="B4" s="36" t="s">
        <v>35</v>
      </c>
      <c r="C4" s="116">
        <f>Constantes!$F$2*Constantes!$G$4</f>
        <v>400</v>
      </c>
      <c r="D4" s="116">
        <f>Constantes!$F$2*Constantes!$G$4</f>
        <v>400</v>
      </c>
      <c r="E4" s="116">
        <f>Constantes!$F$2*Constantes!$G$4</f>
        <v>400</v>
      </c>
      <c r="F4" s="118">
        <f>SUM(C4:E4)</f>
        <v>1200</v>
      </c>
      <c r="G4" s="38"/>
      <c r="H4" s="38"/>
      <c r="I4" s="38"/>
      <c r="J4" s="38"/>
      <c r="K4" s="38"/>
      <c r="M4" s="36" t="s">
        <v>35</v>
      </c>
      <c r="N4" s="116">
        <f>Constantes!$C$2*Constantes!$G$4</f>
        <v>400</v>
      </c>
      <c r="O4" s="116">
        <f>Constantes!$C$2*Constantes!$G$4</f>
        <v>400</v>
      </c>
      <c r="P4" s="116">
        <f>Constantes!$C$2*Constantes!$G$4</f>
        <v>400</v>
      </c>
      <c r="Q4" s="118">
        <f>SUM(N4:P4)</f>
        <v>1200</v>
      </c>
      <c r="R4" s="751"/>
      <c r="S4" s="751"/>
      <c r="T4" s="751"/>
      <c r="U4" s="751"/>
      <c r="V4" s="38"/>
      <c r="X4" s="36" t="s">
        <v>35</v>
      </c>
      <c r="Y4" s="116">
        <f>Constantes!$D$2*Constantes!$G$4</f>
        <v>400</v>
      </c>
      <c r="Z4" s="116">
        <f>Constantes!$D$2*Constantes!$G$4</f>
        <v>400</v>
      </c>
      <c r="AA4" s="116">
        <f>Constantes!$D$2*Constantes!$G$4</f>
        <v>400</v>
      </c>
      <c r="AB4" s="118">
        <f>SUM(Y4:AA4)</f>
        <v>1200</v>
      </c>
      <c r="AC4" s="751"/>
      <c r="AD4" s="751"/>
      <c r="AE4" s="751"/>
      <c r="AF4" s="751"/>
      <c r="AI4" s="36" t="s">
        <v>35</v>
      </c>
      <c r="AJ4" s="116">
        <f>Constantes!$E$2*Constantes!$G$4</f>
        <v>300</v>
      </c>
      <c r="AK4" s="116">
        <f>Constantes!$E$2*Constantes!$G$4</f>
        <v>300</v>
      </c>
      <c r="AL4" s="116">
        <f>Constantes!$E$2*Constantes!$G$4</f>
        <v>300</v>
      </c>
      <c r="AM4" s="118">
        <f>SUM(AJ4:AL4)</f>
        <v>900</v>
      </c>
      <c r="AN4" s="751"/>
      <c r="AO4" s="751"/>
      <c r="AP4" s="751"/>
      <c r="AQ4" s="751"/>
      <c r="AT4" s="36" t="s">
        <v>35</v>
      </c>
      <c r="AU4" s="116">
        <f>Constantes!$F$2</f>
        <v>400</v>
      </c>
      <c r="AV4" s="116">
        <f>Constantes!$F$2</f>
        <v>400</v>
      </c>
      <c r="AW4" s="116">
        <f>Constantes!$F$2</f>
        <v>400</v>
      </c>
      <c r="AX4" s="118">
        <f>SUM(AU4:AW4)</f>
        <v>1200</v>
      </c>
    </row>
    <row r="5" spans="1:50" ht="27" customHeight="1" x14ac:dyDescent="0.25">
      <c r="B5" s="103" t="s">
        <v>59</v>
      </c>
      <c r="C5" s="117">
        <f>Décisions!D39*C4</f>
        <v>133.20000000000002</v>
      </c>
      <c r="D5" s="117">
        <f>Décisions!E39*D4</f>
        <v>133.20000000000002</v>
      </c>
      <c r="E5" s="117">
        <f>Décisions!F39*E4</f>
        <v>133.20000000000002</v>
      </c>
      <c r="F5" s="119">
        <f t="shared" ref="F5:F10" si="0">SUM(C5:E5)</f>
        <v>399.6</v>
      </c>
      <c r="G5" s="38"/>
      <c r="H5" s="38"/>
      <c r="I5" s="38"/>
      <c r="J5" s="38"/>
      <c r="K5" s="38"/>
      <c r="M5" s="103" t="s">
        <v>59</v>
      </c>
      <c r="N5" s="117">
        <f>Décisions!O39*N4</f>
        <v>160</v>
      </c>
      <c r="O5" s="117">
        <f>Décisions!P39*O4</f>
        <v>120</v>
      </c>
      <c r="P5" s="117">
        <f>Décisions!Q39*P4</f>
        <v>120</v>
      </c>
      <c r="Q5" s="119">
        <f t="shared" ref="Q5:Q10" si="1">SUM(N5:P5)</f>
        <v>400</v>
      </c>
      <c r="R5" s="189"/>
      <c r="S5" s="189"/>
      <c r="T5" s="189"/>
      <c r="U5" s="189"/>
      <c r="V5" s="38"/>
      <c r="X5" s="103" t="s">
        <v>59</v>
      </c>
      <c r="Y5" s="117">
        <f>Décisions!Z39*Y4</f>
        <v>200</v>
      </c>
      <c r="Z5" s="117">
        <f>Décisions!AA39*Z4</f>
        <v>120</v>
      </c>
      <c r="AA5" s="117">
        <f>Décisions!AB39*AA4</f>
        <v>80</v>
      </c>
      <c r="AB5" s="119">
        <f t="shared" ref="AB5:AB10" si="2">SUM(Y5:AA5)</f>
        <v>400</v>
      </c>
      <c r="AC5" s="189"/>
      <c r="AD5" s="189"/>
      <c r="AE5" s="189"/>
      <c r="AF5" s="189"/>
      <c r="AI5" s="103" t="s">
        <v>59</v>
      </c>
      <c r="AJ5" s="117">
        <f>Décisions!AK39*AJ4</f>
        <v>135</v>
      </c>
      <c r="AK5" s="117">
        <f>Décisions!AL39*AK4</f>
        <v>105</v>
      </c>
      <c r="AL5" s="117">
        <f>Décisions!AM39*AL4</f>
        <v>60</v>
      </c>
      <c r="AM5" s="119">
        <f t="shared" ref="AM5:AM10" si="3">SUM(AJ5:AL5)</f>
        <v>300</v>
      </c>
      <c r="AN5" s="189"/>
      <c r="AO5" s="189"/>
      <c r="AP5" s="189"/>
      <c r="AQ5" s="189"/>
      <c r="AT5" s="103" t="s">
        <v>59</v>
      </c>
      <c r="AU5" s="117">
        <f>Décisions!AV39*AU4</f>
        <v>220.00000000000003</v>
      </c>
      <c r="AV5" s="117">
        <f>Décisions!AW39*AV4</f>
        <v>140</v>
      </c>
      <c r="AW5" s="117">
        <f>Décisions!AX39*AW4</f>
        <v>40</v>
      </c>
      <c r="AX5" s="119">
        <f t="shared" ref="AX5:AX10" si="4">SUM(AU5:AW5)</f>
        <v>400</v>
      </c>
    </row>
    <row r="6" spans="1:50" ht="27" customHeight="1" x14ac:dyDescent="0.25">
      <c r="B6" s="3" t="s">
        <v>60</v>
      </c>
      <c r="C6" s="117">
        <f>C83*Constantes!$H$38+Calcul!C84*Constantes!$H$39+Calcul!C85*Constantes!$H$40</f>
        <v>14</v>
      </c>
      <c r="D6" s="117">
        <f>D83*Constantes!$H$38+Calcul!D84*Constantes!$H$39+Calcul!D85*Constantes!$H$40</f>
        <v>42</v>
      </c>
      <c r="E6" s="117">
        <f>E83*Constantes!$H$38+Calcul!E84*Constantes!$H$39+Calcul!E85*Constantes!$H$40</f>
        <v>42</v>
      </c>
      <c r="F6" s="119">
        <f t="shared" si="0"/>
        <v>98</v>
      </c>
      <c r="M6" s="3" t="s">
        <v>60</v>
      </c>
      <c r="N6" s="117">
        <f>N83*Constantes!$H$38+N84*Constantes!$H$39+N85*Constantes!$H$40</f>
        <v>28</v>
      </c>
      <c r="O6" s="117">
        <f>O83*Constantes!$H$38+O84*Constantes!$H$39+O85*Constantes!$H$40</f>
        <v>42</v>
      </c>
      <c r="P6" s="117">
        <f>P83*Constantes!$H$38+P84*Constantes!$H$39+P85*Constantes!$H$40</f>
        <v>28</v>
      </c>
      <c r="Q6" s="119">
        <f t="shared" si="1"/>
        <v>98</v>
      </c>
      <c r="R6" s="189"/>
      <c r="S6" s="189"/>
      <c r="T6" s="189"/>
      <c r="U6" s="189"/>
      <c r="X6" s="3" t="s">
        <v>60</v>
      </c>
      <c r="Y6" s="117">
        <f>Y83*Constantes!$H$38+Y84*Constantes!$H$39+Y85*Constantes!$H$40</f>
        <v>28</v>
      </c>
      <c r="Z6" s="117">
        <f>Z83*Constantes!$H$38+Z84*Constantes!$H$39+Z85*Constantes!$H$40</f>
        <v>35</v>
      </c>
      <c r="AA6" s="117">
        <f>AA83*Constantes!$H$38+AA84*Constantes!$H$39+AA85*Constantes!$H$40</f>
        <v>35</v>
      </c>
      <c r="AB6" s="119">
        <f t="shared" si="2"/>
        <v>98</v>
      </c>
      <c r="AC6" s="189"/>
      <c r="AD6" s="189"/>
      <c r="AE6" s="189"/>
      <c r="AF6" s="189"/>
      <c r="AI6" s="3" t="s">
        <v>60</v>
      </c>
      <c r="AJ6" s="117">
        <f>AJ83*Constantes!$H$38+AJ84*Constantes!$H$39+AJ85*Constantes!$H$40</f>
        <v>35</v>
      </c>
      <c r="AK6" s="117">
        <f>AK83*Constantes!$H$38+AK84*Constantes!$H$39+AK85*Constantes!$H$40</f>
        <v>35</v>
      </c>
      <c r="AL6" s="117">
        <f>AL83*Constantes!$H$38+AL84*Constantes!$H$39+AL85*Constantes!$H$40</f>
        <v>42</v>
      </c>
      <c r="AM6" s="119">
        <f t="shared" si="3"/>
        <v>112</v>
      </c>
      <c r="AN6" s="189"/>
      <c r="AO6" s="189"/>
      <c r="AP6" s="189"/>
      <c r="AQ6" s="189"/>
      <c r="AT6" s="3" t="s">
        <v>60</v>
      </c>
      <c r="AU6" s="117">
        <f>AU83*Constantes!$H$38+AU84*Constantes!$H$39+AU85*Constantes!$H$40</f>
        <v>42</v>
      </c>
      <c r="AV6" s="117">
        <f>AV83*Constantes!$H$38+AV84*Constantes!$H$39+AV85*Constantes!$H$40</f>
        <v>35</v>
      </c>
      <c r="AW6" s="117">
        <f>AW83*Constantes!$H$38+AW84*Constantes!$H$39+AW85*Constantes!$H$40</f>
        <v>42</v>
      </c>
      <c r="AX6" s="119">
        <f t="shared" si="4"/>
        <v>119</v>
      </c>
    </row>
    <row r="7" spans="1:50" ht="27" customHeight="1" x14ac:dyDescent="0.25">
      <c r="B7" s="50" t="s">
        <v>61</v>
      </c>
      <c r="C7" s="116">
        <f>C4-C5-C6</f>
        <v>252.79999999999995</v>
      </c>
      <c r="D7" s="116">
        <f>D4-D5-D6</f>
        <v>224.79999999999995</v>
      </c>
      <c r="E7" s="116">
        <f>E4-E5-E6</f>
        <v>224.79999999999995</v>
      </c>
      <c r="F7" s="118">
        <f t="shared" si="0"/>
        <v>702.39999999999986</v>
      </c>
      <c r="M7" s="50" t="s">
        <v>61</v>
      </c>
      <c r="N7" s="116">
        <f>N4-N5-N6</f>
        <v>212</v>
      </c>
      <c r="O7" s="116">
        <f>O4-O5-O6</f>
        <v>238</v>
      </c>
      <c r="P7" s="116">
        <f>P4-P5-P6</f>
        <v>252</v>
      </c>
      <c r="Q7" s="118">
        <f t="shared" si="1"/>
        <v>702</v>
      </c>
      <c r="R7" s="751"/>
      <c r="S7" s="751"/>
      <c r="T7" s="751"/>
      <c r="U7" s="751"/>
      <c r="X7" s="50" t="s">
        <v>61</v>
      </c>
      <c r="Y7" s="116">
        <f>Y4-Y5-Y6</f>
        <v>172</v>
      </c>
      <c r="Z7" s="116">
        <f>Z4-Z5-Z6</f>
        <v>245</v>
      </c>
      <c r="AA7" s="116">
        <f>AA4-AA5-AA6</f>
        <v>285</v>
      </c>
      <c r="AB7" s="118">
        <f t="shared" si="2"/>
        <v>702</v>
      </c>
      <c r="AC7" s="751"/>
      <c r="AD7" s="751"/>
      <c r="AE7" s="751"/>
      <c r="AF7" s="751"/>
      <c r="AI7" s="50" t="s">
        <v>61</v>
      </c>
      <c r="AJ7" s="116">
        <f>AJ4-AJ5-AJ6</f>
        <v>130</v>
      </c>
      <c r="AK7" s="116">
        <f>AK4-AK5-AK6</f>
        <v>160</v>
      </c>
      <c r="AL7" s="116">
        <f>AL4-AL5-AL6</f>
        <v>198</v>
      </c>
      <c r="AM7" s="118">
        <f t="shared" si="3"/>
        <v>488</v>
      </c>
      <c r="AN7" s="751"/>
      <c r="AO7" s="751"/>
      <c r="AP7" s="751"/>
      <c r="AQ7" s="751"/>
      <c r="AT7" s="50" t="s">
        <v>61</v>
      </c>
      <c r="AU7" s="116">
        <f>AU4-AU5-AU6</f>
        <v>137.99999999999997</v>
      </c>
      <c r="AV7" s="116">
        <f>AV4-AV5-AV6</f>
        <v>225</v>
      </c>
      <c r="AW7" s="116">
        <f>AW4-AW5-AW6</f>
        <v>318</v>
      </c>
      <c r="AX7" s="118">
        <f t="shared" si="4"/>
        <v>681</v>
      </c>
    </row>
    <row r="8" spans="1:50" ht="27" customHeight="1" x14ac:dyDescent="0.25">
      <c r="A8" s="48"/>
      <c r="B8" s="3" t="s">
        <v>224</v>
      </c>
      <c r="C8" s="220">
        <f>Décisions!$E$41*C7</f>
        <v>17.695999999999998</v>
      </c>
      <c r="D8" s="220">
        <f>Décisions!$E$41*D7</f>
        <v>15.735999999999999</v>
      </c>
      <c r="E8" s="220">
        <f>Décisions!$E$41*E7</f>
        <v>15.735999999999999</v>
      </c>
      <c r="F8" s="119">
        <f t="shared" si="0"/>
        <v>49.167999999999992</v>
      </c>
      <c r="L8" s="48"/>
      <c r="M8" s="3" t="s">
        <v>224</v>
      </c>
      <c r="N8" s="220">
        <f>Décisions!$P$41*N7</f>
        <v>25.439999999999998</v>
      </c>
      <c r="O8" s="220">
        <f>Décisions!$P$41*O7</f>
        <v>28.56</v>
      </c>
      <c r="P8" s="220">
        <f>Décisions!$P$41*P7</f>
        <v>30.24</v>
      </c>
      <c r="Q8" s="119">
        <f t="shared" si="1"/>
        <v>84.24</v>
      </c>
      <c r="R8" s="189"/>
      <c r="S8" s="189"/>
      <c r="T8" s="189"/>
      <c r="U8" s="189"/>
      <c r="W8" s="48"/>
      <c r="X8" s="3" t="s">
        <v>224</v>
      </c>
      <c r="Y8" s="117">
        <f>Décisions!$AA$41*Y7</f>
        <v>27.52</v>
      </c>
      <c r="Z8" s="117">
        <f>Décisions!$AA$41*Z7</f>
        <v>39.200000000000003</v>
      </c>
      <c r="AA8" s="117">
        <f>Décisions!$AA$41*AA7</f>
        <v>45.6</v>
      </c>
      <c r="AB8" s="119">
        <f t="shared" si="2"/>
        <v>112.32</v>
      </c>
      <c r="AC8" s="189"/>
      <c r="AD8" s="189"/>
      <c r="AE8" s="189"/>
      <c r="AF8" s="189"/>
      <c r="AH8" s="48"/>
      <c r="AI8" s="3" t="s">
        <v>224</v>
      </c>
      <c r="AJ8" s="117">
        <f>Décisions!$AL$41*AJ7</f>
        <v>16.900000000000002</v>
      </c>
      <c r="AK8" s="117">
        <f>Décisions!$AL$41*AK7</f>
        <v>20.8</v>
      </c>
      <c r="AL8" s="117">
        <f>Décisions!$AL$41*AL7</f>
        <v>25.740000000000002</v>
      </c>
      <c r="AM8" s="119">
        <f t="shared" si="3"/>
        <v>63.440000000000005</v>
      </c>
      <c r="AN8" s="189"/>
      <c r="AO8" s="189"/>
      <c r="AP8" s="189"/>
      <c r="AQ8" s="189"/>
      <c r="AS8" s="48"/>
      <c r="AT8" s="3" t="s">
        <v>224</v>
      </c>
      <c r="AU8" s="117">
        <f>Décisions!$AW$41*AU7</f>
        <v>20.699999999999996</v>
      </c>
      <c r="AV8" s="117">
        <f>Décisions!$AW$41*AV7</f>
        <v>33.75</v>
      </c>
      <c r="AW8" s="117">
        <f>Décisions!$AW$41*AW7</f>
        <v>47.699999999999996</v>
      </c>
      <c r="AX8" s="119">
        <f t="shared" si="4"/>
        <v>102.14999999999999</v>
      </c>
    </row>
    <row r="9" spans="1:50" ht="27" customHeight="1" x14ac:dyDescent="0.25">
      <c r="B9" s="3" t="s">
        <v>67</v>
      </c>
      <c r="C9" s="117">
        <f>Décisions!D45*C7</f>
        <v>50.559999999999995</v>
      </c>
      <c r="D9" s="117">
        <f>Décisions!D61*D7</f>
        <v>44.959999999999994</v>
      </c>
      <c r="E9" s="117">
        <f>Décisions!D77*E7</f>
        <v>44.959999999999994</v>
      </c>
      <c r="F9" s="119">
        <f t="shared" si="0"/>
        <v>140.47999999999996</v>
      </c>
      <c r="M9" s="3" t="s">
        <v>67</v>
      </c>
      <c r="N9" s="117">
        <f>Décisions!O45*N7</f>
        <v>42.400000000000006</v>
      </c>
      <c r="O9" s="117">
        <f>Décisions!O61*O7</f>
        <v>47.6</v>
      </c>
      <c r="P9" s="117">
        <f>Décisions!O77*P7</f>
        <v>50.400000000000006</v>
      </c>
      <c r="Q9" s="119">
        <f t="shared" si="1"/>
        <v>140.4</v>
      </c>
      <c r="R9" s="189"/>
      <c r="S9" s="189"/>
      <c r="T9" s="189"/>
      <c r="U9" s="189"/>
      <c r="X9" s="3" t="s">
        <v>67</v>
      </c>
      <c r="Y9" s="117">
        <f>Décisions!Z45*Y7</f>
        <v>25.8</v>
      </c>
      <c r="Z9" s="117">
        <f>Décisions!Z61*Z7</f>
        <v>36.75</v>
      </c>
      <c r="AA9" s="117">
        <f>Décisions!Z77*AA7</f>
        <v>42.75</v>
      </c>
      <c r="AB9" s="119">
        <f t="shared" si="2"/>
        <v>105.3</v>
      </c>
      <c r="AC9" s="189"/>
      <c r="AD9" s="189"/>
      <c r="AE9" s="189"/>
      <c r="AF9" s="189"/>
      <c r="AI9" s="3" t="s">
        <v>67</v>
      </c>
      <c r="AJ9" s="117">
        <f>Décisions!AK45*AJ7</f>
        <v>13</v>
      </c>
      <c r="AK9" s="117">
        <f>Décisions!AK61*AK7</f>
        <v>24</v>
      </c>
      <c r="AL9" s="117">
        <f>Décisions!AK77*AL7</f>
        <v>29.7</v>
      </c>
      <c r="AM9" s="119">
        <f t="shared" si="3"/>
        <v>66.7</v>
      </c>
      <c r="AN9" s="189"/>
      <c r="AO9" s="189"/>
      <c r="AP9" s="189"/>
      <c r="AQ9" s="189"/>
      <c r="AT9" s="3" t="s">
        <v>67</v>
      </c>
      <c r="AU9" s="117">
        <f>Décisions!AV45*AU7</f>
        <v>13.799999999999997</v>
      </c>
      <c r="AV9" s="117">
        <f>Décisions!AV61*AV7</f>
        <v>33.75</v>
      </c>
      <c r="AW9" s="117">
        <f>Décisions!AV77*AW7</f>
        <v>47.699999999999996</v>
      </c>
      <c r="AX9" s="119">
        <f t="shared" si="4"/>
        <v>95.25</v>
      </c>
    </row>
    <row r="10" spans="1:50" ht="27" customHeight="1" x14ac:dyDescent="0.25">
      <c r="B10" s="50" t="s">
        <v>68</v>
      </c>
      <c r="C10" s="750">
        <f>C7-C8-C9</f>
        <v>184.54399999999995</v>
      </c>
      <c r="D10" s="750">
        <f>D7-D8-D9</f>
        <v>164.10399999999998</v>
      </c>
      <c r="E10" s="750">
        <f>E7-E8-E9</f>
        <v>164.10399999999998</v>
      </c>
      <c r="F10" s="118">
        <f t="shared" si="0"/>
        <v>512.75199999999995</v>
      </c>
      <c r="G10" s="36"/>
      <c r="H10" s="36"/>
      <c r="I10" s="36"/>
      <c r="J10" s="36"/>
      <c r="K10" s="36"/>
      <c r="M10" s="50" t="s">
        <v>68</v>
      </c>
      <c r="N10" s="750">
        <f>N7-N8-N9</f>
        <v>144.16</v>
      </c>
      <c r="O10" s="750">
        <f>O7-O8-O9</f>
        <v>161.84</v>
      </c>
      <c r="P10" s="750">
        <f>P7-P8-P9</f>
        <v>171.35999999999999</v>
      </c>
      <c r="Q10" s="118">
        <f t="shared" si="1"/>
        <v>477.36</v>
      </c>
      <c r="R10" s="751"/>
      <c r="S10" s="751"/>
      <c r="T10" s="751"/>
      <c r="U10" s="751"/>
      <c r="V10" s="36"/>
      <c r="X10" s="50" t="s">
        <v>68</v>
      </c>
      <c r="Y10" s="116">
        <f>Y7-Y8-Y9</f>
        <v>118.67999999999999</v>
      </c>
      <c r="Z10" s="116">
        <f>Z7-Z8-Z9</f>
        <v>169.05</v>
      </c>
      <c r="AA10" s="116">
        <f>AA7-AA8-AA9</f>
        <v>196.65</v>
      </c>
      <c r="AB10" s="118">
        <f t="shared" si="2"/>
        <v>484.38</v>
      </c>
      <c r="AC10" s="751"/>
      <c r="AD10" s="751"/>
      <c r="AE10" s="751"/>
      <c r="AF10" s="751"/>
      <c r="AI10" s="50" t="s">
        <v>68</v>
      </c>
      <c r="AJ10" s="116">
        <f>AJ7-AJ8-AJ9</f>
        <v>100.1</v>
      </c>
      <c r="AK10" s="116">
        <f>AK7-AK8-AK9</f>
        <v>115.19999999999999</v>
      </c>
      <c r="AL10" s="116">
        <f>AL7-AL8-AL9</f>
        <v>142.56</v>
      </c>
      <c r="AM10" s="118">
        <f t="shared" si="3"/>
        <v>357.86</v>
      </c>
      <c r="AN10" s="751"/>
      <c r="AO10" s="751"/>
      <c r="AP10" s="751"/>
      <c r="AQ10" s="751"/>
      <c r="AT10" s="50" t="s">
        <v>68</v>
      </c>
      <c r="AU10" s="116">
        <f>AU7-AU8-AU9</f>
        <v>103.49999999999999</v>
      </c>
      <c r="AV10" s="116">
        <f>AV7-AV8-AV9</f>
        <v>157.5</v>
      </c>
      <c r="AW10" s="116">
        <f>AW7-AW8-AW9</f>
        <v>222.60000000000002</v>
      </c>
      <c r="AX10" s="118">
        <f t="shared" si="4"/>
        <v>483.6</v>
      </c>
    </row>
    <row r="11" spans="1:50" ht="27" customHeight="1" x14ac:dyDescent="0.25">
      <c r="B11" s="3" t="s">
        <v>87</v>
      </c>
      <c r="C11" s="153">
        <f>C10*C12</f>
        <v>15.542452353715893</v>
      </c>
      <c r="D11" s="153">
        <f>D10*D12</f>
        <v>16.46373555868864</v>
      </c>
      <c r="E11" s="153">
        <f>E10*E12</f>
        <v>16.46373555868864</v>
      </c>
      <c r="F11" s="153">
        <f>SUM(C11:E11)</f>
        <v>48.469923471093175</v>
      </c>
      <c r="M11" s="3" t="s">
        <v>87</v>
      </c>
      <c r="N11" s="153">
        <f>N10*N12</f>
        <v>1.7040569035842169E-7</v>
      </c>
      <c r="O11" s="153">
        <f>O10*O12</f>
        <v>3.3478286404431401E-7</v>
      </c>
      <c r="P11" s="153">
        <f>P10*P12</f>
        <v>7.0895194738795906E-7</v>
      </c>
      <c r="Q11" s="153">
        <f>SUM(N11:P11)</f>
        <v>1.2141405017906949E-6</v>
      </c>
      <c r="R11" s="752"/>
      <c r="S11" s="752"/>
      <c r="T11" s="752"/>
      <c r="U11" s="752"/>
      <c r="X11" s="3" t="s">
        <v>87</v>
      </c>
      <c r="Y11" s="153">
        <f>Y10*Y12</f>
        <v>1.3114972498673437E-7</v>
      </c>
      <c r="Z11" s="153">
        <f>Z10*Z12</f>
        <v>0</v>
      </c>
      <c r="AA11" s="153">
        <f>AA10*AA12</f>
        <v>1.0865602215470726E-7</v>
      </c>
      <c r="AB11" s="153">
        <f>SUM(Y11:AA11)</f>
        <v>2.3980574714144164E-7</v>
      </c>
      <c r="AC11" s="752"/>
      <c r="AD11" s="752"/>
      <c r="AE11" s="752"/>
      <c r="AF11" s="752"/>
      <c r="AI11" s="3" t="s">
        <v>87</v>
      </c>
      <c r="AJ11" s="153">
        <f>AJ10*AJ12</f>
        <v>4.7134381357949447E-7</v>
      </c>
      <c r="AK11" s="153">
        <f>AK10*AK12</f>
        <v>7.2326083682128224E-7</v>
      </c>
      <c r="AL11" s="153">
        <f>AL10*AL12</f>
        <v>1.1933803807551157E-6</v>
      </c>
      <c r="AM11" s="153">
        <f>SUM(AJ11:AL11)</f>
        <v>2.3879850311558925E-6</v>
      </c>
      <c r="AN11" s="752"/>
      <c r="AO11" s="752"/>
      <c r="AP11" s="752"/>
      <c r="AQ11" s="752"/>
      <c r="AT11" s="3" t="s">
        <v>87</v>
      </c>
      <c r="AU11" s="153">
        <f>AU10*AU12</f>
        <v>1.4493740307930378E-7</v>
      </c>
      <c r="AV11" s="153">
        <f>AV10*AV12</f>
        <v>0</v>
      </c>
      <c r="AW11" s="153">
        <f>AW10*AW12</f>
        <v>5.2298024598509079</v>
      </c>
      <c r="AX11" s="153">
        <f>SUM(AU11:AW11)</f>
        <v>5.2298026047883113</v>
      </c>
    </row>
    <row r="12" spans="1:50" ht="21" customHeight="1" x14ac:dyDescent="0.25">
      <c r="B12" s="151" t="s">
        <v>285</v>
      </c>
      <c r="C12" s="152">
        <v>8.4220848977565765E-2</v>
      </c>
      <c r="D12" s="152">
        <v>0.10032501071691513</v>
      </c>
      <c r="E12" s="152">
        <v>0.10032501071691513</v>
      </c>
      <c r="F12" s="324">
        <f>F10-F11</f>
        <v>464.28207652890677</v>
      </c>
      <c r="M12" s="151" t="s">
        <v>285</v>
      </c>
      <c r="N12" s="152">
        <v>1.182059450322015E-9</v>
      </c>
      <c r="O12" s="152">
        <v>2.0686039547967994E-9</v>
      </c>
      <c r="P12" s="152">
        <v>4.1372079095935987E-9</v>
      </c>
      <c r="Q12" s="324">
        <f>Q10-Q11</f>
        <v>477.35999878585949</v>
      </c>
      <c r="R12" s="324"/>
      <c r="S12" s="324"/>
      <c r="T12" s="324"/>
      <c r="U12" s="324"/>
      <c r="X12" s="151" t="s">
        <v>285</v>
      </c>
      <c r="Y12" s="152">
        <v>1.1050701465009638E-9</v>
      </c>
      <c r="Z12" s="152">
        <v>0</v>
      </c>
      <c r="AA12" s="152">
        <v>5.525350732504819E-10</v>
      </c>
      <c r="AB12" s="324">
        <f>AB10-AB11</f>
        <v>484.37999976019427</v>
      </c>
      <c r="AC12" s="324"/>
      <c r="AD12" s="324"/>
      <c r="AE12" s="324"/>
      <c r="AF12" s="324"/>
      <c r="AI12" s="151" t="s">
        <v>285</v>
      </c>
      <c r="AJ12" s="152">
        <v>4.7087294063885565E-9</v>
      </c>
      <c r="AK12" s="152">
        <v>6.278305875184742E-9</v>
      </c>
      <c r="AL12" s="152">
        <v>8.3710745002463227E-9</v>
      </c>
      <c r="AM12" s="324">
        <f>AM10-AM11</f>
        <v>357.85999761201498</v>
      </c>
      <c r="AN12" s="324"/>
      <c r="AO12" s="324"/>
      <c r="AP12" s="324"/>
      <c r="AQ12" s="324"/>
      <c r="AT12" s="151" t="s">
        <v>285</v>
      </c>
      <c r="AU12" s="152">
        <v>1.4003613824087324E-9</v>
      </c>
      <c r="AV12" s="152">
        <v>0</v>
      </c>
      <c r="AW12" s="152">
        <v>2.3494170978665352E-2</v>
      </c>
      <c r="AX12" s="324">
        <f>AX10-AX11</f>
        <v>478.37019739521173</v>
      </c>
    </row>
    <row r="13" spans="1:50" ht="21" customHeight="1" x14ac:dyDescent="0.25">
      <c r="B13" s="151"/>
      <c r="C13" s="152"/>
      <c r="D13" s="152"/>
      <c r="E13" s="152"/>
      <c r="F13" s="324"/>
      <c r="M13" s="151"/>
      <c r="N13" s="152"/>
      <c r="O13" s="152"/>
      <c r="P13" s="152"/>
      <c r="Q13" s="324"/>
      <c r="R13" s="324"/>
      <c r="S13" s="324"/>
      <c r="T13" s="324"/>
      <c r="U13" s="324"/>
      <c r="X13" s="151"/>
      <c r="Y13" s="152"/>
      <c r="Z13" s="152"/>
      <c r="AA13" s="152"/>
      <c r="AB13" s="324"/>
      <c r="AC13" s="324"/>
      <c r="AD13" s="324"/>
      <c r="AE13" s="324"/>
      <c r="AF13" s="324"/>
      <c r="AI13" s="151"/>
      <c r="AJ13" s="152"/>
      <c r="AK13" s="152"/>
      <c r="AL13" s="152"/>
      <c r="AM13" s="324"/>
      <c r="AN13" s="324"/>
      <c r="AO13" s="324"/>
      <c r="AP13" s="324"/>
      <c r="AQ13" s="324"/>
      <c r="AT13" s="151"/>
      <c r="AU13" s="152"/>
      <c r="AV13" s="152"/>
      <c r="AW13" s="152"/>
      <c r="AX13" s="324"/>
    </row>
    <row r="14" spans="1:50" ht="21" customHeight="1" x14ac:dyDescent="0.25">
      <c r="A14" s="749"/>
      <c r="B14" s="51" t="s">
        <v>419</v>
      </c>
      <c r="M14" s="51" t="s">
        <v>419</v>
      </c>
      <c r="X14" s="51" t="s">
        <v>419</v>
      </c>
      <c r="AI14" s="51" t="s">
        <v>419</v>
      </c>
      <c r="AT14" s="51" t="s">
        <v>419</v>
      </c>
    </row>
    <row r="15" spans="1:50" ht="21" customHeight="1" thickBot="1" x14ac:dyDescent="0.3">
      <c r="B15" s="51"/>
      <c r="C15" s="142" t="str">
        <f>C3</f>
        <v>junior</v>
      </c>
      <c r="D15" s="142" t="str">
        <f>D3</f>
        <v>senior</v>
      </c>
      <c r="E15" s="142" t="str">
        <f>E3</f>
        <v>premium</v>
      </c>
      <c r="M15" s="51"/>
      <c r="N15" s="221" t="str">
        <f>N3</f>
        <v>junior</v>
      </c>
      <c r="O15" s="221" t="str">
        <f>O3</f>
        <v>senior</v>
      </c>
      <c r="P15" s="221" t="str">
        <f>P3</f>
        <v>premium</v>
      </c>
      <c r="X15" s="51"/>
      <c r="Y15" s="286" t="str">
        <f>Y3</f>
        <v>junior</v>
      </c>
      <c r="Z15" s="286" t="str">
        <f>Z3</f>
        <v>senior</v>
      </c>
      <c r="AA15" s="286" t="str">
        <f>AA3</f>
        <v>premium</v>
      </c>
      <c r="AI15" s="51"/>
      <c r="AJ15" s="286" t="str">
        <f>AJ3</f>
        <v>junior</v>
      </c>
      <c r="AK15" s="286" t="str">
        <f>AK3</f>
        <v>senior</v>
      </c>
      <c r="AL15" s="286" t="str">
        <f>AL3</f>
        <v>premium</v>
      </c>
      <c r="AT15" s="51"/>
      <c r="AU15" s="287" t="str">
        <f>AU3</f>
        <v>junior</v>
      </c>
      <c r="AV15" s="287" t="str">
        <f>AV3</f>
        <v>senior</v>
      </c>
      <c r="AW15" s="287" t="str">
        <f>AW3</f>
        <v>premium</v>
      </c>
    </row>
    <row r="16" spans="1:50" ht="21" customHeight="1" x14ac:dyDescent="0.25">
      <c r="A16" s="12" t="s">
        <v>4</v>
      </c>
      <c r="B16" s="54" t="s">
        <v>5</v>
      </c>
      <c r="C16" s="697">
        <f ca="1">IF(Décisions!$D20&lt;&gt;0,OFFSET(Constantes!D$50,Décisions!$D20-1,0),0)</f>
        <v>0</v>
      </c>
      <c r="D16" s="698">
        <f ca="1">IF(Décisions!$D20&lt;&gt;0,OFFSET(Constantes!E$50,Décisions!$D20-1,0),0)</f>
        <v>0</v>
      </c>
      <c r="E16" s="699">
        <f ca="1">IF(Décisions!$D20&lt;&gt;0,OFFSET(Constantes!F$50,Décisions!$D20-1,0),0)</f>
        <v>0</v>
      </c>
      <c r="L16" s="12" t="s">
        <v>4</v>
      </c>
      <c r="M16" s="54" t="s">
        <v>5</v>
      </c>
      <c r="N16" s="697">
        <f ca="1">IF(Décisions!$O20&lt;&gt;0,OFFSET(Constantes!D$50,Décisions!$O20-1,0),0)</f>
        <v>0</v>
      </c>
      <c r="O16" s="698">
        <f ca="1">IF(Décisions!$O20&lt;&gt;0,OFFSET(Constantes!E$50,Décisions!$O20-1,0),0)</f>
        <v>0</v>
      </c>
      <c r="P16" s="699">
        <f ca="1">IF(Décisions!$O20&lt;&gt;0,OFFSET(Constantes!F$50,Décisions!$O20-1,0),0)</f>
        <v>0</v>
      </c>
      <c r="W16" s="12" t="s">
        <v>4</v>
      </c>
      <c r="X16" s="54" t="s">
        <v>5</v>
      </c>
      <c r="Y16" s="697">
        <f ca="1">IF(Décisions!$Z20&lt;&gt;0,OFFSET(Constantes!D$50,Décisions!$Z20-1,0),0)</f>
        <v>0</v>
      </c>
      <c r="Z16" s="698">
        <f ca="1">IF(Décisions!$Z20&lt;&gt;0,OFFSET(Constantes!E$50,Décisions!$Z20-1,0),0)</f>
        <v>0</v>
      </c>
      <c r="AA16" s="699">
        <f ca="1">IF(Décisions!$Z20&lt;&gt;0,OFFSET(Constantes!F$50,Décisions!$Z20-1,0),0)</f>
        <v>0</v>
      </c>
      <c r="AH16" s="12" t="s">
        <v>4</v>
      </c>
      <c r="AI16" s="54" t="s">
        <v>5</v>
      </c>
      <c r="AJ16" s="697">
        <f ca="1">IF(Décisions!$AK20&lt;&gt;0,OFFSET(Constantes!D$50,Décisions!$AK20-1,0),0)</f>
        <v>0</v>
      </c>
      <c r="AK16" s="698">
        <f ca="1">IF(Décisions!$AK20&lt;&gt;0,OFFSET(Constantes!E$50,Décisions!$AK20-1,0),0)</f>
        <v>0</v>
      </c>
      <c r="AL16" s="699">
        <f ca="1">IF(Décisions!$AK20&lt;&gt;0,OFFSET(Constantes!F$50,Décisions!$AK20-1,0),0)</f>
        <v>0</v>
      </c>
      <c r="AS16" s="12" t="s">
        <v>4</v>
      </c>
      <c r="AT16" s="54" t="s">
        <v>5</v>
      </c>
      <c r="AU16" s="697">
        <f ca="1">IF(Décisions!$AV20&lt;&gt;0,OFFSET(Constantes!D$50,Décisions!$AV20-1,0),0)</f>
        <v>0</v>
      </c>
      <c r="AV16" s="698">
        <f ca="1">IF(Décisions!$AV20&lt;&gt;0,OFFSET(Constantes!E$50,Décisions!$AV20-1,0),0)</f>
        <v>0</v>
      </c>
      <c r="AW16" s="699">
        <f ca="1">IF(Décisions!$AV20&lt;&gt;0,OFFSET(Constantes!F$50,Décisions!$AV20-1,0),0)</f>
        <v>0</v>
      </c>
    </row>
    <row r="17" spans="1:49" ht="21" customHeight="1" thickBot="1" x14ac:dyDescent="0.3">
      <c r="A17" s="15"/>
      <c r="B17" s="56" t="s">
        <v>31</v>
      </c>
      <c r="C17" s="700">
        <f ca="1">IF(Décisions!$D21&lt;&gt;0,OFFSET(Constantes!D$50,Décisions!$D21-1,0),0)</f>
        <v>0</v>
      </c>
      <c r="D17" s="701">
        <f ca="1">IF(Décisions!$D21&lt;&gt;0,OFFSET(Constantes!E$50,Décisions!$D21-1,0),0)</f>
        <v>0</v>
      </c>
      <c r="E17" s="702">
        <f ca="1">IF(Décisions!$D21&lt;&gt;0,OFFSET(Constantes!F$50,Décisions!$D21-1,0),0)</f>
        <v>0</v>
      </c>
      <c r="L17" s="15"/>
      <c r="M17" s="56" t="s">
        <v>31</v>
      </c>
      <c r="N17" s="700">
        <f ca="1">IF(Décisions!$O21&lt;&gt;0,OFFSET(Constantes!D$50,Décisions!$O21-1,0),0)</f>
        <v>1</v>
      </c>
      <c r="O17" s="701">
        <f ca="1">IF(Décisions!$O21&lt;&gt;0,OFFSET(Constantes!E$50,Décisions!$O21-1,0),0)</f>
        <v>0.3</v>
      </c>
      <c r="P17" s="702">
        <f ca="1">IF(Décisions!$O21&lt;&gt;0,OFFSET(Constantes!F$50,Décisions!$O21-1,0),0)</f>
        <v>0.5</v>
      </c>
      <c r="W17" s="15"/>
      <c r="X17" s="56" t="s">
        <v>31</v>
      </c>
      <c r="Y17" s="700">
        <f ca="1">IF(Décisions!$Z21&lt;&gt;0,OFFSET(Constantes!D$50,Décisions!$Z21-1,0),0)</f>
        <v>0</v>
      </c>
      <c r="Z17" s="701">
        <f ca="1">IF(Décisions!$Z21&lt;&gt;0,OFFSET(Constantes!E$50,Décisions!$Z21-1,0),0)</f>
        <v>0</v>
      </c>
      <c r="AA17" s="702">
        <f ca="1">IF(Décisions!$Z21&lt;&gt;0,OFFSET(Constantes!F$50,Décisions!$Z21-1,0),0)</f>
        <v>0</v>
      </c>
      <c r="AH17" s="15"/>
      <c r="AI17" s="56" t="s">
        <v>31</v>
      </c>
      <c r="AJ17" s="700">
        <f ca="1">IF(Décisions!$AK21&lt;&gt;0,OFFSET(Constantes!D$50,Décisions!$AK21-1,0),0)</f>
        <v>0</v>
      </c>
      <c r="AK17" s="701">
        <f ca="1">IF(Décisions!$AK21&lt;&gt;0,OFFSET(Constantes!E$50,Décisions!$AK21-1,0),0)</f>
        <v>0</v>
      </c>
      <c r="AL17" s="702">
        <f ca="1">IF(Décisions!$AK21&lt;&gt;0,OFFSET(Constantes!F$50,Décisions!$AK21-1,0),0)</f>
        <v>0</v>
      </c>
      <c r="AS17" s="15"/>
      <c r="AT17" s="56" t="s">
        <v>31</v>
      </c>
      <c r="AU17" s="700">
        <f ca="1">IF(Décisions!$AV21&lt;&gt;0,OFFSET(Constantes!D$50,Décisions!$AV21-1,0),0)</f>
        <v>0</v>
      </c>
      <c r="AV17" s="701">
        <f ca="1">IF(Décisions!$AV21&lt;&gt;0,OFFSET(Constantes!E$50,Décisions!$AV21-1,0),0)</f>
        <v>0</v>
      </c>
      <c r="AW17" s="702">
        <f ca="1">IF(Décisions!$AV21&lt;&gt;0,OFFSET(Constantes!F$50,Décisions!$AV21-1,0),0)</f>
        <v>0</v>
      </c>
    </row>
    <row r="18" spans="1:49" ht="21" customHeight="1" x14ac:dyDescent="0.25">
      <c r="A18" s="12" t="s">
        <v>6</v>
      </c>
      <c r="B18" s="54" t="s">
        <v>7</v>
      </c>
      <c r="C18" s="697">
        <f ca="1">IF(Décisions!$D22&lt;&gt;0,OFFSET(Constantes!D$50,Décisions!$D22-1,0),0)</f>
        <v>0</v>
      </c>
      <c r="D18" s="698">
        <f ca="1">IF(Décisions!$D22&lt;&gt;0,OFFSET(Constantes!E$50,Décisions!$D22-1,0),0)</f>
        <v>0</v>
      </c>
      <c r="E18" s="699">
        <f ca="1">IF(Décisions!$D22&lt;&gt;0,OFFSET(Constantes!F$50,Décisions!$D22-1,0),0)</f>
        <v>0</v>
      </c>
      <c r="L18" s="12" t="s">
        <v>6</v>
      </c>
      <c r="M18" s="54" t="s">
        <v>7</v>
      </c>
      <c r="N18" s="697">
        <f ca="1">IF(Décisions!$O22&lt;&gt;0,OFFSET(Constantes!D$50,Décisions!$O22-1,0),0)</f>
        <v>0</v>
      </c>
      <c r="O18" s="698">
        <f ca="1">IF(Décisions!$O22&lt;&gt;0,OFFSET(Constantes!E$50,Décisions!$O22-1,0),0)</f>
        <v>0</v>
      </c>
      <c r="P18" s="699">
        <f ca="1">IF(Décisions!$O22&lt;&gt;0,OFFSET(Constantes!F$50,Décisions!$O22-1,0),0)</f>
        <v>0</v>
      </c>
      <c r="W18" s="12" t="s">
        <v>6</v>
      </c>
      <c r="X18" s="54" t="s">
        <v>7</v>
      </c>
      <c r="Y18" s="697">
        <f ca="1">IF(Décisions!$Z22&lt;&gt;0,OFFSET(Constantes!D$50,Décisions!$Z22-1,0),0)</f>
        <v>0</v>
      </c>
      <c r="Z18" s="698">
        <f ca="1">IF(Décisions!$Z22&lt;&gt;0,OFFSET(Constantes!E$50,Décisions!$Z22-1,0),0)</f>
        <v>0</v>
      </c>
      <c r="AA18" s="699">
        <f ca="1">IF(Décisions!$Z22&lt;&gt;0,OFFSET(Constantes!F$50,Décisions!$Z22-1,0),0)</f>
        <v>0</v>
      </c>
      <c r="AH18" s="12" t="s">
        <v>6</v>
      </c>
      <c r="AI18" s="54" t="s">
        <v>7</v>
      </c>
      <c r="AJ18" s="697">
        <f ca="1">IF(Décisions!$AK22&lt;&gt;0,OFFSET(Constantes!D$50,Décisions!$AK22-1,0),0)</f>
        <v>0</v>
      </c>
      <c r="AK18" s="698">
        <f ca="1">IF(Décisions!$AK22&lt;&gt;0,OFFSET(Constantes!E$50,Décisions!$AK22-1,0),0)</f>
        <v>0</v>
      </c>
      <c r="AL18" s="699">
        <f ca="1">IF(Décisions!$AK22&lt;&gt;0,OFFSET(Constantes!F$50,Décisions!$AK22-1,0),0)</f>
        <v>0</v>
      </c>
      <c r="AS18" s="12" t="s">
        <v>6</v>
      </c>
      <c r="AT18" s="54" t="s">
        <v>7</v>
      </c>
      <c r="AU18" s="697">
        <f ca="1">IF(Décisions!$AV22&lt;&gt;0,OFFSET(Constantes!D$50,Décisions!$AV22-1,0),0)</f>
        <v>1</v>
      </c>
      <c r="AV18" s="698">
        <f ca="1">IF(Décisions!$AV22&lt;&gt;0,OFFSET(Constantes!E$50,Décisions!$AV22-1,0),0)</f>
        <v>0.3</v>
      </c>
      <c r="AW18" s="699">
        <f ca="1">IF(Décisions!$AV22&lt;&gt;0,OFFSET(Constantes!F$50,Décisions!$AV22-1,0),0)</f>
        <v>0.5</v>
      </c>
    </row>
    <row r="19" spans="1:49" ht="21" customHeight="1" x14ac:dyDescent="0.25">
      <c r="A19" s="17"/>
      <c r="B19" s="57" t="s">
        <v>8</v>
      </c>
      <c r="C19" s="703">
        <f ca="1">IF(Décisions!$D23&lt;&gt;0,OFFSET(Constantes!D$50,Décisions!$D23-1,0),0)</f>
        <v>0</v>
      </c>
      <c r="D19" s="704">
        <f ca="1">IF(Décisions!$D23&lt;&gt;0,OFFSET(Constantes!E$50,Décisions!$D23-1,0),0)</f>
        <v>0</v>
      </c>
      <c r="E19" s="705">
        <f ca="1">IF(Décisions!$D23&lt;&gt;0,OFFSET(Constantes!F$50,Décisions!$D23-1,0),0)</f>
        <v>0</v>
      </c>
      <c r="L19" s="17"/>
      <c r="M19" s="57" t="s">
        <v>8</v>
      </c>
      <c r="N19" s="703">
        <f ca="1">IF(Décisions!$O23&lt;&gt;0,OFFSET(Constantes!D$50,Décisions!$O23-1,0),0)</f>
        <v>1</v>
      </c>
      <c r="O19" s="704">
        <f ca="1">IF(Décisions!$O23&lt;&gt;0,OFFSET(Constantes!E$50,Décisions!$O23-1,0),0)</f>
        <v>0.3</v>
      </c>
      <c r="P19" s="705">
        <f ca="1">IF(Décisions!$O23&lt;&gt;0,OFFSET(Constantes!F$50,Décisions!$O23-1,0),0)</f>
        <v>0.5</v>
      </c>
      <c r="W19" s="17"/>
      <c r="X19" s="57" t="s">
        <v>8</v>
      </c>
      <c r="Y19" s="703">
        <f ca="1">IF(Décisions!$Z23&lt;&gt;0,OFFSET(Constantes!D$50,Décisions!$Z23-1,0),0)</f>
        <v>0</v>
      </c>
      <c r="Z19" s="704">
        <f ca="1">IF(Décisions!$Z23&lt;&gt;0,OFFSET(Constantes!E$50,Décisions!$Z23-1,0),0)</f>
        <v>0</v>
      </c>
      <c r="AA19" s="705">
        <f ca="1">IF(Décisions!$Z23&lt;&gt;0,OFFSET(Constantes!F$50,Décisions!$Z23-1,0),0)</f>
        <v>0</v>
      </c>
      <c r="AH19" s="17"/>
      <c r="AI19" s="57" t="s">
        <v>8</v>
      </c>
      <c r="AJ19" s="703">
        <f ca="1">IF(Décisions!$AK23&lt;&gt;0,OFFSET(Constantes!D$50,Décisions!$AK23-1,0),0)</f>
        <v>1</v>
      </c>
      <c r="AK19" s="704">
        <f ca="1">IF(Décisions!$AK23&lt;&gt;0,OFFSET(Constantes!E$50,Décisions!$AK23-1,0),0)</f>
        <v>0.3</v>
      </c>
      <c r="AL19" s="705">
        <f ca="1">IF(Décisions!$AK23&lt;&gt;0,OFFSET(Constantes!F$50,Décisions!$AK23-1,0),0)</f>
        <v>0.5</v>
      </c>
      <c r="AS19" s="17"/>
      <c r="AT19" s="57" t="s">
        <v>8</v>
      </c>
      <c r="AU19" s="703">
        <f ca="1">IF(Décisions!$AV23&lt;&gt;0,OFFSET(Constantes!D$50,Décisions!$AV23-1,0),0)</f>
        <v>0</v>
      </c>
      <c r="AV19" s="704">
        <f ca="1">IF(Décisions!$AV23&lt;&gt;0,OFFSET(Constantes!E$50,Décisions!$AV23-1,0),0)</f>
        <v>0</v>
      </c>
      <c r="AW19" s="705">
        <f ca="1">IF(Décisions!$AV23&lt;&gt;0,OFFSET(Constantes!F$50,Décisions!$AV23-1,0),0)</f>
        <v>0</v>
      </c>
    </row>
    <row r="20" spans="1:49" ht="21" customHeight="1" thickBot="1" x14ac:dyDescent="0.3">
      <c r="A20" s="15"/>
      <c r="B20" s="56" t="s">
        <v>157</v>
      </c>
      <c r="C20" s="700">
        <f ca="1">IF(Décisions!$D24&lt;&gt;0,OFFSET(Constantes!D$50,Décisions!$D24-1,0),0)</f>
        <v>0</v>
      </c>
      <c r="D20" s="701">
        <f ca="1">IF(Décisions!$D24&lt;&gt;0,OFFSET(Constantes!E$50,Décisions!$D24-1,0),0)</f>
        <v>0</v>
      </c>
      <c r="E20" s="702">
        <f ca="1">IF(Décisions!$D24&lt;&gt;0,OFFSET(Constantes!F$50,Décisions!$D24-1,0),0)</f>
        <v>0</v>
      </c>
      <c r="L20" s="15"/>
      <c r="M20" s="56" t="s">
        <v>157</v>
      </c>
      <c r="N20" s="700">
        <f ca="1">IF(Décisions!$O24&lt;&gt;0,OFFSET(Constantes!D$50,Décisions!$O24-1,0),0)</f>
        <v>0</v>
      </c>
      <c r="O20" s="701">
        <f ca="1">IF(Décisions!$O24&lt;&gt;0,OFFSET(Constantes!E$50,Décisions!$O24-1,0),0)</f>
        <v>0</v>
      </c>
      <c r="P20" s="702">
        <f ca="1">IF(Décisions!$O24&lt;&gt;0,OFFSET(Constantes!F$50,Décisions!$O24-1,0),0)</f>
        <v>0</v>
      </c>
      <c r="W20" s="15"/>
      <c r="X20" s="56" t="s">
        <v>157</v>
      </c>
      <c r="Y20" s="700">
        <f ca="1">IF(Décisions!$Z24&lt;&gt;0,OFFSET(Constantes!D$50,Décisions!$Z24-1,0),0)</f>
        <v>0</v>
      </c>
      <c r="Z20" s="701">
        <f ca="1">IF(Décisions!$Z24&lt;&gt;0,OFFSET(Constantes!E$50,Décisions!$Z24-1,0),0)</f>
        <v>0</v>
      </c>
      <c r="AA20" s="702">
        <f ca="1">IF(Décisions!$Z24&lt;&gt;0,OFFSET(Constantes!F$50,Décisions!$Z24-1,0),0)</f>
        <v>0</v>
      </c>
      <c r="AH20" s="15"/>
      <c r="AI20" s="56" t="s">
        <v>157</v>
      </c>
      <c r="AJ20" s="700">
        <f ca="1">IF(Décisions!$AK24&lt;&gt;0,OFFSET(Constantes!D$50,Décisions!$AK24-1,0),0)</f>
        <v>0</v>
      </c>
      <c r="AK20" s="701">
        <f ca="1">IF(Décisions!$AK24&lt;&gt;0,OFFSET(Constantes!E$50,Décisions!$AK24-1,0),0)</f>
        <v>0</v>
      </c>
      <c r="AL20" s="702">
        <f ca="1">IF(Décisions!$AK24&lt;&gt;0,OFFSET(Constantes!F$50,Décisions!$AK24-1,0),0)</f>
        <v>0</v>
      </c>
      <c r="AS20" s="15"/>
      <c r="AT20" s="56" t="s">
        <v>157</v>
      </c>
      <c r="AU20" s="700">
        <f ca="1">IF(Décisions!$AV24&lt;&gt;0,OFFSET(Constantes!D$50,Décisions!$AV24-1,0),0)</f>
        <v>0</v>
      </c>
      <c r="AV20" s="701">
        <f ca="1">IF(Décisions!$AV24&lt;&gt;0,OFFSET(Constantes!E$50,Décisions!$AV24-1,0),0)</f>
        <v>0</v>
      </c>
      <c r="AW20" s="702">
        <f ca="1">IF(Décisions!$AV24&lt;&gt;0,OFFSET(Constantes!F$50,Décisions!$AV24-1,0),0)</f>
        <v>0</v>
      </c>
    </row>
    <row r="21" spans="1:49" ht="21" customHeight="1" x14ac:dyDescent="0.25">
      <c r="A21" s="12" t="s">
        <v>9</v>
      </c>
      <c r="B21" s="54" t="s">
        <v>32</v>
      </c>
      <c r="C21" s="697">
        <f ca="1">IF(Décisions!$D25&lt;&gt;0,OFFSET(Constantes!D$50,Décisions!$D25-1,0),0)</f>
        <v>0</v>
      </c>
      <c r="D21" s="698">
        <f ca="1">IF(Décisions!$D25&lt;&gt;0,OFFSET(Constantes!E$50,Décisions!$D25-1,0),0)</f>
        <v>0</v>
      </c>
      <c r="E21" s="699">
        <f ca="1">IF(Décisions!$D25&lt;&gt;0,OFFSET(Constantes!F$50,Décisions!$D25-1,0),0)</f>
        <v>0</v>
      </c>
      <c r="L21" s="12" t="s">
        <v>9</v>
      </c>
      <c r="M21" s="54" t="s">
        <v>32</v>
      </c>
      <c r="N21" s="697">
        <f ca="1">IF(Décisions!$O25&lt;&gt;0,OFFSET(Constantes!D$50,Décisions!$O25-1,0),0)</f>
        <v>0</v>
      </c>
      <c r="O21" s="698">
        <f ca="1">IF(Décisions!$O25&lt;&gt;0,OFFSET(Constantes!E$50,Décisions!$O25-1,0),0)</f>
        <v>0</v>
      </c>
      <c r="P21" s="699">
        <f ca="1">IF(Décisions!$O25&lt;&gt;0,OFFSET(Constantes!F$50,Décisions!$O25-1,0),0)</f>
        <v>0</v>
      </c>
      <c r="W21" s="12" t="s">
        <v>9</v>
      </c>
      <c r="X21" s="54" t="s">
        <v>32</v>
      </c>
      <c r="Y21" s="697">
        <f ca="1">IF(Décisions!$Z25&lt;&gt;0,OFFSET(Constantes!D$50,Décisions!$Z25-1,0),0)</f>
        <v>0</v>
      </c>
      <c r="Z21" s="698">
        <f ca="1">IF(Décisions!$Z25&lt;&gt;0,OFFSET(Constantes!E$50,Décisions!$Z25-1,0),0)</f>
        <v>0</v>
      </c>
      <c r="AA21" s="699">
        <f ca="1">IF(Décisions!$Z25&lt;&gt;0,OFFSET(Constantes!F$50,Décisions!$Z25-1,0),0)</f>
        <v>0</v>
      </c>
      <c r="AH21" s="12" t="s">
        <v>9</v>
      </c>
      <c r="AI21" s="54" t="s">
        <v>32</v>
      </c>
      <c r="AJ21" s="697">
        <f ca="1">IF(Décisions!$AK25&lt;&gt;0,OFFSET(Constantes!D$50,Décisions!$AK25-1,0),0)</f>
        <v>0</v>
      </c>
      <c r="AK21" s="698">
        <f ca="1">IF(Décisions!$AK25&lt;&gt;0,OFFSET(Constantes!E$50,Décisions!$AK25-1,0),0)</f>
        <v>0</v>
      </c>
      <c r="AL21" s="699">
        <f ca="1">IF(Décisions!$AK25&lt;&gt;0,OFFSET(Constantes!F$50,Décisions!$AK25-1,0),0)</f>
        <v>0</v>
      </c>
      <c r="AS21" s="12" t="s">
        <v>9</v>
      </c>
      <c r="AT21" s="54" t="s">
        <v>32</v>
      </c>
      <c r="AU21" s="697">
        <f ca="1">IF(Décisions!$AV25&lt;&gt;0,OFFSET(Constantes!D$50,Décisions!$AV25-1,0),0)</f>
        <v>1.5</v>
      </c>
      <c r="AV21" s="698">
        <f ca="1">IF(Décisions!$AV25&lt;&gt;0,OFFSET(Constantes!E$50,Décisions!$AV25-1,0),0)</f>
        <v>0.5</v>
      </c>
      <c r="AW21" s="699">
        <f ca="1">IF(Décisions!$AV25&lt;&gt;0,OFFSET(Constantes!F$50,Décisions!$AV25-1,0),0)</f>
        <v>1</v>
      </c>
    </row>
    <row r="22" spans="1:49" ht="21" customHeight="1" thickBot="1" x14ac:dyDescent="0.3">
      <c r="A22" s="15"/>
      <c r="B22" s="56" t="s">
        <v>10</v>
      </c>
      <c r="C22" s="700">
        <f ca="1">IF(Décisions!$D26&lt;&gt;0,OFFSET(Constantes!D$50,Décisions!$D26-1,0),0)</f>
        <v>0</v>
      </c>
      <c r="D22" s="701">
        <f ca="1">IF(Décisions!$D26&lt;&gt;0,OFFSET(Constantes!E$50,Décisions!$D26-1,0),0)</f>
        <v>0</v>
      </c>
      <c r="E22" s="702">
        <f ca="1">IF(Décisions!$D26&lt;&gt;0,OFFSET(Constantes!F$50,Décisions!$D26-1,0),0)</f>
        <v>0</v>
      </c>
      <c r="L22" s="15"/>
      <c r="M22" s="56" t="s">
        <v>10</v>
      </c>
      <c r="N22" s="700">
        <f ca="1">IF(Décisions!$O26&lt;&gt;0,OFFSET(Constantes!D$50,Décisions!$O26-1,0),0)</f>
        <v>0</v>
      </c>
      <c r="O22" s="701">
        <f ca="1">IF(Décisions!$O26&lt;&gt;0,OFFSET(Constantes!E$50,Décisions!$O26-1,0),0)</f>
        <v>0</v>
      </c>
      <c r="P22" s="702">
        <f ca="1">IF(Décisions!$O26&lt;&gt;0,OFFSET(Constantes!F$50,Décisions!$O26-1,0),0)</f>
        <v>0</v>
      </c>
      <c r="W22" s="15"/>
      <c r="X22" s="56" t="s">
        <v>10</v>
      </c>
      <c r="Y22" s="700">
        <f ca="1">IF(Décisions!$Z26&lt;&gt;0,OFFSET(Constantes!D$50,Décisions!$Z26-1,0),0)</f>
        <v>0</v>
      </c>
      <c r="Z22" s="701">
        <f ca="1">IF(Décisions!$Z26&lt;&gt;0,OFFSET(Constantes!E$50,Décisions!$Z26-1,0),0)</f>
        <v>0</v>
      </c>
      <c r="AA22" s="702">
        <f ca="1">IF(Décisions!$Z26&lt;&gt;0,OFFSET(Constantes!F$50,Décisions!$Z26-1,0),0)</f>
        <v>0</v>
      </c>
      <c r="AH22" s="15"/>
      <c r="AI22" s="56" t="s">
        <v>10</v>
      </c>
      <c r="AJ22" s="700">
        <f ca="1">IF(Décisions!$AK26&lt;&gt;0,OFFSET(Constantes!D$50,Décisions!$AK26-1,0),0)</f>
        <v>1</v>
      </c>
      <c r="AK22" s="701">
        <f ca="1">IF(Décisions!$AK26&lt;&gt;0,OFFSET(Constantes!E$50,Décisions!$AK26-1,0),0)</f>
        <v>0.3</v>
      </c>
      <c r="AL22" s="702">
        <f ca="1">IF(Décisions!$AK26&lt;&gt;0,OFFSET(Constantes!F$50,Décisions!$AK26-1,0),0)</f>
        <v>0.5</v>
      </c>
      <c r="AS22" s="15"/>
      <c r="AT22" s="56" t="s">
        <v>10</v>
      </c>
      <c r="AU22" s="700">
        <f ca="1">IF(Décisions!$AV26&lt;&gt;0,OFFSET(Constantes!D$50,Décisions!$AV26-1,0),0)</f>
        <v>0</v>
      </c>
      <c r="AV22" s="701">
        <f ca="1">IF(Décisions!$AV26&lt;&gt;0,OFFSET(Constantes!E$50,Décisions!$AV26-1,0),0)</f>
        <v>0</v>
      </c>
      <c r="AW22" s="702">
        <f ca="1">IF(Décisions!$AV26&lt;&gt;0,OFFSET(Constantes!F$50,Décisions!$AV26-1,0),0)</f>
        <v>0</v>
      </c>
    </row>
    <row r="23" spans="1:49" ht="21" customHeight="1" x14ac:dyDescent="0.25">
      <c r="A23" s="12" t="s">
        <v>11</v>
      </c>
      <c r="B23" s="54" t="s">
        <v>33</v>
      </c>
      <c r="C23" s="697">
        <f ca="1">IF(Décisions!$D27&lt;&gt;0,OFFSET(Constantes!D$50,Décisions!$D27-1,0),0)</f>
        <v>0</v>
      </c>
      <c r="D23" s="698">
        <f ca="1">IF(Décisions!$D27&lt;&gt;0,OFFSET(Constantes!E$50,Décisions!$D27-1,0),0)</f>
        <v>0</v>
      </c>
      <c r="E23" s="699">
        <f ca="1">IF(Décisions!$D27&lt;&gt;0,OFFSET(Constantes!F$50,Décisions!$D27-1,0),0)</f>
        <v>0</v>
      </c>
      <c r="L23" s="12" t="s">
        <v>11</v>
      </c>
      <c r="M23" s="54" t="s">
        <v>33</v>
      </c>
      <c r="N23" s="697">
        <f ca="1">IF(Décisions!$O27&lt;&gt;0,OFFSET(Constantes!D$50,Décisions!$O27-1,0),0)</f>
        <v>1.5</v>
      </c>
      <c r="O23" s="698">
        <f ca="1">IF(Décisions!$O27&lt;&gt;0,OFFSET(Constantes!E$50,Décisions!$O27-1,0),0)</f>
        <v>0.5</v>
      </c>
      <c r="P23" s="699">
        <f ca="1">IF(Décisions!$O27&lt;&gt;0,OFFSET(Constantes!F$50,Décisions!$O27-1,0),0)</f>
        <v>1</v>
      </c>
      <c r="W23" s="12" t="s">
        <v>11</v>
      </c>
      <c r="X23" s="54" t="s">
        <v>33</v>
      </c>
      <c r="Y23" s="697">
        <f ca="1">IF(Décisions!$Z27&lt;&gt;0,OFFSET(Constantes!D$50,Décisions!$Z27-1,0),0)</f>
        <v>1</v>
      </c>
      <c r="Z23" s="698">
        <f ca="1">IF(Décisions!$Z27&lt;&gt;0,OFFSET(Constantes!E$50,Décisions!$Z27-1,0),0)</f>
        <v>0.3</v>
      </c>
      <c r="AA23" s="699">
        <f ca="1">IF(Décisions!$Z27&lt;&gt;0,OFFSET(Constantes!F$50,Décisions!$Z27-1,0),0)</f>
        <v>0.5</v>
      </c>
      <c r="AH23" s="12" t="s">
        <v>11</v>
      </c>
      <c r="AI23" s="54" t="s">
        <v>33</v>
      </c>
      <c r="AJ23" s="697">
        <f ca="1">IF(Décisions!$AK27&lt;&gt;0,OFFSET(Constantes!D$50,Décisions!$AK27-1,0),0)</f>
        <v>0</v>
      </c>
      <c r="AK23" s="698">
        <f ca="1">IF(Décisions!$AK27&lt;&gt;0,OFFSET(Constantes!E$50,Décisions!$AK27-1,0),0)</f>
        <v>0</v>
      </c>
      <c r="AL23" s="699">
        <f ca="1">IF(Décisions!$AK27&lt;&gt;0,OFFSET(Constantes!F$50,Décisions!$AK27-1,0),0)</f>
        <v>0</v>
      </c>
      <c r="AS23" s="12" t="s">
        <v>11</v>
      </c>
      <c r="AT23" s="54" t="s">
        <v>33</v>
      </c>
      <c r="AU23" s="697">
        <f ca="1">IF(Décisions!$AV27&lt;&gt;0,OFFSET(Constantes!D$50,Décisions!$AV27-1,0),0)</f>
        <v>0</v>
      </c>
      <c r="AV23" s="698">
        <f ca="1">IF(Décisions!$AV27&lt;&gt;0,OFFSET(Constantes!E$50,Décisions!$AV27-1,0),0)</f>
        <v>0</v>
      </c>
      <c r="AW23" s="699">
        <f ca="1">IF(Décisions!$AV27&lt;&gt;0,OFFSET(Constantes!F$50,Décisions!$AV27-1,0),0)</f>
        <v>0</v>
      </c>
    </row>
    <row r="24" spans="1:49" ht="21" customHeight="1" x14ac:dyDescent="0.25">
      <c r="A24" s="17"/>
      <c r="B24" s="57" t="s">
        <v>34</v>
      </c>
      <c r="C24" s="703">
        <f ca="1">IF(Décisions!$D28&lt;&gt;0,OFFSET(Constantes!D$50,Décisions!$D28-1,0),0)</f>
        <v>0</v>
      </c>
      <c r="D24" s="704">
        <f ca="1">IF(Décisions!$D28&lt;&gt;0,OFFSET(Constantes!E$50,Décisions!$D28-1,0),0)</f>
        <v>0</v>
      </c>
      <c r="E24" s="705">
        <f ca="1">IF(Décisions!$D28&lt;&gt;0,OFFSET(Constantes!F$50,Décisions!$D28-1,0),0)</f>
        <v>0</v>
      </c>
      <c r="L24" s="17"/>
      <c r="M24" s="57" t="s">
        <v>34</v>
      </c>
      <c r="N24" s="703">
        <f ca="1">IF(Décisions!$O28&lt;&gt;0,OFFSET(Constantes!D$50,Décisions!$O28-1,0),0)</f>
        <v>0</v>
      </c>
      <c r="O24" s="704">
        <f ca="1">IF(Décisions!$O28&lt;&gt;0,OFFSET(Constantes!E$50,Décisions!$O28-1,0),0)</f>
        <v>0</v>
      </c>
      <c r="P24" s="705">
        <f ca="1">IF(Décisions!$O28&lt;&gt;0,OFFSET(Constantes!F$50,Décisions!$O28-1,0),0)</f>
        <v>0</v>
      </c>
      <c r="W24" s="17"/>
      <c r="X24" s="57" t="s">
        <v>34</v>
      </c>
      <c r="Y24" s="703">
        <f ca="1">IF(Décisions!$Z28&lt;&gt;0,OFFSET(Constantes!D$50,Décisions!$Z28-1,0),0)</f>
        <v>0</v>
      </c>
      <c r="Z24" s="704">
        <f ca="1">IF(Décisions!$Z28&lt;&gt;0,OFFSET(Constantes!E$50,Décisions!$Z28-1,0),0)</f>
        <v>0</v>
      </c>
      <c r="AA24" s="705">
        <f ca="1">IF(Décisions!$Z28&lt;&gt;0,OFFSET(Constantes!F$50,Décisions!$Z28-1,0),0)</f>
        <v>0</v>
      </c>
      <c r="AH24" s="17"/>
      <c r="AI24" s="57" t="s">
        <v>34</v>
      </c>
      <c r="AJ24" s="703">
        <f ca="1">IF(Décisions!$AK28&lt;&gt;0,OFFSET(Constantes!D$50,Décisions!$AK28-1,0),0)</f>
        <v>0</v>
      </c>
      <c r="AK24" s="704">
        <f ca="1">IF(Décisions!$AK28&lt;&gt;0,OFFSET(Constantes!E$50,Décisions!$AK28-1,0),0)</f>
        <v>0</v>
      </c>
      <c r="AL24" s="705">
        <f ca="1">IF(Décisions!$AK28&lt;&gt;0,OFFSET(Constantes!F$50,Décisions!$AK28-1,0),0)</f>
        <v>0</v>
      </c>
      <c r="AS24" s="17"/>
      <c r="AT24" s="57" t="s">
        <v>34</v>
      </c>
      <c r="AU24" s="703">
        <f ca="1">IF(Décisions!$AV28&lt;&gt;0,OFFSET(Constantes!D$50,Décisions!$AV28-1,0),0)</f>
        <v>0</v>
      </c>
      <c r="AV24" s="704">
        <f ca="1">IF(Décisions!$AV28&lt;&gt;0,OFFSET(Constantes!E$50,Décisions!$AV28-1,0),0)</f>
        <v>0</v>
      </c>
      <c r="AW24" s="705">
        <f ca="1">IF(Décisions!$AV28&lt;&gt;0,OFFSET(Constantes!F$50,Décisions!$AV28-1,0),0)</f>
        <v>0</v>
      </c>
    </row>
    <row r="25" spans="1:49" ht="21" customHeight="1" thickBot="1" x14ac:dyDescent="0.3">
      <c r="A25" s="15"/>
      <c r="B25" s="56" t="s">
        <v>12</v>
      </c>
      <c r="C25" s="700">
        <f ca="1">IF(Décisions!$D29&lt;&gt;0,OFFSET(Constantes!D$50,Décisions!$D29-1,0),0)</f>
        <v>0</v>
      </c>
      <c r="D25" s="701">
        <f ca="1">IF(Décisions!$D29&lt;&gt;0,OFFSET(Constantes!E$50,Décisions!$D29-1,0),0)</f>
        <v>0</v>
      </c>
      <c r="E25" s="702">
        <f ca="1">IF(Décisions!$D29&lt;&gt;0,OFFSET(Constantes!F$50,Décisions!$D29-1,0),0)</f>
        <v>0</v>
      </c>
      <c r="L25" s="15"/>
      <c r="M25" s="56" t="s">
        <v>12</v>
      </c>
      <c r="N25" s="700">
        <f ca="1">IF(Décisions!$O29&lt;&gt;0,OFFSET(Constantes!D$50,Décisions!$O29-1,0),0)</f>
        <v>0</v>
      </c>
      <c r="O25" s="701">
        <f ca="1">IF(Décisions!$O29&lt;&gt;0,OFFSET(Constantes!E$50,Décisions!$O29-1,0),0)</f>
        <v>0</v>
      </c>
      <c r="P25" s="702">
        <f ca="1">IF(Décisions!$O29&lt;&gt;0,OFFSET(Constantes!F$50,Décisions!$O29-1,0),0)</f>
        <v>0</v>
      </c>
      <c r="W25" s="15"/>
      <c r="X25" s="56" t="s">
        <v>12</v>
      </c>
      <c r="Y25" s="700">
        <f ca="1">IF(Décisions!$Z29&lt;&gt;0,OFFSET(Constantes!D$50,Décisions!$Z29-1,0),0)</f>
        <v>1.5</v>
      </c>
      <c r="Z25" s="701">
        <f ca="1">IF(Décisions!$Z29&lt;&gt;0,OFFSET(Constantes!E$50,Décisions!$Z29-1,0),0)</f>
        <v>0.5</v>
      </c>
      <c r="AA25" s="702">
        <f ca="1">IF(Décisions!$Z29&lt;&gt;0,OFFSET(Constantes!F$50,Décisions!$Z29-1,0),0)</f>
        <v>1</v>
      </c>
      <c r="AH25" s="15"/>
      <c r="AI25" s="56" t="s">
        <v>12</v>
      </c>
      <c r="AJ25" s="700">
        <f ca="1">IF(Décisions!$AK29&lt;&gt;0,OFFSET(Constantes!D$50,Décisions!$AK29-1,0),0)</f>
        <v>0</v>
      </c>
      <c r="AK25" s="701">
        <f ca="1">IF(Décisions!$AK29&lt;&gt;0,OFFSET(Constantes!E$50,Décisions!$AK29-1,0),0)</f>
        <v>0</v>
      </c>
      <c r="AL25" s="702">
        <f ca="1">IF(Décisions!$AK29&lt;&gt;0,OFFSET(Constantes!F$50,Décisions!$AK29-1,0),0)</f>
        <v>0</v>
      </c>
      <c r="AS25" s="15"/>
      <c r="AT25" s="56" t="s">
        <v>12</v>
      </c>
      <c r="AU25" s="700">
        <f ca="1">IF(Décisions!$AV29&lt;&gt;0,OFFSET(Constantes!D$50,Décisions!$AV29-1,0),0)</f>
        <v>0</v>
      </c>
      <c r="AV25" s="701">
        <f ca="1">IF(Décisions!$AV29&lt;&gt;0,OFFSET(Constantes!E$50,Décisions!$AV29-1,0),0)</f>
        <v>0</v>
      </c>
      <c r="AW25" s="702">
        <f ca="1">IF(Décisions!$AV29&lt;&gt;0,OFFSET(Constantes!F$50,Décisions!$AV29-1,0),0)</f>
        <v>0</v>
      </c>
    </row>
    <row r="26" spans="1:49" ht="21" customHeight="1" x14ac:dyDescent="0.25">
      <c r="B26" s="45"/>
      <c r="M26" s="45"/>
      <c r="X26" s="45"/>
      <c r="AI26" s="45"/>
      <c r="AT26" s="45"/>
    </row>
    <row r="27" spans="1:49" ht="21" customHeight="1" x14ac:dyDescent="0.25">
      <c r="A27" s="749"/>
      <c r="B27" s="51" t="s">
        <v>272</v>
      </c>
      <c r="M27" s="51" t="s">
        <v>272</v>
      </c>
      <c r="X27" s="51" t="s">
        <v>272</v>
      </c>
      <c r="AI27" s="51" t="s">
        <v>272</v>
      </c>
      <c r="AT27" s="51" t="s">
        <v>272</v>
      </c>
    </row>
    <row r="28" spans="1:49" ht="21" customHeight="1" thickBot="1" x14ac:dyDescent="0.3">
      <c r="B28" s="51"/>
      <c r="C28" s="43"/>
      <c r="D28" s="143"/>
      <c r="E28" s="143"/>
      <c r="M28" s="51"/>
      <c r="N28" s="221"/>
      <c r="O28" s="221"/>
      <c r="P28" s="221"/>
      <c r="X28" s="51"/>
      <c r="Y28" s="286">
        <f ca="1">Y17</f>
        <v>0</v>
      </c>
      <c r="Z28" s="286">
        <f ca="1">Z17</f>
        <v>0</v>
      </c>
      <c r="AA28" s="286">
        <f ca="1">AA17</f>
        <v>0</v>
      </c>
      <c r="AI28" s="51"/>
      <c r="AJ28" s="286">
        <f ca="1">AJ17</f>
        <v>0</v>
      </c>
      <c r="AK28" s="286">
        <f ca="1">AK17</f>
        <v>0</v>
      </c>
      <c r="AL28" s="286">
        <f ca="1">AL17</f>
        <v>0</v>
      </c>
      <c r="AT28" s="51"/>
      <c r="AU28" s="287">
        <f ca="1">AU17</f>
        <v>0</v>
      </c>
      <c r="AV28" s="287">
        <f ca="1">AV17</f>
        <v>0</v>
      </c>
      <c r="AW28" s="287">
        <f ca="1">AW17</f>
        <v>0</v>
      </c>
    </row>
    <row r="29" spans="1:49" ht="21" customHeight="1" x14ac:dyDescent="0.25">
      <c r="A29" s="12" t="s">
        <v>4</v>
      </c>
      <c r="B29" s="54" t="s">
        <v>5</v>
      </c>
      <c r="C29" s="233">
        <f ca="1">IF(Décisions!$D20&lt;&gt;0,Décisions!$D20*OFFSET(Constantes!$C$50,Décisions!$D20-1,0),0)</f>
        <v>0</v>
      </c>
      <c r="L29" s="12" t="s">
        <v>4</v>
      </c>
      <c r="M29" s="54" t="s">
        <v>5</v>
      </c>
      <c r="N29" s="233">
        <f ca="1">IF(Décisions!$O20&lt;&gt;0,Décisions!$O20*OFFSET(Constantes!$C$50,Décisions!$O20-1,0),0)</f>
        <v>0</v>
      </c>
      <c r="W29" s="12" t="s">
        <v>4</v>
      </c>
      <c r="X29" s="54" t="s">
        <v>5</v>
      </c>
      <c r="Y29" s="233">
        <f ca="1">IF(Décisions!$Z20&lt;&gt;0,Décisions!$Z20*OFFSET(Constantes!$C$50,Décisions!$Z20-1,0),0)</f>
        <v>0</v>
      </c>
      <c r="AH29" s="12" t="s">
        <v>4</v>
      </c>
      <c r="AI29" s="54" t="s">
        <v>5</v>
      </c>
      <c r="AJ29" s="233">
        <f ca="1">IF(Décisions!$AK20&lt;&gt;0,Décisions!$AK20*OFFSET(Constantes!$C$50,Décisions!$AK20-1,0),0)</f>
        <v>0</v>
      </c>
      <c r="AS29" s="12" t="s">
        <v>4</v>
      </c>
      <c r="AT29" s="54" t="s">
        <v>5</v>
      </c>
      <c r="AU29" s="233">
        <f ca="1">IF(Décisions!$AV20&lt;&gt;0,Décisions!$AV20*OFFSET(Constantes!$C$50,Décisions!$AV20-1,0),0)</f>
        <v>0</v>
      </c>
    </row>
    <row r="30" spans="1:49" ht="21" customHeight="1" thickBot="1" x14ac:dyDescent="0.3">
      <c r="A30" s="15"/>
      <c r="B30" s="56" t="s">
        <v>31</v>
      </c>
      <c r="C30" s="234">
        <f ca="1">IF(Décisions!$D21&lt;&gt;0,Décisions!$D21*OFFSET(Constantes!$C$50,Décisions!$D21-1,0),0)</f>
        <v>0</v>
      </c>
      <c r="L30" s="15"/>
      <c r="M30" s="56" t="s">
        <v>31</v>
      </c>
      <c r="N30" s="234">
        <f ca="1">IF(Décisions!$O21&lt;&gt;0,Décisions!$O21*OFFSET(Constantes!$C$50,Décisions!$O21-1,0),0)</f>
        <v>500</v>
      </c>
      <c r="W30" s="15"/>
      <c r="X30" s="56" t="s">
        <v>31</v>
      </c>
      <c r="Y30" s="234">
        <f ca="1">IF(Décisions!$Z21&lt;&gt;0,Décisions!$Z21*OFFSET(Constantes!$C$50,Décisions!$Z21-1,0),0)</f>
        <v>0</v>
      </c>
      <c r="AH30" s="15"/>
      <c r="AI30" s="56" t="s">
        <v>31</v>
      </c>
      <c r="AJ30" s="234">
        <f ca="1">IF(Décisions!$AK21&lt;&gt;0,Décisions!$AK21*OFFSET(Constantes!$C$50,Décisions!$AK21-1,0),0)</f>
        <v>0</v>
      </c>
      <c r="AS30" s="15"/>
      <c r="AT30" s="56" t="s">
        <v>31</v>
      </c>
      <c r="AU30" s="234">
        <f ca="1">IF(Décisions!$AV21&lt;&gt;0,Décisions!$AV21*OFFSET(Constantes!$C$50,Décisions!$AV21-1,0),0)</f>
        <v>0</v>
      </c>
    </row>
    <row r="31" spans="1:49" ht="21" customHeight="1" x14ac:dyDescent="0.25">
      <c r="A31" s="12" t="s">
        <v>6</v>
      </c>
      <c r="B31" s="54" t="s">
        <v>7</v>
      </c>
      <c r="C31" s="233">
        <f ca="1">IF(Décisions!$D22&lt;&gt;0,Décisions!$D22*OFFSET(Constantes!$C$50,Décisions!$D22-1,0),0)</f>
        <v>0</v>
      </c>
      <c r="L31" s="12" t="s">
        <v>6</v>
      </c>
      <c r="M31" s="54" t="s">
        <v>7</v>
      </c>
      <c r="N31" s="233">
        <f ca="1">IF(Décisions!$O22&lt;&gt;0,Décisions!$O22*OFFSET(Constantes!$C$50,Décisions!$O22-1,0),0)</f>
        <v>0</v>
      </c>
      <c r="W31" s="12" t="s">
        <v>6</v>
      </c>
      <c r="X31" s="54" t="s">
        <v>7</v>
      </c>
      <c r="Y31" s="233">
        <f ca="1">IF(Décisions!$Z22&lt;&gt;0,Décisions!$Z22*OFFSET(Constantes!$C$50,Décisions!$Z22-1,0),0)</f>
        <v>0</v>
      </c>
      <c r="AH31" s="12" t="s">
        <v>6</v>
      </c>
      <c r="AI31" s="54" t="s">
        <v>7</v>
      </c>
      <c r="AJ31" s="233">
        <f ca="1">IF(Décisions!$AK22&lt;&gt;0,Décisions!$AK22*OFFSET(Constantes!$C$50,Décisions!$AK22-1,0),0)</f>
        <v>0</v>
      </c>
      <c r="AS31" s="12" t="s">
        <v>6</v>
      </c>
      <c r="AT31" s="54" t="s">
        <v>7</v>
      </c>
      <c r="AU31" s="233">
        <f ca="1">IF(Décisions!$AV22&lt;&gt;0,Décisions!$AV22*OFFSET(Constantes!$C$50,Décisions!$AV22-1,0),0)</f>
        <v>500</v>
      </c>
    </row>
    <row r="32" spans="1:49" ht="21" customHeight="1" x14ac:dyDescent="0.25">
      <c r="A32" s="17"/>
      <c r="B32" s="57" t="s">
        <v>8</v>
      </c>
      <c r="C32" s="235">
        <f ca="1">IF(Décisions!$D23&lt;&gt;0,Décisions!$D23*OFFSET(Constantes!$C$50,Décisions!$D23-1,0),0)</f>
        <v>0</v>
      </c>
      <c r="L32" s="17"/>
      <c r="M32" s="57" t="s">
        <v>8</v>
      </c>
      <c r="N32" s="235">
        <f ca="1">IF(Décisions!$O23&lt;&gt;0,Décisions!$O23*OFFSET(Constantes!$C$50,Décisions!$O23-1,0),0)</f>
        <v>500</v>
      </c>
      <c r="W32" s="17"/>
      <c r="X32" s="57" t="s">
        <v>8</v>
      </c>
      <c r="Y32" s="235">
        <f ca="1">IF(Décisions!$Z23&lt;&gt;0,Décisions!$Z23*OFFSET(Constantes!$C$50,Décisions!$Z23-1,0),0)</f>
        <v>0</v>
      </c>
      <c r="AH32" s="17"/>
      <c r="AI32" s="57" t="s">
        <v>8</v>
      </c>
      <c r="AJ32" s="235">
        <f ca="1">IF(Décisions!$AK23&lt;&gt;0,Décisions!$AK23*OFFSET(Constantes!$C$50,Décisions!$AK23-1,0),0)</f>
        <v>500</v>
      </c>
      <c r="AS32" s="17"/>
      <c r="AT32" s="57" t="s">
        <v>8</v>
      </c>
      <c r="AU32" s="235">
        <f ca="1">IF(Décisions!$AV23&lt;&gt;0,Décisions!$AV23*OFFSET(Constantes!$C$50,Décisions!$AV23-1,0),0)</f>
        <v>0</v>
      </c>
    </row>
    <row r="33" spans="1:50" ht="21" customHeight="1" thickBot="1" x14ac:dyDescent="0.3">
      <c r="A33" s="15"/>
      <c r="B33" s="56" t="s">
        <v>157</v>
      </c>
      <c r="C33" s="234">
        <f ca="1">IF(Décisions!$D24&lt;&gt;0,Décisions!$D24*OFFSET(Constantes!$C$50,Décisions!$D24-1,0),0)</f>
        <v>0</v>
      </c>
      <c r="L33" s="15"/>
      <c r="M33" s="56" t="s">
        <v>157</v>
      </c>
      <c r="N33" s="234">
        <f ca="1">IF(Décisions!$O24&lt;&gt;0,Décisions!$O24*OFFSET(Constantes!$C$50,Décisions!$O24-1,0),0)</f>
        <v>0</v>
      </c>
      <c r="W33" s="15"/>
      <c r="X33" s="56" t="s">
        <v>157</v>
      </c>
      <c r="Y33" s="234">
        <f ca="1">IF(Décisions!$Z24&lt;&gt;0,Décisions!$Z24*OFFSET(Constantes!$C$50,Décisions!$Z24-1,0),0)</f>
        <v>0</v>
      </c>
      <c r="AH33" s="15"/>
      <c r="AI33" s="56" t="s">
        <v>157</v>
      </c>
      <c r="AJ33" s="234">
        <f ca="1">IF(Décisions!$AK24&lt;&gt;0,Décisions!$AK24*OFFSET(Constantes!$C$50,Décisions!$AK24-1,0),0)</f>
        <v>0</v>
      </c>
      <c r="AS33" s="15"/>
      <c r="AT33" s="56" t="s">
        <v>157</v>
      </c>
      <c r="AU33" s="234">
        <f ca="1">IF(Décisions!$AV24&lt;&gt;0,Décisions!$AV24*OFFSET(Constantes!$C$50,Décisions!$AV24-1,0),0)</f>
        <v>0</v>
      </c>
    </row>
    <row r="34" spans="1:50" ht="21" customHeight="1" x14ac:dyDescent="0.25">
      <c r="A34" s="12" t="s">
        <v>9</v>
      </c>
      <c r="B34" s="54" t="s">
        <v>32</v>
      </c>
      <c r="C34" s="233">
        <f ca="1">IF(Décisions!$D25&lt;&gt;0,Décisions!$D25*OFFSET(Constantes!$C$50,Décisions!$D25-1,0),0)</f>
        <v>0</v>
      </c>
      <c r="L34" s="12" t="s">
        <v>9</v>
      </c>
      <c r="M34" s="54" t="s">
        <v>32</v>
      </c>
      <c r="N34" s="233">
        <f ca="1">IF(Décisions!$O25&lt;&gt;0,Décisions!$O25*OFFSET(Constantes!$C$50,Décisions!$O25-1,0),0)</f>
        <v>0</v>
      </c>
      <c r="W34" s="12" t="s">
        <v>9</v>
      </c>
      <c r="X34" s="54" t="s">
        <v>32</v>
      </c>
      <c r="Y34" s="233">
        <f ca="1">IF(Décisions!$Z25&lt;&gt;0,Décisions!$Z25*OFFSET(Constantes!$C$50,Décisions!$Z25-1,0),0)</f>
        <v>0</v>
      </c>
      <c r="AH34" s="12" t="s">
        <v>9</v>
      </c>
      <c r="AI34" s="54" t="s">
        <v>32</v>
      </c>
      <c r="AJ34" s="233">
        <f ca="1">IF(Décisions!$AK25&lt;&gt;0,Décisions!$AK25*OFFSET(Constantes!$C$50,Décisions!$AK25-1,0),0)</f>
        <v>0</v>
      </c>
      <c r="AS34" s="12" t="s">
        <v>9</v>
      </c>
      <c r="AT34" s="54" t="s">
        <v>32</v>
      </c>
      <c r="AU34" s="233">
        <f ca="1">IF(Décisions!$AV25&lt;&gt;0,Décisions!$AV25*OFFSET(Constantes!$C$50,Décisions!$AV25-1,0),0)</f>
        <v>2000</v>
      </c>
    </row>
    <row r="35" spans="1:50" ht="21" customHeight="1" thickBot="1" x14ac:dyDescent="0.3">
      <c r="A35" s="15"/>
      <c r="B35" s="56" t="s">
        <v>10</v>
      </c>
      <c r="C35" s="234">
        <f ca="1">IF(Décisions!$D26&lt;&gt;0,Décisions!$D26*OFFSET(Constantes!$C$50,Décisions!$D26-1,0),0)</f>
        <v>0</v>
      </c>
      <c r="D35" s="32">
        <f ca="1">IF(Décisions!$D26&lt;&gt;0,Décisions!$D26*OFFSET(Constantes!$C$50,Décisions!$E26-1,0),0)</f>
        <v>0</v>
      </c>
      <c r="E35" s="32">
        <f ca="1">IF(Décisions!$D26&lt;&gt;0,Décisions!$D26*OFFSET(Constantes!$C$50,Décisions!$E26-1,0),0)</f>
        <v>0</v>
      </c>
      <c r="L35" s="15"/>
      <c r="M35" s="56" t="s">
        <v>10</v>
      </c>
      <c r="N35" s="234">
        <f ca="1">IF(Décisions!$O26&lt;&gt;0,Décisions!$O26*OFFSET(Constantes!$C$50,Décisions!$O26-1,0),0)</f>
        <v>0</v>
      </c>
      <c r="O35" s="32">
        <f ca="1">IF(Décisions!$D26&lt;&gt;0,Décisions!$D26*OFFSET(Constantes!$C$50,Décisions!$E26-1,0),0)</f>
        <v>0</v>
      </c>
      <c r="P35" s="32">
        <f ca="1">IF(Décisions!$D26&lt;&gt;0,Décisions!$D26*OFFSET(Constantes!$C$50,Décisions!$E26-1,0),0)</f>
        <v>0</v>
      </c>
      <c r="W35" s="15"/>
      <c r="X35" s="56" t="s">
        <v>10</v>
      </c>
      <c r="Y35" s="234">
        <f ca="1">IF(Décisions!$Z26&lt;&gt;0,Décisions!$Z26*OFFSET(Constantes!$C$50,Décisions!$Z26-1,0),0)</f>
        <v>0</v>
      </c>
      <c r="Z35" s="32">
        <f ca="1">IF(Décisions!$D26&lt;&gt;0,Décisions!$D26*OFFSET(Constantes!$C$50,Décisions!$E26-1,0),0)</f>
        <v>0</v>
      </c>
      <c r="AA35" s="32">
        <f ca="1">IF(Décisions!$D26&lt;&gt;0,Décisions!$D26*OFFSET(Constantes!$C$50,Décisions!$E26-1,0),0)</f>
        <v>0</v>
      </c>
      <c r="AH35" s="15"/>
      <c r="AI35" s="56" t="s">
        <v>10</v>
      </c>
      <c r="AJ35" s="234">
        <f ca="1">IF(Décisions!$AK26&lt;&gt;0,Décisions!$AK26*OFFSET(Constantes!$C$50,Décisions!$AK26-1,0),0)</f>
        <v>500</v>
      </c>
      <c r="AK35" s="32">
        <f ca="1">IF(Décisions!$D26&lt;&gt;0,Décisions!$D26*OFFSET(Constantes!$C$50,Décisions!$E26-1,0),0)</f>
        <v>0</v>
      </c>
      <c r="AL35" s="32">
        <f ca="1">IF(Décisions!$D26&lt;&gt;0,Décisions!$D26*OFFSET(Constantes!$C$50,Décisions!$E26-1,0),0)</f>
        <v>0</v>
      </c>
      <c r="AS35" s="15"/>
      <c r="AT35" s="56" t="s">
        <v>10</v>
      </c>
      <c r="AU35" s="234">
        <f ca="1">IF(Décisions!$AV26&lt;&gt;0,Décisions!$AV26*OFFSET(Constantes!$C$50,Décisions!$AV26-1,0),0)</f>
        <v>0</v>
      </c>
      <c r="AV35" s="32">
        <f ca="1">IF(Décisions!$D26&lt;&gt;0,Décisions!$D26*OFFSET(Constantes!$C$50,Décisions!$E26-1,0),0)</f>
        <v>0</v>
      </c>
      <c r="AW35" s="32">
        <f ca="1">IF(Décisions!$D26&lt;&gt;0,Décisions!$D26*OFFSET(Constantes!$C$50,Décisions!$E26-1,0),0)</f>
        <v>0</v>
      </c>
    </row>
    <row r="36" spans="1:50" ht="21" customHeight="1" x14ac:dyDescent="0.25">
      <c r="A36" s="12" t="s">
        <v>11</v>
      </c>
      <c r="B36" s="54" t="s">
        <v>33</v>
      </c>
      <c r="C36" s="233">
        <f ca="1">IF(Décisions!$D27&lt;&gt;0,Décisions!$D27*OFFSET(Constantes!$C$50,Décisions!$D27-1,0),0)</f>
        <v>0</v>
      </c>
      <c r="D36" s="32">
        <f ca="1">IF(Décisions!$D27&lt;&gt;0,Décisions!$D27*OFFSET(Constantes!$C$50,Décisions!$E27-1,0),0)</f>
        <v>0</v>
      </c>
      <c r="E36" s="32">
        <f ca="1">IF(Décisions!$D27&lt;&gt;0,Décisions!$D27*OFFSET(Constantes!$C$50,Décisions!$E27-1,0),0)</f>
        <v>0</v>
      </c>
      <c r="L36" s="12" t="s">
        <v>11</v>
      </c>
      <c r="M36" s="54" t="s">
        <v>33</v>
      </c>
      <c r="N36" s="233">
        <f ca="1">IF(Décisions!$O27&lt;&gt;0,Décisions!$O27*OFFSET(Constantes!$C$50,Décisions!$O27-1,0),0)</f>
        <v>2000</v>
      </c>
      <c r="O36" s="32">
        <f ca="1">IF(Décisions!$D27&lt;&gt;0,Décisions!$D27*OFFSET(Constantes!$C$50,Décisions!$E27-1,0),0)</f>
        <v>0</v>
      </c>
      <c r="P36" s="32">
        <f ca="1">IF(Décisions!$D27&lt;&gt;0,Décisions!$D27*OFFSET(Constantes!$C$50,Décisions!$E27-1,0),0)</f>
        <v>0</v>
      </c>
      <c r="W36" s="12" t="s">
        <v>11</v>
      </c>
      <c r="X36" s="54" t="s">
        <v>33</v>
      </c>
      <c r="Y36" s="233">
        <f ca="1">IF(Décisions!$Z27&lt;&gt;0,Décisions!$Z27*OFFSET(Constantes!$C$50,Décisions!$Z27-1,0),0)</f>
        <v>500</v>
      </c>
      <c r="Z36" s="32">
        <f ca="1">IF(Décisions!$D27&lt;&gt;0,Décisions!$D27*OFFSET(Constantes!$C$50,Décisions!$E27-1,0),0)</f>
        <v>0</v>
      </c>
      <c r="AA36" s="32">
        <f ca="1">IF(Décisions!$D27&lt;&gt;0,Décisions!$D27*OFFSET(Constantes!$C$50,Décisions!$E27-1,0),0)</f>
        <v>0</v>
      </c>
      <c r="AH36" s="12" t="s">
        <v>11</v>
      </c>
      <c r="AI36" s="54" t="s">
        <v>33</v>
      </c>
      <c r="AJ36" s="233">
        <f ca="1">IF(Décisions!$AK27&lt;&gt;0,Décisions!$AK27*OFFSET(Constantes!$C$50,Décisions!$AK27-1,0),0)</f>
        <v>0</v>
      </c>
      <c r="AK36" s="32">
        <f ca="1">IF(Décisions!$D27&lt;&gt;0,Décisions!$D27*OFFSET(Constantes!$C$50,Décisions!$E27-1,0),0)</f>
        <v>0</v>
      </c>
      <c r="AL36" s="32">
        <f ca="1">IF(Décisions!$D27&lt;&gt;0,Décisions!$D27*OFFSET(Constantes!$C$50,Décisions!$E27-1,0),0)</f>
        <v>0</v>
      </c>
      <c r="AS36" s="12" t="s">
        <v>11</v>
      </c>
      <c r="AT36" s="54" t="s">
        <v>33</v>
      </c>
      <c r="AU36" s="233">
        <f ca="1">IF(Décisions!$AV27&lt;&gt;0,Décisions!$AV27*OFFSET(Constantes!$C$50,Décisions!$AV27-1,0),0)</f>
        <v>0</v>
      </c>
      <c r="AV36" s="32">
        <f ca="1">IF(Décisions!$D27&lt;&gt;0,Décisions!$D27*OFFSET(Constantes!$C$50,Décisions!$E27-1,0),0)</f>
        <v>0</v>
      </c>
      <c r="AW36" s="32">
        <f ca="1">IF(Décisions!$D27&lt;&gt;0,Décisions!$D27*OFFSET(Constantes!$C$50,Décisions!$E27-1,0),0)</f>
        <v>0</v>
      </c>
    </row>
    <row r="37" spans="1:50" ht="21" customHeight="1" x14ac:dyDescent="0.25">
      <c r="A37" s="17"/>
      <c r="B37" s="57" t="s">
        <v>34</v>
      </c>
      <c r="C37" s="235">
        <f ca="1">IF(Décisions!$D28&lt;&gt;0,Décisions!$D28*OFFSET(Constantes!$C$50,Décisions!$D28-1,0),0)</f>
        <v>0</v>
      </c>
      <c r="D37" s="32">
        <f ca="1">IF(Décisions!$D28&lt;&gt;0,Décisions!$D28*OFFSET(Constantes!$C$50,Décisions!$E28-1,0),0)</f>
        <v>0</v>
      </c>
      <c r="E37" s="32">
        <f ca="1">IF(Décisions!$D28&lt;&gt;0,Décisions!$D28*OFFSET(Constantes!$C$50,Décisions!$E28-1,0),0)</f>
        <v>0</v>
      </c>
      <c r="L37" s="17"/>
      <c r="M37" s="57" t="s">
        <v>34</v>
      </c>
      <c r="N37" s="235">
        <f ca="1">IF(Décisions!$O28&lt;&gt;0,Décisions!$O28*OFFSET(Constantes!$C$50,Décisions!$O28-1,0),0)</f>
        <v>0</v>
      </c>
      <c r="O37" s="32">
        <f ca="1">IF(Décisions!$D28&lt;&gt;0,Décisions!$D28*OFFSET(Constantes!$C$50,Décisions!$E28-1,0),0)</f>
        <v>0</v>
      </c>
      <c r="P37" s="32">
        <f ca="1">IF(Décisions!$D28&lt;&gt;0,Décisions!$D28*OFFSET(Constantes!$C$50,Décisions!$E28-1,0),0)</f>
        <v>0</v>
      </c>
      <c r="W37" s="17"/>
      <c r="X37" s="57" t="s">
        <v>34</v>
      </c>
      <c r="Y37" s="235">
        <f ca="1">IF(Décisions!$Z28&lt;&gt;0,Décisions!$Z28*OFFSET(Constantes!$C$50,Décisions!$Z28-1,0),0)</f>
        <v>0</v>
      </c>
      <c r="Z37" s="32">
        <f ca="1">IF(Décisions!$D28&lt;&gt;0,Décisions!$D28*OFFSET(Constantes!$C$50,Décisions!$E28-1,0),0)</f>
        <v>0</v>
      </c>
      <c r="AA37" s="32">
        <f ca="1">IF(Décisions!$D28&lt;&gt;0,Décisions!$D28*OFFSET(Constantes!$C$50,Décisions!$E28-1,0),0)</f>
        <v>0</v>
      </c>
      <c r="AH37" s="17"/>
      <c r="AI37" s="57" t="s">
        <v>34</v>
      </c>
      <c r="AJ37" s="235">
        <f ca="1">IF(Décisions!$AK28&lt;&gt;0,Décisions!$AK28*OFFSET(Constantes!$C$50,Décisions!$AK28-1,0),0)</f>
        <v>0</v>
      </c>
      <c r="AK37" s="32">
        <f ca="1">IF(Décisions!$D28&lt;&gt;0,Décisions!$D28*OFFSET(Constantes!$C$50,Décisions!$E28-1,0),0)</f>
        <v>0</v>
      </c>
      <c r="AL37" s="32">
        <f ca="1">IF(Décisions!$D28&lt;&gt;0,Décisions!$D28*OFFSET(Constantes!$C$50,Décisions!$E28-1,0),0)</f>
        <v>0</v>
      </c>
      <c r="AS37" s="17"/>
      <c r="AT37" s="57" t="s">
        <v>34</v>
      </c>
      <c r="AU37" s="235">
        <f ca="1">IF(Décisions!$AV28&lt;&gt;0,Décisions!$AV28*OFFSET(Constantes!$C$50,Décisions!$AV28-1,0),0)</f>
        <v>0</v>
      </c>
      <c r="AV37" s="32">
        <f ca="1">IF(Décisions!$D28&lt;&gt;0,Décisions!$D28*OFFSET(Constantes!$C$50,Décisions!$E28-1,0),0)</f>
        <v>0</v>
      </c>
      <c r="AW37" s="32">
        <f ca="1">IF(Décisions!$D28&lt;&gt;0,Décisions!$D28*OFFSET(Constantes!$C$50,Décisions!$E28-1,0),0)</f>
        <v>0</v>
      </c>
    </row>
    <row r="38" spans="1:50" ht="21" customHeight="1" thickBot="1" x14ac:dyDescent="0.3">
      <c r="A38" s="15"/>
      <c r="B38" s="56" t="s">
        <v>12</v>
      </c>
      <c r="C38" s="234">
        <f ca="1">IF(Décisions!$D29&lt;&gt;0,Décisions!$D29*OFFSET(Constantes!$C$50,Décisions!$D29-1,0),0)</f>
        <v>0</v>
      </c>
      <c r="D38" s="32">
        <f ca="1">IF(Décisions!$D29&lt;&gt;0,Décisions!$D29*OFFSET(Constantes!$C$50,Décisions!$E29-1,0),0)</f>
        <v>0</v>
      </c>
      <c r="E38" s="32">
        <f ca="1">IF(Décisions!$D29&lt;&gt;0,Décisions!$D29*OFFSET(Constantes!$C$50,Décisions!$E29-1,0),0)</f>
        <v>0</v>
      </c>
      <c r="L38" s="15"/>
      <c r="M38" s="56" t="s">
        <v>12</v>
      </c>
      <c r="N38" s="234">
        <f ca="1">IF(Décisions!$O29&lt;&gt;0,Décisions!$O29*OFFSET(Constantes!$C$50,Décisions!$O29-1,0),0)</f>
        <v>0</v>
      </c>
      <c r="O38" s="32">
        <f ca="1">IF(Décisions!$D29&lt;&gt;0,Décisions!$D29*OFFSET(Constantes!$C$50,Décisions!$E29-1,0),0)</f>
        <v>0</v>
      </c>
      <c r="P38" s="32">
        <f ca="1">IF(Décisions!$D29&lt;&gt;0,Décisions!$D29*OFFSET(Constantes!$C$50,Décisions!$E29-1,0),0)</f>
        <v>0</v>
      </c>
      <c r="W38" s="15"/>
      <c r="X38" s="56" t="s">
        <v>12</v>
      </c>
      <c r="Y38" s="234">
        <f ca="1">IF(Décisions!$Z29&lt;&gt;0,Décisions!$Z29*OFFSET(Constantes!$C$50,Décisions!$Z29-1,0),0)</f>
        <v>2000</v>
      </c>
      <c r="Z38" s="32">
        <f ca="1">IF(Décisions!$D29&lt;&gt;0,Décisions!$D29*OFFSET(Constantes!$C$50,Décisions!$E29-1,0),0)</f>
        <v>0</v>
      </c>
      <c r="AA38" s="32">
        <f ca="1">IF(Décisions!$D29&lt;&gt;0,Décisions!$D29*OFFSET(Constantes!$C$50,Décisions!$E29-1,0),0)</f>
        <v>0</v>
      </c>
      <c r="AH38" s="15"/>
      <c r="AI38" s="56" t="s">
        <v>12</v>
      </c>
      <c r="AJ38" s="234">
        <f ca="1">IF(Décisions!$AK29&lt;&gt;0,Décisions!$AK29*OFFSET(Constantes!$C$50,Décisions!$AK29-1,0),0)</f>
        <v>0</v>
      </c>
      <c r="AK38" s="32">
        <f ca="1">IF(Décisions!$D29&lt;&gt;0,Décisions!$D29*OFFSET(Constantes!$C$50,Décisions!$E29-1,0),0)</f>
        <v>0</v>
      </c>
      <c r="AL38" s="32">
        <f ca="1">IF(Décisions!$D29&lt;&gt;0,Décisions!$D29*OFFSET(Constantes!$C$50,Décisions!$E29-1,0),0)</f>
        <v>0</v>
      </c>
      <c r="AS38" s="15"/>
      <c r="AT38" s="56" t="s">
        <v>12</v>
      </c>
      <c r="AU38" s="234">
        <f ca="1">IF(Décisions!$AV29&lt;&gt;0,Décisions!$AV29*OFFSET(Constantes!$C$50,Décisions!$AV29-1,0),0)</f>
        <v>0</v>
      </c>
      <c r="AV38" s="32">
        <f ca="1">IF(Décisions!$D29&lt;&gt;0,Décisions!$D29*OFFSET(Constantes!$C$50,Décisions!$E29-1,0),0)</f>
        <v>0</v>
      </c>
      <c r="AW38" s="32">
        <f ca="1">IF(Décisions!$D29&lt;&gt;0,Décisions!$D29*OFFSET(Constantes!$C$50,Décisions!$E29-1,0),0)</f>
        <v>0</v>
      </c>
    </row>
    <row r="39" spans="1:50" ht="21" customHeight="1" x14ac:dyDescent="0.25">
      <c r="B39" s="45"/>
      <c r="C39" s="146">
        <f ca="1">SUM(C29:C38)</f>
        <v>0</v>
      </c>
      <c r="M39" s="45"/>
      <c r="N39" s="146">
        <f ca="1">SUM(N29:N38)</f>
        <v>3000</v>
      </c>
      <c r="X39" s="45"/>
      <c r="Y39" s="146">
        <f ca="1">SUM(Y29:Y38)</f>
        <v>2500</v>
      </c>
      <c r="AI39" s="45"/>
      <c r="AJ39" s="146">
        <f ca="1">SUM(AJ29:AJ38)</f>
        <v>1000</v>
      </c>
      <c r="AT39" s="45"/>
      <c r="AU39" s="146">
        <f ca="1">SUM(AU29:AU38)</f>
        <v>2500</v>
      </c>
    </row>
    <row r="40" spans="1:50" ht="21" customHeight="1" x14ac:dyDescent="0.25">
      <c r="B40" s="45"/>
      <c r="C40" s="146"/>
      <c r="M40" s="45"/>
      <c r="N40" s="146"/>
      <c r="X40" s="45"/>
      <c r="Y40" s="146"/>
      <c r="AI40" s="45"/>
      <c r="AJ40" s="146"/>
      <c r="AT40" s="45"/>
      <c r="AU40" s="146"/>
    </row>
    <row r="41" spans="1:50" ht="21" customHeight="1" x14ac:dyDescent="0.25">
      <c r="A41" s="749"/>
      <c r="B41" s="289" t="s">
        <v>149</v>
      </c>
      <c r="C41" s="38" t="str">
        <f>C3</f>
        <v>junior</v>
      </c>
      <c r="D41" s="38" t="str">
        <f>D3</f>
        <v>senior</v>
      </c>
      <c r="E41" s="38" t="str">
        <f>E3</f>
        <v>premium</v>
      </c>
      <c r="F41" s="32" t="s">
        <v>255</v>
      </c>
      <c r="M41" s="51" t="s">
        <v>149</v>
      </c>
      <c r="N41" s="38" t="str">
        <f>N3</f>
        <v>junior</v>
      </c>
      <c r="O41" s="38" t="s">
        <v>65</v>
      </c>
      <c r="P41" s="38" t="s">
        <v>66</v>
      </c>
      <c r="Q41" s="32" t="s">
        <v>255</v>
      </c>
      <c r="X41" s="51" t="s">
        <v>149</v>
      </c>
      <c r="Y41" s="38" t="str">
        <f>Y3</f>
        <v>junior</v>
      </c>
      <c r="Z41" s="38" t="s">
        <v>65</v>
      </c>
      <c r="AA41" s="38" t="s">
        <v>66</v>
      </c>
      <c r="AB41" s="32" t="s">
        <v>255</v>
      </c>
      <c r="AI41" s="51" t="s">
        <v>149</v>
      </c>
      <c r="AJ41" s="38" t="str">
        <f>AJ3</f>
        <v>junior</v>
      </c>
      <c r="AK41" s="38" t="s">
        <v>65</v>
      </c>
      <c r="AL41" s="38" t="s">
        <v>66</v>
      </c>
      <c r="AM41" s="32" t="s">
        <v>255</v>
      </c>
      <c r="AT41" s="51" t="s">
        <v>149</v>
      </c>
      <c r="AU41" s="38" t="str">
        <f>AU3</f>
        <v>junior</v>
      </c>
      <c r="AV41" s="38" t="s">
        <v>65</v>
      </c>
      <c r="AW41" s="38" t="s">
        <v>66</v>
      </c>
      <c r="AX41" s="32" t="s">
        <v>255</v>
      </c>
    </row>
    <row r="42" spans="1:50" ht="18" customHeight="1" x14ac:dyDescent="0.25">
      <c r="A42" s="288"/>
      <c r="B42" s="1" t="s">
        <v>226</v>
      </c>
      <c r="C42" s="63">
        <f>'Historique T=0'!C26</f>
        <v>104</v>
      </c>
      <c r="D42" s="63">
        <f>'Historique T=0'!C27</f>
        <v>85</v>
      </c>
      <c r="E42" s="63">
        <f>'Historique T=0'!C28</f>
        <v>105</v>
      </c>
      <c r="F42" s="130">
        <f>AVERAGE(C42:E42)</f>
        <v>98</v>
      </c>
      <c r="M42" s="1" t="s">
        <v>226</v>
      </c>
      <c r="N42" s="63">
        <f ca="1">C53</f>
        <v>104.6</v>
      </c>
      <c r="O42" s="63">
        <f ca="1">D53</f>
        <v>81.95</v>
      </c>
      <c r="P42" s="63">
        <f ca="1">E53</f>
        <v>85.639999999999986</v>
      </c>
      <c r="Q42" s="130">
        <f ca="1">AVERAGE(N42:P42)</f>
        <v>90.73</v>
      </c>
      <c r="R42" s="130"/>
      <c r="S42" s="130"/>
      <c r="T42" s="130"/>
      <c r="U42" s="130"/>
      <c r="X42" s="1" t="s">
        <v>226</v>
      </c>
      <c r="Y42" s="63">
        <f ca="1">N53</f>
        <v>113.1</v>
      </c>
      <c r="Z42" s="63">
        <f ca="1">O53</f>
        <v>86.05</v>
      </c>
      <c r="AA42" s="63">
        <f ca="1">P53</f>
        <v>76.639999999999986</v>
      </c>
      <c r="AB42" s="130">
        <f ca="1">AVERAGE(Y42:AA42)</f>
        <v>91.929999999999993</v>
      </c>
      <c r="AC42" s="130"/>
      <c r="AD42" s="130"/>
      <c r="AE42" s="130"/>
      <c r="AF42" s="130"/>
      <c r="AI42" s="1" t="s">
        <v>226</v>
      </c>
      <c r="AJ42" s="63">
        <f ca="1">Y53</f>
        <v>106.6</v>
      </c>
      <c r="AK42" s="63">
        <f ca="1">Z53</f>
        <v>81.849999999999994</v>
      </c>
      <c r="AL42" s="63">
        <f ca="1">AA53</f>
        <v>69.139999999999986</v>
      </c>
      <c r="AM42" s="130">
        <f ca="1">AVERAGE(AJ42:AL42)</f>
        <v>85.86333333333333</v>
      </c>
      <c r="AN42" s="130"/>
      <c r="AO42" s="130"/>
      <c r="AP42" s="130"/>
      <c r="AQ42" s="130"/>
      <c r="AT42" s="1" t="s">
        <v>226</v>
      </c>
      <c r="AU42" s="63">
        <f ca="1">AJ53</f>
        <v>106.6</v>
      </c>
      <c r="AV42" s="63">
        <f ca="1">AK53</f>
        <v>78.949999999999989</v>
      </c>
      <c r="AW42" s="63">
        <f ca="1">AL53</f>
        <v>65.139999999999986</v>
      </c>
      <c r="AX42" s="130">
        <f ca="1">AVERAGE(AU42:AW42)</f>
        <v>83.563333333333318</v>
      </c>
    </row>
    <row r="43" spans="1:50" ht="18" customHeight="1" x14ac:dyDescent="0.25">
      <c r="A43" s="288"/>
      <c r="B43" s="1" t="s">
        <v>234</v>
      </c>
      <c r="C43" s="63">
        <f>Constantes!$C138</f>
        <v>-5</v>
      </c>
      <c r="D43" s="63">
        <f>Constantes!$D138</f>
        <v>-5</v>
      </c>
      <c r="E43" s="63">
        <f>Constantes!$E138</f>
        <v>-5</v>
      </c>
      <c r="F43" s="130"/>
      <c r="M43" s="1" t="s">
        <v>234</v>
      </c>
      <c r="N43" s="63">
        <f>Constantes!$C138</f>
        <v>-5</v>
      </c>
      <c r="O43" s="63">
        <f>Constantes!$D138</f>
        <v>-5</v>
      </c>
      <c r="P43" s="63">
        <f>Constantes!$E138</f>
        <v>-5</v>
      </c>
      <c r="X43" s="1" t="s">
        <v>234</v>
      </c>
      <c r="Y43" s="63">
        <f>Constantes!$C138</f>
        <v>-5</v>
      </c>
      <c r="Z43" s="63">
        <f>Constantes!$D138</f>
        <v>-5</v>
      </c>
      <c r="AA43" s="63">
        <f>Constantes!$E138</f>
        <v>-5</v>
      </c>
      <c r="AI43" s="1" t="s">
        <v>234</v>
      </c>
      <c r="AJ43" s="63">
        <f>Constantes!$C138</f>
        <v>-5</v>
      </c>
      <c r="AK43" s="63">
        <f>Constantes!$D138</f>
        <v>-5</v>
      </c>
      <c r="AL43" s="63">
        <f>Constantes!$E138</f>
        <v>-5</v>
      </c>
      <c r="AT43" s="1" t="s">
        <v>234</v>
      </c>
      <c r="AU43" s="63">
        <f>Constantes!$C138</f>
        <v>-5</v>
      </c>
      <c r="AV43" s="63">
        <f>Constantes!$D138</f>
        <v>-5</v>
      </c>
      <c r="AW43" s="63">
        <f>Constantes!$E138</f>
        <v>-5</v>
      </c>
    </row>
    <row r="44" spans="1:50" ht="21" customHeight="1" x14ac:dyDescent="0.25">
      <c r="A44" s="288"/>
      <c r="B44" s="107" t="s">
        <v>228</v>
      </c>
      <c r="C44" s="121">
        <f>SUM(Décisions!G47:G56)</f>
        <v>1</v>
      </c>
      <c r="D44" s="121">
        <f>SUM(Décisions!G63:G72)</f>
        <v>2</v>
      </c>
      <c r="E44" s="121">
        <f>SUM(Décisions!G79:G88)</f>
        <v>2</v>
      </c>
      <c r="F44" s="130"/>
      <c r="G44" s="45"/>
      <c r="H44" s="45"/>
      <c r="I44" s="45"/>
      <c r="J44" s="45"/>
      <c r="K44" s="45"/>
      <c r="M44" s="107" t="s">
        <v>228</v>
      </c>
      <c r="N44" s="121">
        <f>SUM(Décisions!R47:R56)</f>
        <v>2</v>
      </c>
      <c r="O44" s="121">
        <f>SUM(Décisions!R63:R72)</f>
        <v>2</v>
      </c>
      <c r="P44" s="121">
        <f>SUM(Décisions!R79:R88)</f>
        <v>2</v>
      </c>
      <c r="Q44" s="45"/>
      <c r="R44" s="45"/>
      <c r="S44" s="45"/>
      <c r="T44" s="45"/>
      <c r="U44" s="45"/>
      <c r="V44" s="45"/>
      <c r="X44" s="107" t="s">
        <v>228</v>
      </c>
      <c r="Y44" s="121">
        <f>SUM(Décisions!AC47:AC56)</f>
        <v>2</v>
      </c>
      <c r="Z44" s="121">
        <f>SUM(Décisions!AC63:AC72)</f>
        <v>2</v>
      </c>
      <c r="AA44" s="121">
        <f>SUM(Décisions!AC79:AC88)</f>
        <v>2</v>
      </c>
      <c r="AB44" s="45"/>
      <c r="AC44" s="45"/>
      <c r="AD44" s="45"/>
      <c r="AE44" s="45"/>
      <c r="AF44" s="45"/>
      <c r="AI44" s="107" t="s">
        <v>228</v>
      </c>
      <c r="AJ44" s="121">
        <f>SUM(Décisions!AN47:AN56)</f>
        <v>2</v>
      </c>
      <c r="AK44" s="121">
        <f>SUM(Décisions!AN63:AN72)</f>
        <v>2</v>
      </c>
      <c r="AL44" s="121">
        <f>SUM(Décisions!AN79:AN88)</f>
        <v>2</v>
      </c>
      <c r="AM44" s="45"/>
      <c r="AN44" s="45"/>
      <c r="AO44" s="45"/>
      <c r="AP44" s="45"/>
      <c r="AQ44" s="45"/>
      <c r="AT44" s="107" t="s">
        <v>228</v>
      </c>
      <c r="AU44" s="121">
        <f>SUM(Décisions!AY47:AY56)</f>
        <v>2</v>
      </c>
      <c r="AV44" s="121">
        <f>SUM(Décisions!AY63:AY72)</f>
        <v>2</v>
      </c>
      <c r="AW44" s="121">
        <f>SUM(Décisions!AY79:AY88)</f>
        <v>2</v>
      </c>
      <c r="AX44" s="45"/>
    </row>
    <row r="45" spans="1:50" ht="21" customHeight="1" x14ac:dyDescent="0.25">
      <c r="A45" s="288"/>
      <c r="B45" s="1" t="s">
        <v>227</v>
      </c>
      <c r="C45" s="63">
        <f>IF(C44&lt;3,IF(C44=0,0,Constantes!$L$39),Constantes!$L$40)</f>
        <v>2</v>
      </c>
      <c r="D45" s="63">
        <f>IF(D44&lt;3,IF(D44=0,0,Constantes!$L$39),Constantes!$L$40)</f>
        <v>2</v>
      </c>
      <c r="E45" s="63">
        <f>IF(E44&lt;3,IF(E44=0,0,Constantes!$L$39),Constantes!$L$40)</f>
        <v>2</v>
      </c>
      <c r="F45" s="130"/>
      <c r="G45" s="45"/>
      <c r="H45" s="45"/>
      <c r="I45" s="45"/>
      <c r="J45" s="45"/>
      <c r="K45" s="330">
        <f>IF(Décisions!L35&lt;=Constantes!K$139,Constantes!K$142,IF(Décisions!L35&lt;Constantes!K$140,_xlfn.FORECAST.LINEAR(Décisions!L35,Constantes!K$142:'Constantes'!K$143,Constantes!K$139:'Constantes'!K$140),IF(Décisions!L35&lt;Constantes!K$141,_xlfn.FORECAST.LINEAR(Décisions!L35,Constantes!K$143:'Constantes'!K$144,Constantes!K$140:'Constantes'!K$141),Constantes!K$144)))</f>
        <v>0</v>
      </c>
      <c r="M45" s="1" t="s">
        <v>227</v>
      </c>
      <c r="N45" s="63">
        <f>IF(N44&lt;3,IF(N44=0,0,Constantes!$L$39),Constantes!$L$40)</f>
        <v>2</v>
      </c>
      <c r="O45" s="63">
        <f>IF(O44&lt;3,IF(O44=0,0,Constantes!$L$39),Constantes!$L$40)</f>
        <v>2</v>
      </c>
      <c r="P45" s="63">
        <f>IF(P44&lt;3,IF(P44=0,0,Constantes!$L$39),Constantes!$L$40)</f>
        <v>2</v>
      </c>
      <c r="Q45" s="45"/>
      <c r="R45" s="45"/>
      <c r="S45" s="45"/>
      <c r="T45" s="45"/>
      <c r="U45" s="45"/>
      <c r="V45" s="45"/>
      <c r="X45" s="1" t="s">
        <v>227</v>
      </c>
      <c r="Y45" s="63">
        <f>IF(Y44&lt;3,IF(Y44=0,0,Constantes!$L$39),Constantes!$L$40)</f>
        <v>2</v>
      </c>
      <c r="Z45" s="63">
        <f>IF(Z44&lt;3,IF(Z44=0,0,Constantes!$L$39),Constantes!$L$40)</f>
        <v>2</v>
      </c>
      <c r="AA45" s="63">
        <f>IF(AA44&lt;3,IF(AA44=0,0,Constantes!$L$39),Constantes!$L$40)</f>
        <v>2</v>
      </c>
      <c r="AB45" s="45"/>
      <c r="AC45" s="45"/>
      <c r="AD45" s="45"/>
      <c r="AE45" s="45"/>
      <c r="AF45" s="45"/>
      <c r="AI45" s="1" t="s">
        <v>227</v>
      </c>
      <c r="AJ45" s="63">
        <f>IF(AJ44&lt;3,IF(AJ44=0,0,Constantes!$L$39),Constantes!$L$40)</f>
        <v>2</v>
      </c>
      <c r="AK45" s="63">
        <f>IF(AK44&lt;3,IF(AK44=0,0,Constantes!$L$39),Constantes!$L$40)</f>
        <v>2</v>
      </c>
      <c r="AL45" s="63">
        <f>IF(AL44&lt;3,IF(AL44=0,0,Constantes!$L$39),Constantes!$L$40)</f>
        <v>2</v>
      </c>
      <c r="AM45" s="45"/>
      <c r="AN45" s="45"/>
      <c r="AO45" s="45"/>
      <c r="AP45" s="45"/>
      <c r="AQ45" s="45"/>
      <c r="AT45" s="1" t="s">
        <v>227</v>
      </c>
      <c r="AU45" s="63">
        <f>IF(AU44&lt;3,IF(AU44=0,0,Constantes!$L$39),Constantes!$L$40)</f>
        <v>2</v>
      </c>
      <c r="AV45" s="63">
        <f>IF(AV44&lt;3,IF(AV44=0,0,Constantes!$L$39),Constantes!$L$40)</f>
        <v>2</v>
      </c>
      <c r="AW45" s="63">
        <f>IF(AW44&lt;3,IF(AW44=0,0,Constantes!$L$39),Constantes!$L$40)</f>
        <v>2</v>
      </c>
      <c r="AX45" s="45"/>
    </row>
    <row r="46" spans="1:50" ht="21" customHeight="1" x14ac:dyDescent="0.25">
      <c r="A46" s="288"/>
      <c r="B46" s="1" t="s">
        <v>262</v>
      </c>
      <c r="C46" s="144">
        <f ca="1">SUM(C16:C25)</f>
        <v>0</v>
      </c>
      <c r="D46" s="144">
        <f ca="1">SUM(D16:D25)</f>
        <v>0</v>
      </c>
      <c r="E46" s="144">
        <f ca="1">SUM(E16:E25)</f>
        <v>0</v>
      </c>
      <c r="F46" s="130"/>
      <c r="G46" s="45"/>
      <c r="H46" s="45"/>
      <c r="I46" s="45"/>
      <c r="J46" s="45"/>
      <c r="K46" s="45"/>
      <c r="M46" s="1" t="s">
        <v>262</v>
      </c>
      <c r="N46" s="144">
        <f ca="1">SUM(N16:N25)</f>
        <v>3.5</v>
      </c>
      <c r="O46" s="144">
        <f ca="1">SUM(O16:O25)</f>
        <v>1.1000000000000001</v>
      </c>
      <c r="P46" s="144">
        <f ca="1">SUM(P16:P25)</f>
        <v>2</v>
      </c>
      <c r="Q46" s="45"/>
      <c r="R46" s="45"/>
      <c r="S46" s="45"/>
      <c r="T46" s="45"/>
      <c r="U46" s="45"/>
      <c r="V46" s="45"/>
      <c r="X46" s="1" t="s">
        <v>262</v>
      </c>
      <c r="Y46" s="144">
        <f ca="1">SUM(Y16:Y25)</f>
        <v>2.5</v>
      </c>
      <c r="Z46" s="144">
        <f ca="1">SUM(Z16:Z25)</f>
        <v>0.8</v>
      </c>
      <c r="AA46" s="144">
        <f ca="1">SUM(AA16:AA25)</f>
        <v>1.5</v>
      </c>
      <c r="AB46" s="45"/>
      <c r="AC46" s="45"/>
      <c r="AD46" s="45"/>
      <c r="AE46" s="45"/>
      <c r="AF46" s="45"/>
      <c r="AI46" s="1" t="s">
        <v>262</v>
      </c>
      <c r="AJ46" s="144">
        <f ca="1">SUM(AJ16:AJ25)</f>
        <v>2</v>
      </c>
      <c r="AK46" s="144">
        <f ca="1">SUM(AK16:AK25)</f>
        <v>0.6</v>
      </c>
      <c r="AL46" s="144">
        <f ca="1">SUM(AL16:AL25)</f>
        <v>1</v>
      </c>
      <c r="AM46" s="45"/>
      <c r="AN46" s="45"/>
      <c r="AO46" s="45"/>
      <c r="AP46" s="45"/>
      <c r="AQ46" s="45"/>
      <c r="AT46" s="1" t="s">
        <v>262</v>
      </c>
      <c r="AU46" s="144">
        <f ca="1">SUM(AU16:AU25)</f>
        <v>2.5</v>
      </c>
      <c r="AV46" s="144">
        <f ca="1">SUM(AV16:AV25)</f>
        <v>0.8</v>
      </c>
      <c r="AW46" s="144">
        <f ca="1">SUM(AW16:AW25)</f>
        <v>1.5</v>
      </c>
      <c r="AX46" s="45"/>
    </row>
    <row r="47" spans="1:50" ht="21" customHeight="1" x14ac:dyDescent="0.25">
      <c r="A47" s="288"/>
      <c r="B47" s="1" t="s">
        <v>263</v>
      </c>
      <c r="C47" s="63">
        <f>IF(OR(Décisions!D30=1,Décisions!D30=2),Constantes!J50,IF(OR(Décisions!D30=3,Décisions!D30=4),Constantes!J51,IF(Décisions!D30&gt;=5,Constantes!J52,0)))</f>
        <v>0</v>
      </c>
      <c r="D47" s="63">
        <f>C47</f>
        <v>0</v>
      </c>
      <c r="E47" s="63">
        <f>C47</f>
        <v>0</v>
      </c>
      <c r="F47" s="130"/>
      <c r="G47" s="45"/>
      <c r="H47" s="45"/>
      <c r="I47" s="45"/>
      <c r="J47" s="45"/>
      <c r="K47" s="45"/>
      <c r="M47" s="1" t="s">
        <v>263</v>
      </c>
      <c r="N47" s="63">
        <f>IF(OR(Décisions!O30=1,Décisions!O30=2),Constantes!$J50,IF(OR(Décisions!O30=3,Décisions!O30=4),Constantes!$J51,IF(Décisions!O30&gt;=5,Constantes!$J52,0)))</f>
        <v>3</v>
      </c>
      <c r="O47" s="63">
        <f>N47</f>
        <v>3</v>
      </c>
      <c r="P47" s="63">
        <f>N47</f>
        <v>3</v>
      </c>
      <c r="Q47" s="45"/>
      <c r="R47" s="45"/>
      <c r="S47" s="45"/>
      <c r="T47" s="45"/>
      <c r="U47" s="45"/>
      <c r="V47" s="45"/>
      <c r="X47" s="1" t="s">
        <v>263</v>
      </c>
      <c r="Y47" s="63">
        <f>IF(OR(Décisions!Z30=1,Décisions!Z30=2),Constantes!$J50,IF(OR(Décisions!Z30=3,Décisions!Z30=4),Constantes!$J51,IF(Décisions!Z30&gt;=5,Constantes!$J52,0)))</f>
        <v>1</v>
      </c>
      <c r="Z47" s="63">
        <f>Y47</f>
        <v>1</v>
      </c>
      <c r="AA47" s="63">
        <f>Y47</f>
        <v>1</v>
      </c>
      <c r="AB47" s="45"/>
      <c r="AC47" s="45"/>
      <c r="AD47" s="45"/>
      <c r="AE47" s="45"/>
      <c r="AF47" s="45"/>
      <c r="AI47" s="1" t="s">
        <v>263</v>
      </c>
      <c r="AJ47" s="63">
        <f>IF(OR(Décisions!AK30=1,Décisions!AK30=2),Constantes!$J50,IF(OR(Décisions!AK30=3,Décisions!AK30=4),Constantes!$J51,IF(Décisions!AK30&gt;=5,Constantes!$J52,0)))</f>
        <v>1</v>
      </c>
      <c r="AK47" s="63">
        <f>AJ47</f>
        <v>1</v>
      </c>
      <c r="AL47" s="63">
        <f>AJ47</f>
        <v>1</v>
      </c>
      <c r="AM47" s="45"/>
      <c r="AN47" s="45"/>
      <c r="AO47" s="45"/>
      <c r="AP47" s="45"/>
      <c r="AQ47" s="45"/>
      <c r="AT47" s="1" t="s">
        <v>263</v>
      </c>
      <c r="AU47" s="63">
        <f>IF(OR(Décisions!AV30=1,Décisions!AV30=2),Constantes!$J50,IF(OR(Décisions!AV30=3,Décisions!AV30=4),Constantes!$J51,IF(Décisions!AV30&gt;=5,Constantes!$J52,0)))</f>
        <v>1</v>
      </c>
      <c r="AV47" s="63">
        <f>AU47</f>
        <v>1</v>
      </c>
      <c r="AW47" s="63">
        <f>AU47</f>
        <v>1</v>
      </c>
      <c r="AX47" s="45"/>
    </row>
    <row r="48" spans="1:50" ht="21" customHeight="1" x14ac:dyDescent="0.25">
      <c r="B48" s="1" t="s">
        <v>340</v>
      </c>
      <c r="C48" s="355"/>
      <c r="D48" s="355"/>
      <c r="E48" s="355"/>
      <c r="F48" s="130"/>
      <c r="G48" s="45"/>
      <c r="H48" s="45"/>
      <c r="I48" s="45"/>
      <c r="J48" s="45"/>
      <c r="K48" s="45"/>
      <c r="L48" s="288"/>
      <c r="M48" s="1" t="s">
        <v>340</v>
      </c>
      <c r="N48" s="63">
        <f>Décisions!P30*Constantes!$M$52</f>
        <v>0</v>
      </c>
      <c r="O48" s="63">
        <f>N48</f>
        <v>0</v>
      </c>
      <c r="P48" s="63">
        <f>N48</f>
        <v>0</v>
      </c>
      <c r="Q48" s="45"/>
      <c r="R48" s="45"/>
      <c r="S48" s="45"/>
      <c r="T48" s="45"/>
      <c r="U48" s="45"/>
      <c r="V48" s="45"/>
      <c r="X48" s="1" t="s">
        <v>340</v>
      </c>
      <c r="Y48" s="63">
        <f>Décisions!AA30*Constantes!$M$52</f>
        <v>-2</v>
      </c>
      <c r="Z48" s="63">
        <f>Y48</f>
        <v>-2</v>
      </c>
      <c r="AA48" s="63">
        <f>Y48</f>
        <v>-2</v>
      </c>
      <c r="AB48" s="45"/>
      <c r="AC48" s="45"/>
      <c r="AD48" s="45"/>
      <c r="AE48" s="45"/>
      <c r="AF48" s="45"/>
      <c r="AI48" s="1" t="s">
        <v>340</v>
      </c>
      <c r="AJ48" s="63">
        <f>Décisions!AL30*Constantes!$M$52</f>
        <v>0</v>
      </c>
      <c r="AK48" s="63">
        <f>AJ48</f>
        <v>0</v>
      </c>
      <c r="AL48" s="63">
        <f>AJ48</f>
        <v>0</v>
      </c>
      <c r="AM48" s="45"/>
      <c r="AN48" s="45"/>
      <c r="AO48" s="45"/>
      <c r="AP48" s="45"/>
      <c r="AQ48" s="45"/>
      <c r="AT48" s="1" t="s">
        <v>340</v>
      </c>
      <c r="AU48" s="63">
        <f>Décisions!AW30*Constantes!$M$52</f>
        <v>0</v>
      </c>
      <c r="AV48" s="63">
        <f>AU48</f>
        <v>0</v>
      </c>
      <c r="AW48" s="63">
        <f>AU48</f>
        <v>0</v>
      </c>
      <c r="AX48" s="45"/>
    </row>
    <row r="49" spans="1:50" ht="21" customHeight="1" x14ac:dyDescent="0.25">
      <c r="B49" s="1" t="s">
        <v>229</v>
      </c>
      <c r="C49" s="330">
        <f>IF(Décisions!D39&lt;=Constantes!C$139,Constantes!C$142,IF(Décisions!D39&lt;Constantes!C$140,_xlfn.FORECAST.LINEAR(Décisions!D39,Constantes!C$142:'Constantes'!C$143,Constantes!C$139:'Constantes'!C$140),IF(Décisions!D39&lt;Constantes!C$141,_xlfn.FORECAST.LINEAR(Décisions!D39,Constantes!C$143:'Constantes'!C$144,Constantes!C$140:'Constantes'!C$141),Constantes!C$144)))</f>
        <v>2</v>
      </c>
      <c r="D49" s="330">
        <f>IF(Décisions!E39&lt;=Constantes!D$139,Constantes!D$142,IF(Décisions!E39&lt;Constantes!D$140,_xlfn.FORECAST.LINEAR(Décisions!E39,Constantes!D$142:'Constantes'!D$143,Constantes!D$139:'Constantes'!D$140),IF(Décisions!E39&lt;Constantes!D$141,_xlfn.FORECAST.LINEAR(Décisions!E39,Constantes!D$143:'Constantes'!D$144,Constantes!D$140:'Constantes'!D$141),Constantes!D$144)))</f>
        <v>-1.6500000000000021</v>
      </c>
      <c r="E49" s="330">
        <f>IF(Décisions!F39&lt;=Constantes!E$139,Constantes!E$142,IF(Décisions!F39&lt;Constantes!E$140,_xlfn.FORECAST.LINEAR(Décisions!F39,Constantes!E$142:'Constantes'!E$143,Constantes!E$139:'Constantes'!E$140),IF(Décisions!F39&lt;Constantes!E$141,_xlfn.FORECAST.LINEAR(Décisions!F39,Constantes!E$143:'Constantes'!E$144,Constantes!E$140:'Constantes'!E$141),Constantes!E$144)))</f>
        <v>-17.960000000000008</v>
      </c>
      <c r="F49" s="130"/>
      <c r="L49" s="288"/>
      <c r="M49" s="1" t="s">
        <v>229</v>
      </c>
      <c r="N49" s="330">
        <f>IF(Décisions!O39&lt;=Constantes!$C$139,Constantes!$C$142,IF(Décisions!O39&lt;Constantes!$C$140,_xlfn.FORECAST.LINEAR(Décisions!O39,Constantes!$C$142:'Constantes'!$C$143,Constantes!$C$139:'Constantes'!$C$140),IF(Décisions!O39&lt;Constantes!$C$141,_xlfn.FORECAST.LINEAR(Décisions!O39,Constantes!$C$143:'Constantes'!$C$144,Constantes!$C$140:'Constantes'!$C$141),Constantes!$C$144)))</f>
        <v>2</v>
      </c>
      <c r="O49" s="330">
        <f>IF(Décisions!P39&lt;=Constantes!$D$139,Constantes!$D$142,IF(Décisions!P39&lt;Constantes!$D$140,_xlfn.FORECAST.LINEAR(Décisions!P39,Constantes!$D$142:'Constantes'!$D$143,Constantes!$D$139:'Constantes'!$D$140),IF(Décisions!P39&lt;Constantes!$D$141,_xlfn.FORECAST.LINEAR(Décisions!P39,Constantes!$D$143:'Constantes'!$D$144,Constantes!$D$140:'Constantes'!$D$141),Constantes!$D$144)))</f>
        <v>0</v>
      </c>
      <c r="P49" s="330">
        <f>IF(Décisions!Q39&lt;=Constantes!$E$139,Constantes!$E$142,IF(Décisions!Q39&lt;Constantes!$E$140,_xlfn.FORECAST.LINEAR(Décisions!Q39,Constantes!$E$142:'Constantes'!$E$143,Constantes!$E$139:'Constantes'!$E$140),IF(Décisions!Q39&lt;Constantes!$E$141,_xlfn.FORECAST.LINEAR(Décisions!Q39,Constantes!$E$143:'Constantes'!$E$144,Constantes!$E$140:'Constantes'!$E$141),Constantes!$E$144)))</f>
        <v>-14</v>
      </c>
      <c r="X49" s="1" t="s">
        <v>229</v>
      </c>
      <c r="Y49" s="330">
        <f>IF(Décisions!Z39&lt;=Constantes!$C$139,Constantes!$C$142,IF(Décisions!Z39&lt;Constantes!$C$140,_xlfn.FORECAST.LINEAR(Décisions!Z39,Constantes!$C$142:'Constantes'!$C$143,Constantes!$C$139:'Constantes'!$C$140),IF(Décisions!Z39&lt;Constantes!$C$141,_xlfn.FORECAST.LINEAR(Décisions!Z39,Constantes!$C$143:'Constantes'!$C$144,Constantes!$C$140:'Constantes'!$C$141),Constantes!$C$144)))</f>
        <v>-4</v>
      </c>
      <c r="Z49" s="330">
        <f>IF(Décisions!AA39&lt;=Constantes!$D$139,Constantes!$D$142,IF(Décisions!AA39&lt;Constantes!$D$140,_xlfn.FORECAST.LINEAR(Décisions!AA39,Constantes!$D$142:'Constantes'!$D$143,Constantes!$D$139:'Constantes'!$D$140),IF(Décisions!AA39&lt;Constantes!$D$141,_xlfn.FORECAST.LINEAR(Décisions!AA39,Constantes!$D$143:'Constantes'!$D$144,Constantes!$D$140:'Constantes'!$D$141),Constantes!$D$144)))</f>
        <v>0</v>
      </c>
      <c r="AA49" s="330">
        <f>IF(Décisions!AB39&lt;=Constantes!$E$139,Constantes!$E$142,IF(Décisions!AB39&lt;Constantes!$E$140,_xlfn.FORECAST.LINEAR(Décisions!AB39,Constantes!$E$142:'Constantes'!$E$143,Constantes!$E$139:'Constantes'!$E$140),IF(Décisions!AB39&lt;Constantes!$E$141,_xlfn.FORECAST.LINEAR(Décisions!AB39,Constantes!$E$143:'Constantes'!$E$144,Constantes!$E$140:'Constantes'!$E$141),Constantes!$E$144)))</f>
        <v>-4</v>
      </c>
      <c r="AI49" s="1" t="s">
        <v>229</v>
      </c>
      <c r="AJ49" s="330">
        <f>IF(Décisions!AK39&lt;=Constantes!$C$139,Constantes!$C$142,IF(Décisions!AK39&lt;Constantes!$C$140,_xlfn.FORECAST.LINEAR(Décisions!AK39,Constantes!$C$142:'Constantes'!$C$143,Constantes!$C$139:'Constantes'!$C$140),IF(Décisions!AK39&lt;Constantes!$C$141,_xlfn.FORECAST.LINEAR(Décisions!AK39,Constantes!$C$143:'Constantes'!$C$144,Constantes!$C$140:'Constantes'!$C$141),Constantes!$C$144)))</f>
        <v>-1</v>
      </c>
      <c r="AK49" s="330">
        <f>IF(Décisions!AL39&lt;=Constantes!$D$139,Constantes!$D$142,IF(Décisions!AL39&lt;Constantes!$D$140,_xlfn.FORECAST.LINEAR(Décisions!AL39,Constantes!$D$142:'Constantes'!$D$143,Constantes!$D$139:'Constantes'!$D$140),IF(Décisions!AL39&lt;Constantes!$D$141,_xlfn.FORECAST.LINEAR(Décisions!AL39,Constantes!$D$143:'Constantes'!$D$144,Constantes!$D$140:'Constantes'!$D$141),Constantes!$D$144)))</f>
        <v>-2.5</v>
      </c>
      <c r="AL49" s="330">
        <f>IF(Décisions!AM39&lt;=Constantes!$E$139,Constantes!$E$142,IF(Décisions!AM39&lt;Constantes!$E$140,_xlfn.FORECAST.LINEAR(Décisions!AM39,Constantes!$E$142:'Constantes'!$E$143,Constantes!$E$139:'Constantes'!$E$140),IF(Décisions!AM39&lt;Constantes!$E$141,_xlfn.FORECAST.LINEAR(Décisions!AM39,Constantes!$E$143:'Constantes'!$E$144,Constantes!$E$140:'Constantes'!$E$141),Constantes!$E$144)))</f>
        <v>-4</v>
      </c>
      <c r="AT49" s="1" t="s">
        <v>229</v>
      </c>
      <c r="AU49" s="330">
        <f>IF(Décisions!AV39&lt;=Constantes!$C$139,Constantes!$C$142,IF(Décisions!AV39&lt;Constantes!$C$140,_xlfn.FORECAST.LINEAR(Décisions!AV39,Constantes!$C$142:'Constantes'!$C$143,Constantes!$C$139:'Constantes'!$C$140),IF(Décisions!AV39&lt;Constantes!$C$141,_xlfn.FORECAST.LINEAR(Décisions!AV39,Constantes!$C$143:'Constantes'!$C$144,Constantes!$C$140:'Constantes'!$C$141),Constantes!$C$144)))</f>
        <v>-7</v>
      </c>
      <c r="AV49" s="330">
        <f>IF(Décisions!AW39&lt;=Constantes!$D$139,Constantes!$D$142,IF(Décisions!AW39&lt;Constantes!$D$140,_xlfn.FORECAST.LINEAR(Décisions!AW39,Constantes!$D$142:'Constantes'!$D$143,Constantes!$D$139:'Constantes'!$D$140),IF(Décisions!AW39&lt;Constantes!$D$141,_xlfn.FORECAST.LINEAR(Décisions!AW39,Constantes!$D$143:'Constantes'!$D$144,Constantes!$D$140:'Constantes'!$D$141),Constantes!$D$144)))</f>
        <v>-2.5</v>
      </c>
      <c r="AW49" s="330">
        <f>IF(Décisions!AX39&lt;=Constantes!$E$139,Constantes!$E$142,IF(Décisions!AX39&lt;Constantes!$E$140,_xlfn.FORECAST.LINEAR(Décisions!AX39,Constantes!$E$142:'Constantes'!$E$143,Constantes!$E$139:'Constantes'!$E$140),IF(Décisions!AX39&lt;Constantes!$E$141,_xlfn.FORECAST.LINEAR(Décisions!AX39,Constantes!$E$143:'Constantes'!$E$144,Constantes!$E$140:'Constantes'!$E$141),Constantes!$E$144)))</f>
        <v>0</v>
      </c>
    </row>
    <row r="50" spans="1:50" ht="21" customHeight="1" x14ac:dyDescent="0.25">
      <c r="B50" s="1" t="s">
        <v>420</v>
      </c>
      <c r="C50" s="330">
        <f>IF(Décisions!F11&lt;=Constantes!$F$101,Constantes!$I$101,IF(Décisions!F11&lt;Constantes!$G$101,_xlfn.FORECAST.LINEAR(Décisions!F11,Constantes!$I$101:$J$101,Constantes!$F$101:$G$101),IF(Décisions!F11&lt;Constantes!$H$101,_xlfn.FORECAST.LINEAR(Décisions!F11,Constantes!$J$101:$K$101,Constantes!$G$101:$H$101),Constantes!$K$101)))</f>
        <v>0.59999999999999876</v>
      </c>
      <c r="D50" s="330">
        <f>C50</f>
        <v>0.59999999999999876</v>
      </c>
      <c r="E50" s="330">
        <f>C50</f>
        <v>0.59999999999999876</v>
      </c>
      <c r="F50" s="130"/>
      <c r="L50" s="288"/>
      <c r="M50" s="1" t="s">
        <v>420</v>
      </c>
      <c r="N50" s="330">
        <f>IF(Décisions!Q11&lt;=Constantes!$F$101,Constantes!$I$101,IF(Décisions!Q11&lt;Constantes!$G$101,_xlfn.FORECAST.LINEAR(Décisions!Q11,Constantes!$I$101:$J$101,Constantes!$F$101:$G$101),IF(Décisions!Q11&lt;Constantes!$H$101,_xlfn.FORECAST.LINEAR(Décisions!Q11,Constantes!$J$101:$K$101,Constantes!$G$101:$H$101),Constantes!$K$101)))</f>
        <v>-3</v>
      </c>
      <c r="O50" s="330">
        <f>N50</f>
        <v>-3</v>
      </c>
      <c r="P50" s="330">
        <f>N50</f>
        <v>-3</v>
      </c>
      <c r="X50" s="1" t="s">
        <v>420</v>
      </c>
      <c r="Y50" s="330">
        <f>IF(Décisions!AB11&lt;=Constantes!$F$101,Constantes!$I$101,IF(Décisions!AB11&lt;Constantes!$G$101,_xlfn.FORECAST.LINEAR(Décisions!AB11,Constantes!$I$101:$J$101,Constantes!$F$101:$G$101),IF(Décisions!AB11&lt;Constantes!$H$101,_xlfn.FORECAST.LINEAR(Décisions!AB11,Constantes!$J$101:$K$101,Constantes!$G$101:$H$101),Constantes!$K$101)))</f>
        <v>-3</v>
      </c>
      <c r="Z50" s="330">
        <f>Y50</f>
        <v>-3</v>
      </c>
      <c r="AA50" s="330">
        <f>Y50</f>
        <v>-3</v>
      </c>
      <c r="AI50" s="1" t="s">
        <v>420</v>
      </c>
      <c r="AJ50" s="330">
        <f>IF(Décisions!AM11&lt;=Constantes!$F$101,Constantes!$I$101,IF(Décisions!AM11&lt;Constantes!$G$101,_xlfn.FORECAST.LINEAR(Décisions!AM11,Constantes!$I$101:$J$101,Constantes!$F$101:$G$101),IF(Décisions!AM11&lt;Constantes!$H$101,_xlfn.FORECAST.LINEAR(Décisions!AM11,Constantes!$J$101:$K$101,Constantes!$G$101:$H$101),Constantes!$K$101)))</f>
        <v>-8.8817841970012523E-16</v>
      </c>
      <c r="AK50" s="330">
        <f>AJ50</f>
        <v>-8.8817841970012523E-16</v>
      </c>
      <c r="AL50" s="330">
        <f>AJ50</f>
        <v>-8.8817841970012523E-16</v>
      </c>
      <c r="AT50" s="1" t="s">
        <v>420</v>
      </c>
      <c r="AU50" s="330">
        <f>IF(Décisions!AX11&lt;=Constantes!$F$101,Constantes!$I$101,IF(Décisions!AX11&lt;Constantes!$G$101,_xlfn.FORECAST.LINEAR(Décisions!AX11,Constantes!$I$101:$J$101,Constantes!$F$101:$G$101),IF(Décisions!AX11&lt;Constantes!$H$101,_xlfn.FORECAST.LINEAR(Décisions!AX11,Constantes!$J$101:$K$101,Constantes!$G$101:$H$101),Constantes!$K$101)))</f>
        <v>-3</v>
      </c>
      <c r="AV50" s="330">
        <f>AU50</f>
        <v>-3</v>
      </c>
      <c r="AW50" s="330">
        <f>AU50</f>
        <v>-3</v>
      </c>
    </row>
    <row r="51" spans="1:50" ht="21" customHeight="1" x14ac:dyDescent="0.25">
      <c r="B51" s="1" t="s">
        <v>421</v>
      </c>
      <c r="C51" s="330">
        <f>IF(Décisions!F12&lt;=Constantes!$F$102,Constantes!$I$102,IF(Décisions!F12&lt;Constantes!$G$102,_xlfn.FORECAST.LINEAR(Décisions!F12,Constantes!$I$102:$J$102,Constantes!$F$102:$G$102),IF(Décisions!F12&lt;Constantes!$H$102,_xlfn.FORECAST.LINEAR(Décisions!F12,Constantes!$J$102:$K$102,Constantes!$G$102:$H$102),Constantes!$K$102)))</f>
        <v>1</v>
      </c>
      <c r="D51" s="330">
        <f>C51</f>
        <v>1</v>
      </c>
      <c r="E51" s="330">
        <f>C51</f>
        <v>1</v>
      </c>
      <c r="F51" s="130"/>
      <c r="L51" s="288"/>
      <c r="M51" s="1" t="s">
        <v>421</v>
      </c>
      <c r="N51" s="330">
        <f>IF(Décisions!Q12&lt;=Constantes!$F$102,Constantes!$I$102,IF(Décisions!Q12&lt;Constantes!$G$102,_xlfn.FORECAST.LINEAR(Décisions!Q12,Constantes!$I$102:$J$102,Constantes!$F$102:$G$102),IF(Décisions!Q12&lt;Constantes!$H$102,_xlfn.FORECAST.LINEAR(Décisions!Q12,Constantes!$J$102:$K$102,Constantes!$G$102:$H$102),Constantes!$K$102)))</f>
        <v>1</v>
      </c>
      <c r="O51" s="330">
        <f>N51</f>
        <v>1</v>
      </c>
      <c r="P51" s="330">
        <f>N51</f>
        <v>1</v>
      </c>
      <c r="X51" s="1" t="s">
        <v>421</v>
      </c>
      <c r="Y51" s="330">
        <f>IF(Décisions!AB12&lt;=Constantes!$F$102,Constantes!$I$102,IF(Décisions!AB12&lt;Constantes!$G$102,_xlfn.FORECAST.LINEAR(Décisions!AB12,Constantes!$I$102:$J$102,Constantes!$F$102:$G$102),IF(Décisions!AB12&lt;Constantes!$H$102,_xlfn.FORECAST.LINEAR(Décisions!AB12,Constantes!$J$102:$K$102,Constantes!$G$102:$H$102),Constantes!$K$102)))</f>
        <v>-2</v>
      </c>
      <c r="Z51" s="330">
        <f>Y51</f>
        <v>-2</v>
      </c>
      <c r="AA51" s="330">
        <f>Y51</f>
        <v>-2</v>
      </c>
      <c r="AI51" s="1" t="s">
        <v>421</v>
      </c>
      <c r="AJ51" s="330">
        <f>IF(Décisions!AM12&lt;=Constantes!$F$102,Constantes!$I$102,IF(Décisions!AM12&lt;Constantes!$G$102,_xlfn.FORECAST.LINEAR(Décisions!AM12,Constantes!$I$102:$J$102,Constantes!$F$102:$G$102),IF(Décisions!AM12&lt;Constantes!$H$102,_xlfn.FORECAST.LINEAR(Décisions!AM12,Constantes!$J$102:$K$102,Constantes!$G$102:$H$102),Constantes!$K$102)))</f>
        <v>-2</v>
      </c>
      <c r="AK51" s="330">
        <f>AJ51</f>
        <v>-2</v>
      </c>
      <c r="AL51" s="330">
        <f>AJ51</f>
        <v>-2</v>
      </c>
      <c r="AT51" s="1" t="s">
        <v>421</v>
      </c>
      <c r="AU51" s="330">
        <f>IF(Décisions!AX12&lt;=Constantes!$F$102,Constantes!$I$102,IF(Décisions!AX12&lt;Constantes!$G$102,_xlfn.FORECAST.LINEAR(Décisions!AX12,Constantes!$I$102:$J$102,Constantes!$F$102:$G$102),IF(Décisions!AX12&lt;Constantes!$H$102,_xlfn.FORECAST.LINEAR(Décisions!AX12,Constantes!$J$102:$K$102,Constantes!$G$102:$H$102),Constantes!$K$102)))</f>
        <v>1</v>
      </c>
      <c r="AV51" s="330">
        <f>AU51</f>
        <v>1</v>
      </c>
      <c r="AW51" s="330">
        <f>AU51</f>
        <v>1</v>
      </c>
    </row>
    <row r="52" spans="1:50" ht="21" customHeight="1" x14ac:dyDescent="0.25">
      <c r="B52" s="1" t="s">
        <v>273</v>
      </c>
      <c r="C52" s="328">
        <f>Décisions!P103</f>
        <v>0</v>
      </c>
      <c r="D52" s="328">
        <f>C52</f>
        <v>0</v>
      </c>
      <c r="E52" s="328">
        <f>C52</f>
        <v>0</v>
      </c>
      <c r="F52" s="130"/>
      <c r="L52" s="288"/>
      <c r="M52" s="1" t="s">
        <v>273</v>
      </c>
      <c r="N52" s="328">
        <f>Décisions!Q$103+Décisions!P$115</f>
        <v>5</v>
      </c>
      <c r="O52" s="328">
        <f>N52</f>
        <v>5</v>
      </c>
      <c r="P52" s="328">
        <f>N52</f>
        <v>5</v>
      </c>
      <c r="X52" s="1" t="s">
        <v>273</v>
      </c>
      <c r="Y52" s="328">
        <f>Décisions!R$103+Décisions!Q$115+Décisions!P$127</f>
        <v>4</v>
      </c>
      <c r="Z52" s="328">
        <f>Y52</f>
        <v>4</v>
      </c>
      <c r="AA52" s="328">
        <f>Y52</f>
        <v>4</v>
      </c>
      <c r="AI52" s="1" t="s">
        <v>273</v>
      </c>
      <c r="AJ52" s="328">
        <f>Décisions!S$103+Décisions!R$115+Décisions!Q$127+Décisions!P$139</f>
        <v>3</v>
      </c>
      <c r="AK52" s="328">
        <f>AJ52</f>
        <v>3</v>
      </c>
      <c r="AL52" s="328">
        <f>AJ52</f>
        <v>3</v>
      </c>
      <c r="AT52" s="1" t="s">
        <v>273</v>
      </c>
      <c r="AU52" s="328">
        <f>Décisions!S$115+Décisions!R$127+Décisions!Q$139+Décisions!P$151</f>
        <v>3</v>
      </c>
      <c r="AV52" s="328">
        <f>AU52</f>
        <v>3</v>
      </c>
      <c r="AW52" s="328">
        <f>AU52</f>
        <v>3</v>
      </c>
    </row>
    <row r="53" spans="1:50" ht="21" customHeight="1" x14ac:dyDescent="0.25">
      <c r="B53" s="1" t="s">
        <v>230</v>
      </c>
      <c r="C53" s="115">
        <f ca="1">C42+C43+SUM(C45:C52)</f>
        <v>104.6</v>
      </c>
      <c r="D53" s="115">
        <f ca="1">D42+D43+SUM(D45:D52)</f>
        <v>81.95</v>
      </c>
      <c r="E53" s="115">
        <f ca="1">E42+E43+SUM(E45:E52)</f>
        <v>85.639999999999986</v>
      </c>
      <c r="F53" s="130">
        <f ca="1">AVERAGE(C53:E53)</f>
        <v>90.73</v>
      </c>
      <c r="G53" s="282"/>
      <c r="H53" s="282"/>
      <c r="I53" s="282"/>
      <c r="J53" s="282"/>
      <c r="K53" s="282"/>
      <c r="M53" s="1" t="s">
        <v>230</v>
      </c>
      <c r="N53" s="63">
        <f ca="1">N42+N43+SUM(N45:N52)</f>
        <v>113.1</v>
      </c>
      <c r="O53" s="63">
        <f ca="1">O42+O43+SUM(O45:O52)</f>
        <v>86.05</v>
      </c>
      <c r="P53" s="63">
        <f ca="1">P42+P43+SUM(P45:P52)</f>
        <v>76.639999999999986</v>
      </c>
      <c r="Q53" s="130">
        <f ca="1">AVERAGE(N53:P53)</f>
        <v>91.929999999999993</v>
      </c>
      <c r="R53" s="130"/>
      <c r="S53" s="130"/>
      <c r="T53" s="130"/>
      <c r="U53" s="130"/>
      <c r="X53" s="1" t="s">
        <v>230</v>
      </c>
      <c r="Y53" s="63">
        <f ca="1">Y42+Y43+SUM(Y45:Y52)</f>
        <v>106.6</v>
      </c>
      <c r="Z53" s="63">
        <f ca="1">Z42+Z43+SUM(Z45:Z52)</f>
        <v>81.849999999999994</v>
      </c>
      <c r="AA53" s="63">
        <f ca="1">AA42+AA43+SUM(AA45:AA52)</f>
        <v>69.139999999999986</v>
      </c>
      <c r="AB53" s="130">
        <f ca="1">AVERAGE(Y53:AA53)</f>
        <v>85.86333333333333</v>
      </c>
      <c r="AC53" s="130"/>
      <c r="AD53" s="130"/>
      <c r="AE53" s="130"/>
      <c r="AF53" s="130"/>
      <c r="AI53" s="1" t="s">
        <v>230</v>
      </c>
      <c r="AJ53" s="63">
        <f ca="1">AJ42+AJ43+SUM(AJ45:AJ52)</f>
        <v>106.6</v>
      </c>
      <c r="AK53" s="63">
        <f ca="1">AK42+AK43+SUM(AK45:AK52)</f>
        <v>78.949999999999989</v>
      </c>
      <c r="AL53" s="63">
        <f ca="1">AL42+AL43+SUM(AL45:AL52)</f>
        <v>65.139999999999986</v>
      </c>
      <c r="AM53" s="130">
        <f ca="1">AVERAGE(AJ53:AL53)</f>
        <v>83.563333333333318</v>
      </c>
      <c r="AN53" s="130"/>
      <c r="AO53" s="130"/>
      <c r="AP53" s="130"/>
      <c r="AQ53" s="130"/>
      <c r="AT53" s="1" t="s">
        <v>230</v>
      </c>
      <c r="AU53" s="63">
        <f ca="1">AU42+AU43+SUM(AU45:AU52)</f>
        <v>101.1</v>
      </c>
      <c r="AV53" s="63">
        <f ca="1">AV42+AV43+SUM(AV45:AV52)</f>
        <v>76.249999999999986</v>
      </c>
      <c r="AW53" s="63">
        <f ca="1">AW42+AW43+SUM(AW45:AW52)</f>
        <v>65.639999999999986</v>
      </c>
      <c r="AX53" s="130">
        <f ca="1">AVERAGE(AU53:AW53)</f>
        <v>80.996666666666655</v>
      </c>
    </row>
    <row r="54" spans="1:50" ht="21" customHeight="1" x14ac:dyDescent="0.25">
      <c r="B54" s="1"/>
      <c r="C54" s="1"/>
      <c r="D54" s="1"/>
      <c r="E54" s="1"/>
      <c r="M54" s="1"/>
      <c r="N54" s="1"/>
      <c r="O54" s="1"/>
      <c r="P54" s="1"/>
      <c r="X54" s="1"/>
      <c r="Y54" s="1"/>
      <c r="Z54" s="1"/>
      <c r="AA54" s="1"/>
      <c r="AI54" s="1"/>
      <c r="AJ54" s="1"/>
      <c r="AK54" s="1"/>
      <c r="AL54" s="1"/>
      <c r="AT54" s="1"/>
      <c r="AU54" s="1"/>
      <c r="AV54" s="1"/>
      <c r="AW54" s="1"/>
    </row>
    <row r="55" spans="1:50" ht="25.2" customHeight="1" x14ac:dyDescent="0.25">
      <c r="B55" s="51" t="s">
        <v>311</v>
      </c>
      <c r="D55" s="106"/>
      <c r="E55" s="106"/>
      <c r="F55" s="27"/>
      <c r="G55" s="27"/>
      <c r="H55" s="27"/>
      <c r="I55" s="27"/>
      <c r="J55" s="27"/>
      <c r="K55" s="27"/>
      <c r="M55" s="51" t="s">
        <v>253</v>
      </c>
      <c r="O55" s="106"/>
      <c r="P55" s="106"/>
      <c r="Q55" s="27"/>
      <c r="R55" s="27"/>
      <c r="S55" s="27"/>
      <c r="T55" s="27"/>
      <c r="U55" s="27"/>
      <c r="V55" s="27"/>
      <c r="X55" s="51" t="s">
        <v>253</v>
      </c>
      <c r="Z55" s="106"/>
      <c r="AA55" s="106"/>
      <c r="AB55" s="27"/>
      <c r="AC55" s="27"/>
      <c r="AD55" s="27"/>
      <c r="AE55" s="27"/>
      <c r="AF55" s="27"/>
      <c r="AI55" s="51" t="s">
        <v>253</v>
      </c>
      <c r="AK55" s="106"/>
      <c r="AL55" s="106"/>
      <c r="AM55" s="27"/>
      <c r="AN55" s="27"/>
      <c r="AO55" s="27"/>
      <c r="AP55" s="27"/>
      <c r="AQ55" s="27"/>
      <c r="AT55" s="51" t="s">
        <v>253</v>
      </c>
      <c r="AV55" s="106"/>
      <c r="AW55" s="106"/>
      <c r="AX55" s="27"/>
    </row>
    <row r="56" spans="1:50" ht="25.2" customHeight="1" thickBot="1" x14ac:dyDescent="0.3">
      <c r="B56" s="51"/>
      <c r="C56" s="75" t="str">
        <f>C41</f>
        <v>junior</v>
      </c>
      <c r="D56" s="75" t="str">
        <f>D41</f>
        <v>senior</v>
      </c>
      <c r="E56" s="75" t="str">
        <f>E41</f>
        <v>premium</v>
      </c>
      <c r="G56" s="106"/>
      <c r="H56" s="106"/>
      <c r="I56" s="106"/>
      <c r="J56" s="106"/>
      <c r="K56" s="106"/>
      <c r="M56" s="51"/>
      <c r="N56" s="223" t="str">
        <f>Constantes!$Q$9</f>
        <v>junior</v>
      </c>
      <c r="O56" s="223" t="str">
        <f>Constantes!$R$9</f>
        <v>senior</v>
      </c>
      <c r="P56" s="223" t="str">
        <f>Constantes!$S$9</f>
        <v>premium</v>
      </c>
      <c r="V56" s="106"/>
      <c r="X56" s="51"/>
      <c r="Y56" s="286" t="str">
        <f>Constantes!$Q$9</f>
        <v>junior</v>
      </c>
      <c r="Z56" s="286" t="str">
        <f>Constantes!$R$9</f>
        <v>senior</v>
      </c>
      <c r="AA56" s="286" t="str">
        <f>Constantes!$S$9</f>
        <v>premium</v>
      </c>
      <c r="AI56" s="51"/>
      <c r="AJ56" s="286" t="str">
        <f>Constantes!$Q$9</f>
        <v>junior</v>
      </c>
      <c r="AK56" s="286" t="str">
        <f>Constantes!$R$9</f>
        <v>senior</v>
      </c>
      <c r="AL56" s="286" t="str">
        <f>Constantes!$S$9</f>
        <v>premium</v>
      </c>
      <c r="AT56" s="51"/>
      <c r="AU56" s="287" t="str">
        <f>Constantes!$Q$9</f>
        <v>junior</v>
      </c>
      <c r="AV56" s="287" t="str">
        <f>Constantes!$R$9</f>
        <v>senior</v>
      </c>
      <c r="AW56" s="287" t="str">
        <f>Constantes!$S$9</f>
        <v>premium</v>
      </c>
    </row>
    <row r="57" spans="1:50" ht="25.2" customHeight="1" x14ac:dyDescent="0.25">
      <c r="A57" s="12" t="s">
        <v>4</v>
      </c>
      <c r="B57" s="54" t="s">
        <v>5</v>
      </c>
      <c r="C57" s="225">
        <f>'Historique T=0'!C10</f>
        <v>1</v>
      </c>
      <c r="D57" s="226">
        <f>'Historique T=0'!D10</f>
        <v>2</v>
      </c>
      <c r="E57" s="227">
        <f>'Historique T=0'!E10</f>
        <v>2</v>
      </c>
      <c r="G57" s="106"/>
      <c r="H57" s="106"/>
      <c r="I57" s="106"/>
      <c r="J57" s="106"/>
      <c r="K57" s="106"/>
      <c r="L57" s="12" t="s">
        <v>4</v>
      </c>
      <c r="M57" s="54" t="s">
        <v>5</v>
      </c>
      <c r="N57" s="225">
        <f t="shared" ref="N57:N66" si="5">C57+IF(C71&gt;0,1,0)</f>
        <v>1</v>
      </c>
      <c r="O57" s="226">
        <f t="shared" ref="O57:O66" si="6">D57+IF(D71&gt;0,1,0)</f>
        <v>2</v>
      </c>
      <c r="P57" s="227">
        <f t="shared" ref="P57:P66" si="7">E57+IF(E71&gt;0,1,0)</f>
        <v>2</v>
      </c>
      <c r="V57" s="106"/>
      <c r="W57" s="12" t="s">
        <v>4</v>
      </c>
      <c r="X57" s="54" t="s">
        <v>5</v>
      </c>
      <c r="Y57" s="225">
        <f t="shared" ref="Y57:Y66" si="8">N57+IF(N71&gt;0,1,0)</f>
        <v>1</v>
      </c>
      <c r="Z57" s="226">
        <f t="shared" ref="Z57:Z66" si="9">O57+IF(O71&gt;0,1,0)</f>
        <v>2</v>
      </c>
      <c r="AA57" s="227">
        <f t="shared" ref="AA57:AA66" si="10">P57+IF(P71&gt;0,1,0)</f>
        <v>2</v>
      </c>
      <c r="AH57" s="12" t="s">
        <v>4</v>
      </c>
      <c r="AI57" s="54" t="s">
        <v>5</v>
      </c>
      <c r="AJ57" s="225">
        <f t="shared" ref="AJ57:AJ66" si="11">Y57+IF(Y71&gt;0,1,0)</f>
        <v>1</v>
      </c>
      <c r="AK57" s="226">
        <f t="shared" ref="AK57:AK66" si="12">Z57+IF(Z71&gt;0,1,0)</f>
        <v>2</v>
      </c>
      <c r="AL57" s="227">
        <f t="shared" ref="AL57:AL66" si="13">AA57+IF(AA71&gt;0,1,0)</f>
        <v>2</v>
      </c>
      <c r="AS57" s="12" t="s">
        <v>4</v>
      </c>
      <c r="AT57" s="54" t="s">
        <v>5</v>
      </c>
      <c r="AU57" s="225">
        <f>AJ57+IF(AJ71&gt;0,1,0)</f>
        <v>2</v>
      </c>
      <c r="AV57" s="226">
        <f t="shared" ref="AV57:AV66" si="14">AK57+IF(AK71&gt;0,1,0)</f>
        <v>2</v>
      </c>
      <c r="AW57" s="227">
        <f t="shared" ref="AW57:AW66" si="15">AL57+IF(AL71&gt;0,1,0)</f>
        <v>2</v>
      </c>
    </row>
    <row r="58" spans="1:50" ht="25.2" customHeight="1" thickBot="1" x14ac:dyDescent="0.3">
      <c r="A58" s="15"/>
      <c r="B58" s="56" t="s">
        <v>31</v>
      </c>
      <c r="C58" s="228">
        <f>'Historique T=0'!C11</f>
        <v>0</v>
      </c>
      <c r="D58" s="229">
        <f>'Historique T=0'!D11</f>
        <v>1</v>
      </c>
      <c r="E58" s="230">
        <f>'Historique T=0'!E11</f>
        <v>1</v>
      </c>
      <c r="G58" s="106"/>
      <c r="H58" s="106"/>
      <c r="I58" s="106"/>
      <c r="J58" s="106"/>
      <c r="K58" s="106"/>
      <c r="L58" s="15"/>
      <c r="M58" s="56" t="s">
        <v>31</v>
      </c>
      <c r="N58" s="228">
        <f t="shared" si="5"/>
        <v>0</v>
      </c>
      <c r="O58" s="229">
        <f t="shared" si="6"/>
        <v>1</v>
      </c>
      <c r="P58" s="230">
        <f t="shared" si="7"/>
        <v>2</v>
      </c>
      <c r="V58" s="106"/>
      <c r="W58" s="15"/>
      <c r="X58" s="56" t="s">
        <v>31</v>
      </c>
      <c r="Y58" s="228">
        <f t="shared" si="8"/>
        <v>1</v>
      </c>
      <c r="Z58" s="229">
        <f t="shared" si="9"/>
        <v>1</v>
      </c>
      <c r="AA58" s="230">
        <f t="shared" si="10"/>
        <v>2</v>
      </c>
      <c r="AH58" s="15"/>
      <c r="AI58" s="56" t="s">
        <v>31</v>
      </c>
      <c r="AJ58" s="228">
        <f t="shared" si="11"/>
        <v>1</v>
      </c>
      <c r="AK58" s="229">
        <f t="shared" si="12"/>
        <v>1</v>
      </c>
      <c r="AL58" s="230">
        <f t="shared" si="13"/>
        <v>2</v>
      </c>
      <c r="AS58" s="15"/>
      <c r="AT58" s="56" t="s">
        <v>31</v>
      </c>
      <c r="AU58" s="228">
        <f t="shared" ref="AU58:AU66" si="16">AJ58+IF(AJ72&gt;0,1,0)</f>
        <v>1</v>
      </c>
      <c r="AV58" s="229">
        <f t="shared" si="14"/>
        <v>1</v>
      </c>
      <c r="AW58" s="230">
        <f t="shared" si="15"/>
        <v>2</v>
      </c>
    </row>
    <row r="59" spans="1:50" ht="25.2" customHeight="1" x14ac:dyDescent="0.25">
      <c r="A59" s="12" t="s">
        <v>6</v>
      </c>
      <c r="B59" s="54" t="s">
        <v>7</v>
      </c>
      <c r="C59" s="225">
        <f>'Historique T=0'!C12</f>
        <v>0</v>
      </c>
      <c r="D59" s="226">
        <f>'Historique T=0'!D12</f>
        <v>1</v>
      </c>
      <c r="E59" s="227">
        <f>'Historique T=0'!E12</f>
        <v>2</v>
      </c>
      <c r="G59" s="106"/>
      <c r="H59" s="106"/>
      <c r="I59" s="106"/>
      <c r="J59" s="106"/>
      <c r="K59" s="106"/>
      <c r="L59" s="12" t="s">
        <v>6</v>
      </c>
      <c r="M59" s="54" t="s">
        <v>7</v>
      </c>
      <c r="N59" s="225">
        <f t="shared" si="5"/>
        <v>0</v>
      </c>
      <c r="O59" s="226">
        <f t="shared" si="6"/>
        <v>1</v>
      </c>
      <c r="P59" s="227">
        <f t="shared" si="7"/>
        <v>2</v>
      </c>
      <c r="V59" s="106"/>
      <c r="W59" s="12" t="s">
        <v>6</v>
      </c>
      <c r="X59" s="54" t="s">
        <v>7</v>
      </c>
      <c r="Y59" s="225">
        <f t="shared" si="8"/>
        <v>0</v>
      </c>
      <c r="Z59" s="226">
        <f t="shared" si="9"/>
        <v>2</v>
      </c>
      <c r="AA59" s="227">
        <f t="shared" si="10"/>
        <v>2</v>
      </c>
      <c r="AH59" s="12" t="s">
        <v>6</v>
      </c>
      <c r="AI59" s="54" t="s">
        <v>7</v>
      </c>
      <c r="AJ59" s="225">
        <f t="shared" si="11"/>
        <v>1</v>
      </c>
      <c r="AK59" s="226">
        <f t="shared" si="12"/>
        <v>2</v>
      </c>
      <c r="AL59" s="227">
        <f t="shared" si="13"/>
        <v>3</v>
      </c>
      <c r="AS59" s="12" t="s">
        <v>6</v>
      </c>
      <c r="AT59" s="54" t="s">
        <v>7</v>
      </c>
      <c r="AU59" s="225">
        <f t="shared" si="16"/>
        <v>1</v>
      </c>
      <c r="AV59" s="226">
        <f t="shared" si="14"/>
        <v>3</v>
      </c>
      <c r="AW59" s="227">
        <f t="shared" si="15"/>
        <v>3</v>
      </c>
    </row>
    <row r="60" spans="1:50" ht="25.2" customHeight="1" x14ac:dyDescent="0.25">
      <c r="A60" s="17"/>
      <c r="B60" s="57" t="s">
        <v>8</v>
      </c>
      <c r="C60" s="231">
        <f>'Historique T=0'!C13</f>
        <v>1</v>
      </c>
      <c r="D60" s="120">
        <f>'Historique T=0'!D13</f>
        <v>1</v>
      </c>
      <c r="E60" s="232">
        <f>'Historique T=0'!E13</f>
        <v>1</v>
      </c>
      <c r="G60" s="106"/>
      <c r="H60" s="106"/>
      <c r="I60" s="106"/>
      <c r="J60" s="106"/>
      <c r="K60" s="106"/>
      <c r="L60" s="17"/>
      <c r="M60" s="57" t="s">
        <v>8</v>
      </c>
      <c r="N60" s="231">
        <f t="shared" si="5"/>
        <v>1</v>
      </c>
      <c r="O60" s="120">
        <f t="shared" si="6"/>
        <v>2</v>
      </c>
      <c r="P60" s="232">
        <f t="shared" si="7"/>
        <v>1</v>
      </c>
      <c r="V60" s="106"/>
      <c r="W60" s="17"/>
      <c r="X60" s="57" t="s">
        <v>8</v>
      </c>
      <c r="Y60" s="231">
        <f t="shared" si="8"/>
        <v>1</v>
      </c>
      <c r="Z60" s="120">
        <f t="shared" si="9"/>
        <v>2</v>
      </c>
      <c r="AA60" s="232">
        <f t="shared" si="10"/>
        <v>1</v>
      </c>
      <c r="AH60" s="17"/>
      <c r="AI60" s="57" t="s">
        <v>8</v>
      </c>
      <c r="AJ60" s="231">
        <f t="shared" si="11"/>
        <v>1</v>
      </c>
      <c r="AK60" s="120">
        <f t="shared" si="12"/>
        <v>2</v>
      </c>
      <c r="AL60" s="232">
        <f t="shared" si="13"/>
        <v>2</v>
      </c>
      <c r="AS60" s="17"/>
      <c r="AT60" s="57" t="s">
        <v>8</v>
      </c>
      <c r="AU60" s="231">
        <f t="shared" si="16"/>
        <v>1</v>
      </c>
      <c r="AV60" s="120">
        <f t="shared" si="14"/>
        <v>2</v>
      </c>
      <c r="AW60" s="232">
        <f t="shared" si="15"/>
        <v>2</v>
      </c>
    </row>
    <row r="61" spans="1:50" ht="25.2" customHeight="1" thickBot="1" x14ac:dyDescent="0.3">
      <c r="A61" s="15"/>
      <c r="B61" s="56" t="s">
        <v>157</v>
      </c>
      <c r="C61" s="228">
        <f>'Historique T=0'!C14</f>
        <v>0</v>
      </c>
      <c r="D61" s="229">
        <f>'Historique T=0'!D14</f>
        <v>1</v>
      </c>
      <c r="E61" s="230">
        <f>'Historique T=0'!E14</f>
        <v>1</v>
      </c>
      <c r="G61" s="106"/>
      <c r="H61" s="106"/>
      <c r="I61" s="106"/>
      <c r="J61" s="106"/>
      <c r="K61" s="106"/>
      <c r="L61" s="15"/>
      <c r="M61" s="56" t="s">
        <v>157</v>
      </c>
      <c r="N61" s="228">
        <f t="shared" si="5"/>
        <v>1</v>
      </c>
      <c r="O61" s="229">
        <f t="shared" si="6"/>
        <v>1</v>
      </c>
      <c r="P61" s="230">
        <f t="shared" si="7"/>
        <v>1</v>
      </c>
      <c r="V61" s="106"/>
      <c r="W61" s="15"/>
      <c r="X61" s="56" t="s">
        <v>157</v>
      </c>
      <c r="Y61" s="228">
        <f t="shared" si="8"/>
        <v>1</v>
      </c>
      <c r="Z61" s="229">
        <f t="shared" si="9"/>
        <v>1</v>
      </c>
      <c r="AA61" s="230">
        <f t="shared" si="10"/>
        <v>1</v>
      </c>
      <c r="AH61" s="15"/>
      <c r="AI61" s="56" t="s">
        <v>157</v>
      </c>
      <c r="AJ61" s="228">
        <f t="shared" si="11"/>
        <v>1</v>
      </c>
      <c r="AK61" s="229">
        <f t="shared" si="12"/>
        <v>2</v>
      </c>
      <c r="AL61" s="230">
        <f t="shared" si="13"/>
        <v>1</v>
      </c>
      <c r="AS61" s="15"/>
      <c r="AT61" s="56" t="s">
        <v>157</v>
      </c>
      <c r="AU61" s="228">
        <f t="shared" si="16"/>
        <v>1</v>
      </c>
      <c r="AV61" s="229">
        <f t="shared" si="14"/>
        <v>2</v>
      </c>
      <c r="AW61" s="230">
        <f t="shared" si="15"/>
        <v>2</v>
      </c>
    </row>
    <row r="62" spans="1:50" ht="25.2" customHeight="1" x14ac:dyDescent="0.25">
      <c r="A62" s="12" t="s">
        <v>9</v>
      </c>
      <c r="B62" s="54" t="s">
        <v>32</v>
      </c>
      <c r="C62" s="225">
        <f>'Historique T=0'!C15</f>
        <v>0</v>
      </c>
      <c r="D62" s="226">
        <f>'Historique T=0'!D15</f>
        <v>1</v>
      </c>
      <c r="E62" s="227">
        <f>'Historique T=0'!E15</f>
        <v>0</v>
      </c>
      <c r="G62" s="106"/>
      <c r="H62" s="106"/>
      <c r="I62" s="106"/>
      <c r="J62" s="106"/>
      <c r="K62" s="106"/>
      <c r="L62" s="12" t="s">
        <v>9</v>
      </c>
      <c r="M62" s="54" t="s">
        <v>32</v>
      </c>
      <c r="N62" s="225">
        <f t="shared" si="5"/>
        <v>0</v>
      </c>
      <c r="O62" s="226">
        <f t="shared" si="6"/>
        <v>1</v>
      </c>
      <c r="P62" s="227">
        <f t="shared" si="7"/>
        <v>0</v>
      </c>
      <c r="V62" s="106"/>
      <c r="W62" s="12" t="s">
        <v>9</v>
      </c>
      <c r="X62" s="54" t="s">
        <v>32</v>
      </c>
      <c r="Y62" s="225">
        <f t="shared" si="8"/>
        <v>0</v>
      </c>
      <c r="Z62" s="226">
        <f t="shared" si="9"/>
        <v>1</v>
      </c>
      <c r="AA62" s="227">
        <f t="shared" si="10"/>
        <v>1</v>
      </c>
      <c r="AH62" s="12" t="s">
        <v>9</v>
      </c>
      <c r="AI62" s="54" t="s">
        <v>32</v>
      </c>
      <c r="AJ62" s="225">
        <f t="shared" si="11"/>
        <v>1</v>
      </c>
      <c r="AK62" s="226">
        <f t="shared" si="12"/>
        <v>1</v>
      </c>
      <c r="AL62" s="227">
        <f t="shared" si="13"/>
        <v>1</v>
      </c>
      <c r="AS62" s="12" t="s">
        <v>9</v>
      </c>
      <c r="AT62" s="54" t="s">
        <v>32</v>
      </c>
      <c r="AU62" s="225">
        <f t="shared" si="16"/>
        <v>1</v>
      </c>
      <c r="AV62" s="226">
        <f t="shared" si="14"/>
        <v>2</v>
      </c>
      <c r="AW62" s="227">
        <f t="shared" si="15"/>
        <v>1</v>
      </c>
    </row>
    <row r="63" spans="1:50" ht="25.2" customHeight="1" thickBot="1" x14ac:dyDescent="0.3">
      <c r="A63" s="15"/>
      <c r="B63" s="56" t="s">
        <v>10</v>
      </c>
      <c r="C63" s="228">
        <f>'Historique T=0'!C16</f>
        <v>0</v>
      </c>
      <c r="D63" s="229">
        <f>'Historique T=0'!D16</f>
        <v>1</v>
      </c>
      <c r="E63" s="230">
        <f>'Historique T=0'!E16</f>
        <v>1</v>
      </c>
      <c r="G63" s="106"/>
      <c r="H63" s="106"/>
      <c r="I63" s="106"/>
      <c r="J63" s="106"/>
      <c r="K63" s="106"/>
      <c r="L63" s="15"/>
      <c r="M63" s="56" t="s">
        <v>10</v>
      </c>
      <c r="N63" s="228">
        <f t="shared" si="5"/>
        <v>0</v>
      </c>
      <c r="O63" s="229">
        <f t="shared" si="6"/>
        <v>1</v>
      </c>
      <c r="P63" s="230">
        <f t="shared" si="7"/>
        <v>2</v>
      </c>
      <c r="V63" s="106"/>
      <c r="W63" s="15"/>
      <c r="X63" s="56" t="s">
        <v>10</v>
      </c>
      <c r="Y63" s="228">
        <f t="shared" si="8"/>
        <v>0</v>
      </c>
      <c r="Z63" s="229">
        <f t="shared" si="9"/>
        <v>2</v>
      </c>
      <c r="AA63" s="230">
        <f t="shared" si="10"/>
        <v>2</v>
      </c>
      <c r="AH63" s="15"/>
      <c r="AI63" s="56" t="s">
        <v>10</v>
      </c>
      <c r="AJ63" s="228">
        <f t="shared" si="11"/>
        <v>0</v>
      </c>
      <c r="AK63" s="229">
        <f t="shared" si="12"/>
        <v>2</v>
      </c>
      <c r="AL63" s="230">
        <f t="shared" si="13"/>
        <v>2</v>
      </c>
      <c r="AS63" s="15"/>
      <c r="AT63" s="56" t="s">
        <v>10</v>
      </c>
      <c r="AU63" s="228">
        <f t="shared" si="16"/>
        <v>1</v>
      </c>
      <c r="AV63" s="229">
        <f t="shared" si="14"/>
        <v>2</v>
      </c>
      <c r="AW63" s="230">
        <f t="shared" si="15"/>
        <v>2</v>
      </c>
    </row>
    <row r="64" spans="1:50" ht="25.2" customHeight="1" x14ac:dyDescent="0.25">
      <c r="A64" s="12" t="s">
        <v>11</v>
      </c>
      <c r="B64" s="54" t="s">
        <v>33</v>
      </c>
      <c r="C64" s="225">
        <f>'Historique T=0'!C17</f>
        <v>1</v>
      </c>
      <c r="D64" s="226">
        <f>'Historique T=0'!D17</f>
        <v>1</v>
      </c>
      <c r="E64" s="227">
        <f>'Historique T=0'!E17</f>
        <v>1</v>
      </c>
      <c r="G64" s="106"/>
      <c r="H64" s="106"/>
      <c r="I64" s="106"/>
      <c r="J64" s="106"/>
      <c r="K64" s="106"/>
      <c r="L64" s="12" t="s">
        <v>11</v>
      </c>
      <c r="M64" s="54" t="s">
        <v>33</v>
      </c>
      <c r="N64" s="225">
        <f t="shared" si="5"/>
        <v>1</v>
      </c>
      <c r="O64" s="226">
        <f t="shared" si="6"/>
        <v>2</v>
      </c>
      <c r="P64" s="227">
        <f t="shared" si="7"/>
        <v>1</v>
      </c>
      <c r="V64" s="106"/>
      <c r="W64" s="12" t="s">
        <v>11</v>
      </c>
      <c r="X64" s="54" t="s">
        <v>33</v>
      </c>
      <c r="Y64" s="225">
        <f t="shared" si="8"/>
        <v>1</v>
      </c>
      <c r="Z64" s="226">
        <f t="shared" si="9"/>
        <v>2</v>
      </c>
      <c r="AA64" s="227">
        <f t="shared" si="10"/>
        <v>1</v>
      </c>
      <c r="AH64" s="12" t="s">
        <v>11</v>
      </c>
      <c r="AI64" s="54" t="s">
        <v>33</v>
      </c>
      <c r="AJ64" s="225">
        <f t="shared" si="11"/>
        <v>1</v>
      </c>
      <c r="AK64" s="226">
        <f t="shared" si="12"/>
        <v>2</v>
      </c>
      <c r="AL64" s="227">
        <f t="shared" si="13"/>
        <v>1</v>
      </c>
      <c r="AS64" s="12" t="s">
        <v>11</v>
      </c>
      <c r="AT64" s="54" t="s">
        <v>33</v>
      </c>
      <c r="AU64" s="225">
        <f t="shared" si="16"/>
        <v>1</v>
      </c>
      <c r="AV64" s="226">
        <f t="shared" si="14"/>
        <v>2</v>
      </c>
      <c r="AW64" s="227">
        <f t="shared" si="15"/>
        <v>1</v>
      </c>
    </row>
    <row r="65" spans="1:50" ht="21" customHeight="1" x14ac:dyDescent="0.25">
      <c r="A65" s="17"/>
      <c r="B65" s="57" t="s">
        <v>34</v>
      </c>
      <c r="C65" s="231">
        <f>'Historique T=0'!C18</f>
        <v>1</v>
      </c>
      <c r="D65" s="120">
        <f>'Historique T=0'!D18</f>
        <v>2</v>
      </c>
      <c r="E65" s="232">
        <f>'Historique T=0'!E18</f>
        <v>1</v>
      </c>
      <c r="G65" s="106"/>
      <c r="H65" s="106"/>
      <c r="I65" s="106"/>
      <c r="J65" s="106"/>
      <c r="K65" s="106"/>
      <c r="L65" s="17"/>
      <c r="M65" s="57" t="s">
        <v>34</v>
      </c>
      <c r="N65" s="231">
        <f t="shared" si="5"/>
        <v>1</v>
      </c>
      <c r="O65" s="120">
        <f t="shared" si="6"/>
        <v>2</v>
      </c>
      <c r="P65" s="232">
        <f t="shared" si="7"/>
        <v>1</v>
      </c>
      <c r="V65" s="106"/>
      <c r="W65" s="17"/>
      <c r="X65" s="57" t="s">
        <v>34</v>
      </c>
      <c r="Y65" s="231">
        <f t="shared" si="8"/>
        <v>1</v>
      </c>
      <c r="Z65" s="120">
        <f t="shared" si="9"/>
        <v>2</v>
      </c>
      <c r="AA65" s="232">
        <f t="shared" si="10"/>
        <v>1</v>
      </c>
      <c r="AH65" s="17"/>
      <c r="AI65" s="57" t="s">
        <v>34</v>
      </c>
      <c r="AJ65" s="231">
        <f t="shared" si="11"/>
        <v>1</v>
      </c>
      <c r="AK65" s="120">
        <f t="shared" si="12"/>
        <v>2</v>
      </c>
      <c r="AL65" s="232">
        <f t="shared" si="13"/>
        <v>1</v>
      </c>
      <c r="AS65" s="17"/>
      <c r="AT65" s="57" t="s">
        <v>34</v>
      </c>
      <c r="AU65" s="231">
        <f t="shared" si="16"/>
        <v>1</v>
      </c>
      <c r="AV65" s="120">
        <f t="shared" si="14"/>
        <v>2</v>
      </c>
      <c r="AW65" s="232">
        <f t="shared" si="15"/>
        <v>1</v>
      </c>
    </row>
    <row r="66" spans="1:50" ht="21" customHeight="1" thickBot="1" x14ac:dyDescent="0.3">
      <c r="A66" s="15"/>
      <c r="B66" s="56" t="s">
        <v>12</v>
      </c>
      <c r="C66" s="228">
        <f>'Historique T=0'!C19</f>
        <v>0</v>
      </c>
      <c r="D66" s="229">
        <f>'Historique T=0'!D19</f>
        <v>0</v>
      </c>
      <c r="E66" s="230">
        <f>'Historique T=0'!E19</f>
        <v>0</v>
      </c>
      <c r="F66" s="58"/>
      <c r="G66" s="58"/>
      <c r="H66" s="58"/>
      <c r="I66" s="58"/>
      <c r="J66" s="58"/>
      <c r="K66" s="58"/>
      <c r="L66" s="15"/>
      <c r="M66" s="56" t="s">
        <v>12</v>
      </c>
      <c r="N66" s="228">
        <f t="shared" si="5"/>
        <v>0</v>
      </c>
      <c r="O66" s="229">
        <f t="shared" si="6"/>
        <v>0</v>
      </c>
      <c r="P66" s="230">
        <f t="shared" si="7"/>
        <v>0</v>
      </c>
      <c r="Q66" s="133"/>
      <c r="R66" s="133"/>
      <c r="S66" s="133"/>
      <c r="T66" s="133"/>
      <c r="U66" s="133"/>
      <c r="V66" s="58"/>
      <c r="W66" s="15"/>
      <c r="X66" s="56" t="s">
        <v>12</v>
      </c>
      <c r="Y66" s="228">
        <f t="shared" si="8"/>
        <v>1</v>
      </c>
      <c r="Z66" s="229">
        <f t="shared" si="9"/>
        <v>0</v>
      </c>
      <c r="AA66" s="230">
        <f t="shared" si="10"/>
        <v>1</v>
      </c>
      <c r="AB66" s="133"/>
      <c r="AC66" s="133"/>
      <c r="AD66" s="133"/>
      <c r="AE66" s="133"/>
      <c r="AF66" s="133"/>
      <c r="AH66" s="15"/>
      <c r="AI66" s="56" t="s">
        <v>12</v>
      </c>
      <c r="AJ66" s="228">
        <f t="shared" si="11"/>
        <v>1</v>
      </c>
      <c r="AK66" s="229">
        <f t="shared" si="12"/>
        <v>1</v>
      </c>
      <c r="AL66" s="230">
        <f t="shared" si="13"/>
        <v>1</v>
      </c>
      <c r="AM66" s="133"/>
      <c r="AN66" s="133"/>
      <c r="AO66" s="133"/>
      <c r="AP66" s="133"/>
      <c r="AQ66" s="133"/>
      <c r="AS66" s="15"/>
      <c r="AT66" s="56" t="s">
        <v>12</v>
      </c>
      <c r="AU66" s="228">
        <f t="shared" si="16"/>
        <v>1</v>
      </c>
      <c r="AV66" s="229">
        <f t="shared" si="14"/>
        <v>1</v>
      </c>
      <c r="AW66" s="230">
        <f t="shared" si="15"/>
        <v>2</v>
      </c>
      <c r="AX66" s="133"/>
    </row>
    <row r="67" spans="1:50" ht="21" customHeight="1" x14ac:dyDescent="0.25">
      <c r="B67" s="1"/>
      <c r="C67" s="132">
        <f>AVERAGE(C57:C66)</f>
        <v>0.4</v>
      </c>
      <c r="D67" s="132">
        <f>AVERAGE(D57:D66)</f>
        <v>1.1000000000000001</v>
      </c>
      <c r="E67" s="132">
        <f>AVERAGE(E57:E66)</f>
        <v>1</v>
      </c>
      <c r="F67" s="133">
        <f>AVERAGE(C67:E67)</f>
        <v>0.83333333333333337</v>
      </c>
      <c r="G67" s="58"/>
      <c r="H67" s="58"/>
      <c r="I67" s="58"/>
      <c r="J67" s="58"/>
      <c r="K67" s="58"/>
      <c r="M67" s="1"/>
      <c r="N67" s="132">
        <f>AVERAGE(N57:N66)</f>
        <v>0.5</v>
      </c>
      <c r="O67" s="132">
        <f>AVERAGE(O57:O66)</f>
        <v>1.3</v>
      </c>
      <c r="P67" s="132">
        <f>AVERAGE(P57:P66)</f>
        <v>1.2</v>
      </c>
      <c r="Q67" s="133">
        <f>AVERAGE(N67:P67)</f>
        <v>1</v>
      </c>
      <c r="R67" s="133"/>
      <c r="S67" s="133"/>
      <c r="T67" s="133"/>
      <c r="U67" s="133"/>
      <c r="V67" s="58"/>
      <c r="X67" s="1"/>
      <c r="Y67" s="132">
        <f>AVERAGE(Y57:Y66)</f>
        <v>0.7</v>
      </c>
      <c r="Z67" s="132">
        <f>AVERAGE(Z57:Z66)</f>
        <v>1.5</v>
      </c>
      <c r="AA67" s="132">
        <f>AVERAGE(AA57:AA66)</f>
        <v>1.4</v>
      </c>
      <c r="AB67" s="133">
        <f>AVERAGE(Y67:AA67)</f>
        <v>1.2</v>
      </c>
      <c r="AC67" s="133"/>
      <c r="AD67" s="133"/>
      <c r="AE67" s="133"/>
      <c r="AF67" s="133"/>
      <c r="AI67" s="1"/>
      <c r="AJ67" s="132">
        <f>AVERAGE(AJ57:AJ66)</f>
        <v>0.9</v>
      </c>
      <c r="AK67" s="132">
        <f>AVERAGE(AK57:AK66)</f>
        <v>1.7</v>
      </c>
      <c r="AL67" s="132">
        <f>AVERAGE(AL57:AL66)</f>
        <v>1.6</v>
      </c>
      <c r="AM67" s="133">
        <f>AVERAGE(AJ67:AL67)</f>
        <v>1.4000000000000001</v>
      </c>
      <c r="AN67" s="133"/>
      <c r="AO67" s="133"/>
      <c r="AP67" s="133"/>
      <c r="AQ67" s="133"/>
      <c r="AT67" s="1"/>
      <c r="AU67" s="132">
        <f>AVERAGE(AU57:AU66)</f>
        <v>1.1000000000000001</v>
      </c>
      <c r="AV67" s="132">
        <f>AVERAGE(AV57:AV66)</f>
        <v>1.9</v>
      </c>
      <c r="AW67" s="132">
        <f>AVERAGE(AW57:AW66)</f>
        <v>1.8</v>
      </c>
      <c r="AX67" s="133">
        <f>AVERAGE(AU67:AW67)</f>
        <v>1.5999999999999999</v>
      </c>
    </row>
    <row r="68" spans="1:50" ht="21" customHeight="1" x14ac:dyDescent="0.25">
      <c r="B68" s="1"/>
      <c r="C68" s="52"/>
      <c r="D68" s="52"/>
      <c r="E68" s="52"/>
      <c r="F68" s="58"/>
      <c r="G68" s="58"/>
      <c r="H68" s="58"/>
      <c r="I68" s="58"/>
      <c r="J68" s="58"/>
      <c r="K68" s="58"/>
      <c r="M68" s="1"/>
      <c r="N68" s="52"/>
      <c r="O68" s="52"/>
      <c r="P68" s="52"/>
      <c r="Q68" s="58"/>
      <c r="R68" s="58"/>
      <c r="S68" s="58"/>
      <c r="T68" s="58"/>
      <c r="U68" s="58"/>
      <c r="V68" s="58"/>
      <c r="X68" s="1"/>
      <c r="Y68" s="52"/>
      <c r="Z68" s="52"/>
      <c r="AA68" s="52"/>
      <c r="AB68" s="58"/>
      <c r="AC68" s="58"/>
      <c r="AD68" s="58"/>
      <c r="AE68" s="58"/>
      <c r="AF68" s="58"/>
      <c r="AI68" s="1"/>
      <c r="AJ68" s="52"/>
      <c r="AK68" s="52"/>
      <c r="AL68" s="52"/>
      <c r="AM68" s="58"/>
      <c r="AN68" s="58"/>
      <c r="AO68" s="58"/>
      <c r="AP68" s="58"/>
      <c r="AQ68" s="58"/>
      <c r="AT68" s="1"/>
      <c r="AU68" s="52"/>
      <c r="AV68" s="52"/>
      <c r="AW68" s="52"/>
      <c r="AX68" s="58"/>
    </row>
    <row r="69" spans="1:50" s="288" customFormat="1" ht="21" customHeight="1" x14ac:dyDescent="0.25">
      <c r="B69" s="289" t="s">
        <v>312</v>
      </c>
      <c r="D69" s="106"/>
      <c r="E69" s="106"/>
      <c r="F69" s="290"/>
      <c r="G69" s="290"/>
      <c r="H69" s="290"/>
      <c r="I69" s="290"/>
      <c r="J69" s="290"/>
      <c r="K69" s="290"/>
      <c r="M69" s="289" t="s">
        <v>312</v>
      </c>
      <c r="O69" s="106"/>
      <c r="P69" s="106"/>
      <c r="Q69" s="290"/>
      <c r="R69" s="290"/>
      <c r="S69" s="290"/>
      <c r="T69" s="290"/>
      <c r="U69" s="290"/>
      <c r="V69" s="290"/>
      <c r="X69" s="289" t="s">
        <v>312</v>
      </c>
      <c r="Z69" s="106"/>
      <c r="AA69" s="106"/>
      <c r="AB69" s="290"/>
      <c r="AC69" s="290"/>
      <c r="AD69" s="290"/>
      <c r="AE69" s="290"/>
      <c r="AF69" s="290"/>
      <c r="AI69" s="289" t="s">
        <v>312</v>
      </c>
      <c r="AK69" s="106"/>
      <c r="AL69" s="106"/>
      <c r="AM69" s="290"/>
      <c r="AN69" s="290"/>
      <c r="AO69" s="290"/>
      <c r="AP69" s="290"/>
      <c r="AQ69" s="290"/>
      <c r="AT69" s="289" t="s">
        <v>312</v>
      </c>
      <c r="AV69" s="106"/>
      <c r="AW69" s="106"/>
      <c r="AX69" s="290"/>
    </row>
    <row r="70" spans="1:50" s="288" customFormat="1" ht="21" customHeight="1" thickBot="1" x14ac:dyDescent="0.3">
      <c r="B70" s="289"/>
      <c r="C70" s="291" t="str">
        <f>C3</f>
        <v>junior</v>
      </c>
      <c r="D70" s="291" t="str">
        <f>D3</f>
        <v>senior</v>
      </c>
      <c r="E70" s="291" t="str">
        <f>E3</f>
        <v>premium</v>
      </c>
      <c r="F70" s="290"/>
      <c r="G70" s="290"/>
      <c r="H70" s="290"/>
      <c r="I70" s="290"/>
      <c r="J70" s="290"/>
      <c r="K70" s="290"/>
      <c r="M70" s="289"/>
      <c r="N70" s="291" t="str">
        <f>Constantes!$Q$9</f>
        <v>junior</v>
      </c>
      <c r="O70" s="291" t="str">
        <f>Constantes!$R$9</f>
        <v>senior</v>
      </c>
      <c r="P70" s="291" t="str">
        <f>Constantes!$S$9</f>
        <v>premium</v>
      </c>
      <c r="Q70" s="290"/>
      <c r="R70" s="290"/>
      <c r="S70" s="290"/>
      <c r="T70" s="290"/>
      <c r="U70" s="290"/>
      <c r="V70" s="290"/>
      <c r="X70" s="289"/>
      <c r="Y70" s="291" t="str">
        <f>Constantes!$Q$9</f>
        <v>junior</v>
      </c>
      <c r="Z70" s="291" t="str">
        <f>Constantes!$R$9</f>
        <v>senior</v>
      </c>
      <c r="AA70" s="291" t="str">
        <f>Constantes!$S$9</f>
        <v>premium</v>
      </c>
      <c r="AB70" s="290"/>
      <c r="AC70" s="290"/>
      <c r="AD70" s="290"/>
      <c r="AE70" s="290"/>
      <c r="AF70" s="290"/>
      <c r="AI70" s="289"/>
      <c r="AJ70" s="291" t="str">
        <f>Constantes!$Q$9</f>
        <v>junior</v>
      </c>
      <c r="AK70" s="291" t="str">
        <f>Constantes!$R$9</f>
        <v>senior</v>
      </c>
      <c r="AL70" s="291" t="str">
        <f>Constantes!$S$9</f>
        <v>premium</v>
      </c>
      <c r="AM70" s="290"/>
      <c r="AN70" s="290"/>
      <c r="AO70" s="290"/>
      <c r="AP70" s="290"/>
      <c r="AQ70" s="290"/>
      <c r="AT70" s="289"/>
      <c r="AU70" s="291" t="str">
        <f>Constantes!$Q$9</f>
        <v>junior</v>
      </c>
      <c r="AV70" s="291" t="str">
        <f>Constantes!$R$9</f>
        <v>senior</v>
      </c>
      <c r="AW70" s="291" t="str">
        <f>Constantes!$S$9</f>
        <v>premium</v>
      </c>
      <c r="AX70" s="290"/>
    </row>
    <row r="71" spans="1:50" s="288" customFormat="1" ht="21" customHeight="1" x14ac:dyDescent="0.25">
      <c r="A71" s="292" t="s">
        <v>4</v>
      </c>
      <c r="B71" s="293" t="s">
        <v>5</v>
      </c>
      <c r="C71" s="225">
        <f>Décisions!G47*(C57+1)</f>
        <v>0</v>
      </c>
      <c r="D71" s="226">
        <f>Décisions!G63*(D57+1)</f>
        <v>0</v>
      </c>
      <c r="E71" s="227">
        <f>Décisions!G79*(E57+1)</f>
        <v>0</v>
      </c>
      <c r="F71" s="290"/>
      <c r="G71" s="290"/>
      <c r="H71" s="290"/>
      <c r="I71" s="290"/>
      <c r="J71" s="290"/>
      <c r="K71" s="290"/>
      <c r="L71" s="292" t="s">
        <v>4</v>
      </c>
      <c r="M71" s="293" t="s">
        <v>5</v>
      </c>
      <c r="N71" s="225">
        <f>Décisions!R47*(N57+1)</f>
        <v>0</v>
      </c>
      <c r="O71" s="226">
        <f>Décisions!R63*(O57+1)</f>
        <v>0</v>
      </c>
      <c r="P71" s="227">
        <f>Décisions!R79*(P57+1)</f>
        <v>0</v>
      </c>
      <c r="Q71" s="290"/>
      <c r="R71" s="290"/>
      <c r="S71" s="290"/>
      <c r="T71" s="290"/>
      <c r="U71" s="290"/>
      <c r="V71" s="290"/>
      <c r="W71" s="292" t="s">
        <v>4</v>
      </c>
      <c r="X71" s="293" t="s">
        <v>5</v>
      </c>
      <c r="Y71" s="225">
        <f>Décisions!AC47*(Y57+1)</f>
        <v>0</v>
      </c>
      <c r="Z71" s="226">
        <f>Décisions!AC63*(Z57+1)</f>
        <v>0</v>
      </c>
      <c r="AA71" s="227">
        <f>Décisions!AC79*(AA57+1)</f>
        <v>0</v>
      </c>
      <c r="AB71" s="290"/>
      <c r="AC71" s="290"/>
      <c r="AD71" s="290"/>
      <c r="AE71" s="290"/>
      <c r="AF71" s="290"/>
      <c r="AH71" s="292" t="s">
        <v>4</v>
      </c>
      <c r="AI71" s="293" t="s">
        <v>5</v>
      </c>
      <c r="AJ71" s="225">
        <f>Décisions!AN47*(AJ57+1)</f>
        <v>2</v>
      </c>
      <c r="AK71" s="226">
        <f>Décisions!AN63*(AK57+1)</f>
        <v>0</v>
      </c>
      <c r="AL71" s="227">
        <f>Décisions!AN79*(AL57+1)</f>
        <v>0</v>
      </c>
      <c r="AM71" s="290"/>
      <c r="AN71" s="290"/>
      <c r="AO71" s="290"/>
      <c r="AP71" s="290"/>
      <c r="AQ71" s="290"/>
      <c r="AS71" s="292" t="s">
        <v>4</v>
      </c>
      <c r="AT71" s="293" t="s">
        <v>5</v>
      </c>
      <c r="AU71" s="225">
        <f>Décisions!AY47*(AU57+1)</f>
        <v>0</v>
      </c>
      <c r="AV71" s="226">
        <f>Décisions!AY63*(AV57+1)</f>
        <v>0</v>
      </c>
      <c r="AW71" s="227">
        <f>Décisions!AY79*(AW57+1)</f>
        <v>0</v>
      </c>
      <c r="AX71" s="290"/>
    </row>
    <row r="72" spans="1:50" s="288" customFormat="1" ht="21" customHeight="1" thickBot="1" x14ac:dyDescent="0.3">
      <c r="A72" s="294"/>
      <c r="B72" s="295" t="s">
        <v>31</v>
      </c>
      <c r="C72" s="228">
        <f>Décisions!G48*(C58+1)</f>
        <v>0</v>
      </c>
      <c r="D72" s="229">
        <f>Décisions!G64*(D58+1)</f>
        <v>0</v>
      </c>
      <c r="E72" s="230">
        <f>Décisions!G80*(E58+1)</f>
        <v>2</v>
      </c>
      <c r="F72" s="290"/>
      <c r="G72" s="290"/>
      <c r="H72" s="290"/>
      <c r="I72" s="290"/>
      <c r="J72" s="290"/>
      <c r="K72" s="290"/>
      <c r="L72" s="294"/>
      <c r="M72" s="295" t="s">
        <v>31</v>
      </c>
      <c r="N72" s="228">
        <f>Décisions!R48*(N58+1)</f>
        <v>1</v>
      </c>
      <c r="O72" s="229">
        <f>Décisions!R64*(O58+1)</f>
        <v>0</v>
      </c>
      <c r="P72" s="230">
        <f>Décisions!R80*(P58+1)</f>
        <v>0</v>
      </c>
      <c r="Q72" s="290"/>
      <c r="R72" s="290"/>
      <c r="S72" s="290"/>
      <c r="T72" s="290"/>
      <c r="U72" s="290"/>
      <c r="V72" s="290"/>
      <c r="W72" s="294"/>
      <c r="X72" s="295" t="s">
        <v>31</v>
      </c>
      <c r="Y72" s="228">
        <f>Décisions!AC48*(Y58+1)</f>
        <v>0</v>
      </c>
      <c r="Z72" s="229">
        <f>Décisions!AC64*(Z58+1)</f>
        <v>0</v>
      </c>
      <c r="AA72" s="230">
        <f>Décisions!AC80*(AA58+1)</f>
        <v>0</v>
      </c>
      <c r="AB72" s="290"/>
      <c r="AC72" s="290"/>
      <c r="AD72" s="290"/>
      <c r="AE72" s="290"/>
      <c r="AF72" s="290"/>
      <c r="AH72" s="294"/>
      <c r="AI72" s="295" t="s">
        <v>31</v>
      </c>
      <c r="AJ72" s="228">
        <f>Décisions!AN48*(AJ58+1)</f>
        <v>0</v>
      </c>
      <c r="AK72" s="229">
        <f>Décisions!AN64*(AK58+1)</f>
        <v>0</v>
      </c>
      <c r="AL72" s="230">
        <f>Décisions!AN80*(AL58+1)</f>
        <v>0</v>
      </c>
      <c r="AM72" s="290"/>
      <c r="AN72" s="290"/>
      <c r="AO72" s="290"/>
      <c r="AP72" s="290"/>
      <c r="AQ72" s="290"/>
      <c r="AS72" s="294"/>
      <c r="AT72" s="295" t="s">
        <v>31</v>
      </c>
      <c r="AU72" s="228">
        <f>Décisions!AY48*(AU58+1)</f>
        <v>0</v>
      </c>
      <c r="AV72" s="229">
        <f>Décisions!AY64*(AV58+1)</f>
        <v>0</v>
      </c>
      <c r="AW72" s="230">
        <f>Décisions!AY80*(AW58+1)</f>
        <v>0</v>
      </c>
      <c r="AX72" s="290"/>
    </row>
    <row r="73" spans="1:50" s="288" customFormat="1" ht="21" customHeight="1" x14ac:dyDescent="0.25">
      <c r="A73" s="292" t="s">
        <v>6</v>
      </c>
      <c r="B73" s="293" t="s">
        <v>7</v>
      </c>
      <c r="C73" s="225">
        <f>Décisions!G49*(C59+1)</f>
        <v>0</v>
      </c>
      <c r="D73" s="226">
        <f>Décisions!G65*(D59+1)</f>
        <v>0</v>
      </c>
      <c r="E73" s="227">
        <f>Décisions!G81*(E59+1)</f>
        <v>0</v>
      </c>
      <c r="F73" s="290"/>
      <c r="G73" s="290"/>
      <c r="H73" s="290"/>
      <c r="I73" s="290"/>
      <c r="J73" s="290"/>
      <c r="K73" s="290"/>
      <c r="L73" s="292" t="s">
        <v>6</v>
      </c>
      <c r="M73" s="293" t="s">
        <v>7</v>
      </c>
      <c r="N73" s="225">
        <f>Décisions!R49*(N59+1)</f>
        <v>0</v>
      </c>
      <c r="O73" s="226">
        <f>Décisions!R65*(O59+1)</f>
        <v>2</v>
      </c>
      <c r="P73" s="227">
        <f>Décisions!R81*(P59+1)</f>
        <v>0</v>
      </c>
      <c r="Q73" s="290"/>
      <c r="R73" s="290"/>
      <c r="S73" s="290"/>
      <c r="T73" s="290"/>
      <c r="U73" s="290"/>
      <c r="V73" s="290"/>
      <c r="W73" s="292" t="s">
        <v>6</v>
      </c>
      <c r="X73" s="293" t="s">
        <v>7</v>
      </c>
      <c r="Y73" s="225">
        <f>Décisions!AC49*(Y59+1)</f>
        <v>1</v>
      </c>
      <c r="Z73" s="226">
        <f>Décisions!AC65*(Z59+1)</f>
        <v>0</v>
      </c>
      <c r="AA73" s="227">
        <f>Décisions!AC81*(AA59+1)</f>
        <v>3</v>
      </c>
      <c r="AB73" s="290"/>
      <c r="AC73" s="290"/>
      <c r="AD73" s="290"/>
      <c r="AE73" s="290"/>
      <c r="AF73" s="290"/>
      <c r="AH73" s="292" t="s">
        <v>6</v>
      </c>
      <c r="AI73" s="293" t="s">
        <v>7</v>
      </c>
      <c r="AJ73" s="225">
        <f>Décisions!AN49*(AJ59+1)</f>
        <v>0</v>
      </c>
      <c r="AK73" s="226">
        <f>Décisions!AN65*(AK59+1)</f>
        <v>3</v>
      </c>
      <c r="AL73" s="227">
        <f>Décisions!AN81*(AL59+1)</f>
        <v>0</v>
      </c>
      <c r="AM73" s="290"/>
      <c r="AN73" s="290"/>
      <c r="AO73" s="290"/>
      <c r="AP73" s="290"/>
      <c r="AQ73" s="290"/>
      <c r="AS73" s="292" t="s">
        <v>6</v>
      </c>
      <c r="AT73" s="293" t="s">
        <v>7</v>
      </c>
      <c r="AU73" s="225">
        <f>Décisions!AY49*(AU59+1)</f>
        <v>0</v>
      </c>
      <c r="AV73" s="226">
        <f>Décisions!AY65*(AV59+1)</f>
        <v>0</v>
      </c>
      <c r="AW73" s="227">
        <f>Décisions!AY81*(AW59+1)</f>
        <v>0</v>
      </c>
      <c r="AX73" s="290"/>
    </row>
    <row r="74" spans="1:50" s="288" customFormat="1" ht="21" customHeight="1" x14ac:dyDescent="0.25">
      <c r="A74" s="296"/>
      <c r="B74" s="297" t="s">
        <v>8</v>
      </c>
      <c r="C74" s="231">
        <f>Décisions!G50*(C60+1)</f>
        <v>0</v>
      </c>
      <c r="D74" s="120">
        <f>Décisions!G66*(D60+1)</f>
        <v>2</v>
      </c>
      <c r="E74" s="232">
        <f>Décisions!G82*(E60+1)</f>
        <v>0</v>
      </c>
      <c r="F74" s="290"/>
      <c r="G74" s="290"/>
      <c r="H74" s="290"/>
      <c r="I74" s="290"/>
      <c r="J74" s="290"/>
      <c r="K74" s="290"/>
      <c r="L74" s="296"/>
      <c r="M74" s="297" t="s">
        <v>8</v>
      </c>
      <c r="N74" s="231">
        <f>Décisions!R50*(N60+1)</f>
        <v>0</v>
      </c>
      <c r="O74" s="120">
        <f>Décisions!R66*(O60+1)</f>
        <v>0</v>
      </c>
      <c r="P74" s="232">
        <f>Décisions!R82*(P60+1)</f>
        <v>0</v>
      </c>
      <c r="Q74" s="290"/>
      <c r="R74" s="290"/>
      <c r="S74" s="290"/>
      <c r="T74" s="290"/>
      <c r="U74" s="290"/>
      <c r="V74" s="290"/>
      <c r="W74" s="296"/>
      <c r="X74" s="297" t="s">
        <v>8</v>
      </c>
      <c r="Y74" s="231">
        <f>Décisions!AC50*(Y60+1)</f>
        <v>0</v>
      </c>
      <c r="Z74" s="120">
        <f>Décisions!AC66*(Z60+1)</f>
        <v>0</v>
      </c>
      <c r="AA74" s="232">
        <f>Décisions!AC82*(AA60+1)</f>
        <v>2</v>
      </c>
      <c r="AB74" s="290"/>
      <c r="AC74" s="290"/>
      <c r="AD74" s="290"/>
      <c r="AE74" s="290"/>
      <c r="AF74" s="290"/>
      <c r="AH74" s="296"/>
      <c r="AI74" s="297" t="s">
        <v>8</v>
      </c>
      <c r="AJ74" s="231">
        <f>Décisions!AN50*(AJ60+1)</f>
        <v>0</v>
      </c>
      <c r="AK74" s="120">
        <f>Décisions!AN66*(AK60+1)</f>
        <v>0</v>
      </c>
      <c r="AL74" s="232">
        <f>Décisions!AN82*(AL60+1)</f>
        <v>0</v>
      </c>
      <c r="AM74" s="290"/>
      <c r="AN74" s="290"/>
      <c r="AO74" s="290"/>
      <c r="AP74" s="290"/>
      <c r="AQ74" s="290"/>
      <c r="AS74" s="296"/>
      <c r="AT74" s="297" t="s">
        <v>8</v>
      </c>
      <c r="AU74" s="231">
        <f>Décisions!AY50*(AU60+1)</f>
        <v>2</v>
      </c>
      <c r="AV74" s="120">
        <f>Décisions!AY66*(AV60+1)</f>
        <v>3</v>
      </c>
      <c r="AW74" s="232">
        <f>Décisions!AY82*(AW60+1)</f>
        <v>0</v>
      </c>
      <c r="AX74" s="290"/>
    </row>
    <row r="75" spans="1:50" s="288" customFormat="1" ht="21" customHeight="1" thickBot="1" x14ac:dyDescent="0.3">
      <c r="A75" s="294"/>
      <c r="B75" s="295" t="s">
        <v>157</v>
      </c>
      <c r="C75" s="228">
        <f>Décisions!G51*(C61+1)</f>
        <v>1</v>
      </c>
      <c r="D75" s="229">
        <f>Décisions!G67*(D61+1)</f>
        <v>0</v>
      </c>
      <c r="E75" s="230">
        <f>Décisions!G83*(E61+1)</f>
        <v>0</v>
      </c>
      <c r="F75" s="290"/>
      <c r="G75" s="290"/>
      <c r="H75" s="290"/>
      <c r="I75" s="290"/>
      <c r="J75" s="290"/>
      <c r="K75" s="290"/>
      <c r="L75" s="294"/>
      <c r="M75" s="295" t="s">
        <v>157</v>
      </c>
      <c r="N75" s="228">
        <f>Décisions!R51*(N61+1)</f>
        <v>0</v>
      </c>
      <c r="O75" s="229">
        <f>Décisions!R67*(O61+1)</f>
        <v>0</v>
      </c>
      <c r="P75" s="230">
        <f>Décisions!R83*(P61+1)</f>
        <v>0</v>
      </c>
      <c r="Q75" s="290"/>
      <c r="R75" s="290"/>
      <c r="S75" s="290"/>
      <c r="T75" s="290"/>
      <c r="U75" s="290"/>
      <c r="V75" s="290"/>
      <c r="W75" s="294"/>
      <c r="X75" s="295" t="s">
        <v>157</v>
      </c>
      <c r="Y75" s="228">
        <f>Décisions!AC51*(Y61+1)</f>
        <v>0</v>
      </c>
      <c r="Z75" s="229">
        <f>Décisions!AC67*(Z61+1)</f>
        <v>2</v>
      </c>
      <c r="AA75" s="230">
        <f>Décisions!AC83*(AA61+1)</f>
        <v>0</v>
      </c>
      <c r="AB75" s="290"/>
      <c r="AC75" s="290"/>
      <c r="AD75" s="290"/>
      <c r="AE75" s="290"/>
      <c r="AF75" s="290"/>
      <c r="AH75" s="294"/>
      <c r="AI75" s="295" t="s">
        <v>157</v>
      </c>
      <c r="AJ75" s="228">
        <f>Décisions!AN51*(AJ61+1)</f>
        <v>0</v>
      </c>
      <c r="AK75" s="229">
        <f>Décisions!AN67*(AK61+1)</f>
        <v>0</v>
      </c>
      <c r="AL75" s="230">
        <f>Décisions!AN83*(AL61+1)</f>
        <v>2</v>
      </c>
      <c r="AM75" s="290"/>
      <c r="AN75" s="290"/>
      <c r="AO75" s="290"/>
      <c r="AP75" s="290"/>
      <c r="AQ75" s="290"/>
      <c r="AS75" s="294"/>
      <c r="AT75" s="295" t="s">
        <v>157</v>
      </c>
      <c r="AU75" s="228">
        <f>Décisions!AY51*(AU61+1)</f>
        <v>0</v>
      </c>
      <c r="AV75" s="229">
        <f>Décisions!AY67*(AV61+1)</f>
        <v>0</v>
      </c>
      <c r="AW75" s="230">
        <f>Décisions!AY83*(AW61+1)</f>
        <v>0</v>
      </c>
      <c r="AX75" s="290"/>
    </row>
    <row r="76" spans="1:50" s="288" customFormat="1" ht="21" customHeight="1" x14ac:dyDescent="0.25">
      <c r="A76" s="292" t="s">
        <v>9</v>
      </c>
      <c r="B76" s="293" t="s">
        <v>32</v>
      </c>
      <c r="C76" s="225">
        <f>Décisions!G52*(C62+1)</f>
        <v>0</v>
      </c>
      <c r="D76" s="226">
        <f>Décisions!G68*(D62+1)</f>
        <v>0</v>
      </c>
      <c r="E76" s="227">
        <f>Décisions!G84*(E62+1)</f>
        <v>0</v>
      </c>
      <c r="F76" s="290"/>
      <c r="G76" s="290"/>
      <c r="H76" s="290"/>
      <c r="I76" s="290"/>
      <c r="J76" s="290"/>
      <c r="K76" s="290"/>
      <c r="L76" s="292" t="s">
        <v>9</v>
      </c>
      <c r="M76" s="293" t="s">
        <v>32</v>
      </c>
      <c r="N76" s="225">
        <f>Décisions!R52*(N62+1)</f>
        <v>0</v>
      </c>
      <c r="O76" s="226">
        <f>Décisions!R68*(O62+1)</f>
        <v>0</v>
      </c>
      <c r="P76" s="227">
        <f>Décisions!R84*(P62+1)</f>
        <v>1</v>
      </c>
      <c r="Q76" s="290"/>
      <c r="R76" s="290"/>
      <c r="S76" s="290"/>
      <c r="T76" s="290"/>
      <c r="U76" s="290"/>
      <c r="V76" s="290"/>
      <c r="W76" s="292" t="s">
        <v>9</v>
      </c>
      <c r="X76" s="293" t="s">
        <v>32</v>
      </c>
      <c r="Y76" s="225">
        <f>Décisions!AC52*(Y62+1)</f>
        <v>1</v>
      </c>
      <c r="Z76" s="226">
        <f>Décisions!AC68*(Z62+1)</f>
        <v>0</v>
      </c>
      <c r="AA76" s="227">
        <f>Décisions!AC84*(AA62+1)</f>
        <v>0</v>
      </c>
      <c r="AB76" s="290"/>
      <c r="AC76" s="290"/>
      <c r="AD76" s="290"/>
      <c r="AE76" s="290"/>
      <c r="AF76" s="290"/>
      <c r="AH76" s="292" t="s">
        <v>9</v>
      </c>
      <c r="AI76" s="293" t="s">
        <v>32</v>
      </c>
      <c r="AJ76" s="225">
        <f>Décisions!AN52*(AJ62+1)</f>
        <v>0</v>
      </c>
      <c r="AK76" s="226">
        <f>Décisions!AN68*(AK62+1)</f>
        <v>2</v>
      </c>
      <c r="AL76" s="227">
        <f>Décisions!AN84*(AL62+1)</f>
        <v>0</v>
      </c>
      <c r="AM76" s="290"/>
      <c r="AN76" s="290"/>
      <c r="AO76" s="290"/>
      <c r="AP76" s="290"/>
      <c r="AQ76" s="290"/>
      <c r="AS76" s="292" t="s">
        <v>9</v>
      </c>
      <c r="AT76" s="293" t="s">
        <v>32</v>
      </c>
      <c r="AU76" s="225">
        <f>Décisions!AY52*(AU62+1)</f>
        <v>0</v>
      </c>
      <c r="AV76" s="226">
        <f>Décisions!AY68*(AV62+1)</f>
        <v>0</v>
      </c>
      <c r="AW76" s="227">
        <f>Décisions!AY84*(AW62+1)</f>
        <v>2</v>
      </c>
      <c r="AX76" s="290"/>
    </row>
    <row r="77" spans="1:50" s="288" customFormat="1" ht="21" customHeight="1" thickBot="1" x14ac:dyDescent="0.3">
      <c r="A77" s="294"/>
      <c r="B77" s="295" t="s">
        <v>10</v>
      </c>
      <c r="C77" s="228">
        <f>Décisions!G53*(C63+1)</f>
        <v>0</v>
      </c>
      <c r="D77" s="229">
        <f>Décisions!G69*(D63+1)</f>
        <v>0</v>
      </c>
      <c r="E77" s="230">
        <f>Décisions!G85*(E63+1)</f>
        <v>2</v>
      </c>
      <c r="F77" s="290"/>
      <c r="G77" s="290"/>
      <c r="H77" s="290"/>
      <c r="I77" s="290"/>
      <c r="J77" s="290"/>
      <c r="K77" s="290"/>
      <c r="L77" s="294"/>
      <c r="M77" s="295" t="s">
        <v>10</v>
      </c>
      <c r="N77" s="228">
        <f>Décisions!R53*(N63+1)</f>
        <v>0</v>
      </c>
      <c r="O77" s="229">
        <f>Décisions!R69*(O63+1)</f>
        <v>2</v>
      </c>
      <c r="P77" s="230">
        <f>Décisions!R85*(P63+1)</f>
        <v>0</v>
      </c>
      <c r="Q77" s="290"/>
      <c r="R77" s="290"/>
      <c r="S77" s="290"/>
      <c r="T77" s="290"/>
      <c r="U77" s="290"/>
      <c r="V77" s="290"/>
      <c r="W77" s="294"/>
      <c r="X77" s="295" t="s">
        <v>10</v>
      </c>
      <c r="Y77" s="228">
        <f>Décisions!AC53*(Y63+1)</f>
        <v>0</v>
      </c>
      <c r="Z77" s="229">
        <f>Décisions!AC69*(Z63+1)</f>
        <v>0</v>
      </c>
      <c r="AA77" s="230">
        <f>Décisions!AC85*(AA63+1)</f>
        <v>0</v>
      </c>
      <c r="AB77" s="290"/>
      <c r="AC77" s="290"/>
      <c r="AD77" s="290"/>
      <c r="AE77" s="290"/>
      <c r="AF77" s="290"/>
      <c r="AH77" s="294"/>
      <c r="AI77" s="295" t="s">
        <v>10</v>
      </c>
      <c r="AJ77" s="228">
        <f>Décisions!AN53*(AJ63+1)</f>
        <v>1</v>
      </c>
      <c r="AK77" s="229">
        <f>Décisions!AN69*(AK63+1)</f>
        <v>0</v>
      </c>
      <c r="AL77" s="230">
        <f>Décisions!AN85*(AL63+1)</f>
        <v>0</v>
      </c>
      <c r="AM77" s="290"/>
      <c r="AN77" s="290"/>
      <c r="AO77" s="290"/>
      <c r="AP77" s="290"/>
      <c r="AQ77" s="290"/>
      <c r="AS77" s="294"/>
      <c r="AT77" s="295" t="s">
        <v>10</v>
      </c>
      <c r="AU77" s="228">
        <f>Décisions!AY53*(AU63+1)</f>
        <v>0</v>
      </c>
      <c r="AV77" s="229">
        <f>Décisions!AY69*(AV63+1)</f>
        <v>0</v>
      </c>
      <c r="AW77" s="230">
        <f>Décisions!AY85*(AW63+1)</f>
        <v>0</v>
      </c>
      <c r="AX77" s="290"/>
    </row>
    <row r="78" spans="1:50" s="288" customFormat="1" ht="21" customHeight="1" x14ac:dyDescent="0.25">
      <c r="A78" s="292" t="s">
        <v>11</v>
      </c>
      <c r="B78" s="293" t="s">
        <v>33</v>
      </c>
      <c r="C78" s="225">
        <f>Décisions!G54*(C64+1)</f>
        <v>0</v>
      </c>
      <c r="D78" s="226">
        <f>Décisions!G70*(D64+1)</f>
        <v>2</v>
      </c>
      <c r="E78" s="227">
        <f>Décisions!G86*(E64+1)</f>
        <v>0</v>
      </c>
      <c r="F78" s="290"/>
      <c r="G78" s="290"/>
      <c r="H78" s="290"/>
      <c r="I78" s="290"/>
      <c r="J78" s="290"/>
      <c r="K78" s="290"/>
      <c r="L78" s="292" t="s">
        <v>11</v>
      </c>
      <c r="M78" s="293" t="s">
        <v>33</v>
      </c>
      <c r="N78" s="225">
        <f>Décisions!R54*(N64+1)</f>
        <v>0</v>
      </c>
      <c r="O78" s="226">
        <f>Décisions!R70*(O64+1)</f>
        <v>0</v>
      </c>
      <c r="P78" s="227">
        <f>Décisions!R86*(P64+1)</f>
        <v>0</v>
      </c>
      <c r="Q78" s="290"/>
      <c r="R78" s="290"/>
      <c r="S78" s="290"/>
      <c r="T78" s="290"/>
      <c r="U78" s="290"/>
      <c r="V78" s="290"/>
      <c r="W78" s="292" t="s">
        <v>11</v>
      </c>
      <c r="X78" s="293" t="s">
        <v>33</v>
      </c>
      <c r="Y78" s="225">
        <f>Décisions!AC54*(Y64+1)</f>
        <v>0</v>
      </c>
      <c r="Z78" s="226">
        <f>Décisions!AC70*(Z64+1)</f>
        <v>0</v>
      </c>
      <c r="AA78" s="227">
        <f>Décisions!AC86*(AA64+1)</f>
        <v>0</v>
      </c>
      <c r="AB78" s="290"/>
      <c r="AC78" s="290"/>
      <c r="AD78" s="290"/>
      <c r="AE78" s="290"/>
      <c r="AF78" s="290"/>
      <c r="AH78" s="292" t="s">
        <v>11</v>
      </c>
      <c r="AI78" s="293" t="s">
        <v>33</v>
      </c>
      <c r="AJ78" s="225">
        <f>Décisions!AN54*(AJ64+1)</f>
        <v>0</v>
      </c>
      <c r="AK78" s="226">
        <f>Décisions!AN70*(AK64+1)</f>
        <v>0</v>
      </c>
      <c r="AL78" s="227">
        <f>Décisions!AN86*(AL64+1)</f>
        <v>0</v>
      </c>
      <c r="AM78" s="290"/>
      <c r="AN78" s="290"/>
      <c r="AO78" s="290"/>
      <c r="AP78" s="290"/>
      <c r="AQ78" s="290"/>
      <c r="AS78" s="292" t="s">
        <v>11</v>
      </c>
      <c r="AT78" s="293" t="s">
        <v>33</v>
      </c>
      <c r="AU78" s="225">
        <f>Décisions!AY54*(AU64+1)</f>
        <v>0</v>
      </c>
      <c r="AV78" s="226">
        <f>Décisions!AY70*(AV64+1)</f>
        <v>0</v>
      </c>
      <c r="AW78" s="227">
        <f>Décisions!AY86*(AW64+1)</f>
        <v>2</v>
      </c>
      <c r="AX78" s="290"/>
    </row>
    <row r="79" spans="1:50" s="288" customFormat="1" ht="21" customHeight="1" x14ac:dyDescent="0.25">
      <c r="A79" s="296"/>
      <c r="B79" s="297" t="s">
        <v>34</v>
      </c>
      <c r="C79" s="231">
        <f>Décisions!G55*(C65+1)</f>
        <v>0</v>
      </c>
      <c r="D79" s="120">
        <f>Décisions!G71*(D65+1)</f>
        <v>0</v>
      </c>
      <c r="E79" s="232">
        <f>Décisions!G87*(E65+1)</f>
        <v>0</v>
      </c>
      <c r="F79" s="290"/>
      <c r="G79" s="290"/>
      <c r="H79" s="290"/>
      <c r="I79" s="290"/>
      <c r="J79" s="290"/>
      <c r="K79" s="290"/>
      <c r="L79" s="296"/>
      <c r="M79" s="297" t="s">
        <v>34</v>
      </c>
      <c r="N79" s="231">
        <f>Décisions!R55*(N65+1)</f>
        <v>0</v>
      </c>
      <c r="O79" s="120">
        <f>Décisions!R71*(O65+1)</f>
        <v>0</v>
      </c>
      <c r="P79" s="232">
        <f>Décisions!R87*(P65+1)</f>
        <v>0</v>
      </c>
      <c r="Q79" s="290"/>
      <c r="R79" s="290"/>
      <c r="S79" s="290"/>
      <c r="T79" s="290"/>
      <c r="U79" s="290"/>
      <c r="V79" s="290"/>
      <c r="W79" s="296"/>
      <c r="X79" s="297" t="s">
        <v>34</v>
      </c>
      <c r="Y79" s="231">
        <f>Décisions!AC55*(Y65+1)</f>
        <v>0</v>
      </c>
      <c r="Z79" s="120">
        <f>Décisions!AC71*(Z65+1)</f>
        <v>0</v>
      </c>
      <c r="AA79" s="232">
        <f>Décisions!AC87*(AA65+1)</f>
        <v>0</v>
      </c>
      <c r="AB79" s="290"/>
      <c r="AC79" s="290"/>
      <c r="AD79" s="290"/>
      <c r="AE79" s="290"/>
      <c r="AF79" s="290"/>
      <c r="AH79" s="296"/>
      <c r="AI79" s="297" t="s">
        <v>34</v>
      </c>
      <c r="AJ79" s="231">
        <f>Décisions!AN55*(AJ65+1)</f>
        <v>0</v>
      </c>
      <c r="AK79" s="120">
        <f>Décisions!AN71*(AK65+1)</f>
        <v>0</v>
      </c>
      <c r="AL79" s="232">
        <f>Décisions!AN87*(AL65+1)</f>
        <v>0</v>
      </c>
      <c r="AM79" s="290"/>
      <c r="AN79" s="290"/>
      <c r="AO79" s="290"/>
      <c r="AP79" s="290"/>
      <c r="AQ79" s="290"/>
      <c r="AS79" s="296"/>
      <c r="AT79" s="297" t="s">
        <v>34</v>
      </c>
      <c r="AU79" s="231">
        <f>Décisions!AY55*(AU65+1)</f>
        <v>2</v>
      </c>
      <c r="AV79" s="120">
        <f>Décisions!AY71*(AV65+1)</f>
        <v>0</v>
      </c>
      <c r="AW79" s="232">
        <f>Décisions!AY87*(AW65+1)</f>
        <v>0</v>
      </c>
      <c r="AX79" s="290"/>
    </row>
    <row r="80" spans="1:50" s="288" customFormat="1" ht="21" customHeight="1" thickBot="1" x14ac:dyDescent="0.3">
      <c r="A80" s="294"/>
      <c r="B80" s="295" t="s">
        <v>12</v>
      </c>
      <c r="C80" s="228">
        <f>Décisions!G56*(C66+1)</f>
        <v>0</v>
      </c>
      <c r="D80" s="229">
        <f>Décisions!G72*(D66+1)</f>
        <v>0</v>
      </c>
      <c r="E80" s="230">
        <f>Décisions!G88*(E66+1)</f>
        <v>0</v>
      </c>
      <c r="F80" s="290"/>
      <c r="G80" s="290"/>
      <c r="H80" s="290"/>
      <c r="I80" s="290"/>
      <c r="J80" s="290"/>
      <c r="K80" s="290"/>
      <c r="L80" s="294"/>
      <c r="M80" s="295" t="s">
        <v>12</v>
      </c>
      <c r="N80" s="228">
        <f>Décisions!R56*(N66+1)</f>
        <v>1</v>
      </c>
      <c r="O80" s="229">
        <f>Décisions!R72*(O66+1)</f>
        <v>0</v>
      </c>
      <c r="P80" s="230">
        <f>Décisions!R88*(P66+1)</f>
        <v>1</v>
      </c>
      <c r="Q80" s="290"/>
      <c r="R80" s="290"/>
      <c r="S80" s="290"/>
      <c r="T80" s="290"/>
      <c r="U80" s="290"/>
      <c r="V80" s="290"/>
      <c r="W80" s="294"/>
      <c r="X80" s="295" t="s">
        <v>12</v>
      </c>
      <c r="Y80" s="228">
        <f>Décisions!AC56*(Y66+1)</f>
        <v>0</v>
      </c>
      <c r="Z80" s="229">
        <f>Décisions!AC72*(Z66+1)</f>
        <v>1</v>
      </c>
      <c r="AA80" s="230">
        <f>Décisions!AC88*(AA66+1)</f>
        <v>0</v>
      </c>
      <c r="AB80" s="290"/>
      <c r="AC80" s="290"/>
      <c r="AD80" s="290"/>
      <c r="AE80" s="290"/>
      <c r="AF80" s="290"/>
      <c r="AH80" s="294"/>
      <c r="AI80" s="295" t="s">
        <v>12</v>
      </c>
      <c r="AJ80" s="228">
        <f>Décisions!AN56*(AJ66+1)</f>
        <v>0</v>
      </c>
      <c r="AK80" s="229">
        <f>Décisions!AN72*(AK66+1)</f>
        <v>0</v>
      </c>
      <c r="AL80" s="230">
        <f>Décisions!AN88*(AL66+1)</f>
        <v>2</v>
      </c>
      <c r="AM80" s="290"/>
      <c r="AN80" s="290"/>
      <c r="AO80" s="290"/>
      <c r="AP80" s="290"/>
      <c r="AQ80" s="290"/>
      <c r="AS80" s="294"/>
      <c r="AT80" s="295" t="s">
        <v>12</v>
      </c>
      <c r="AU80" s="228">
        <f>Décisions!AY56*(AU66+1)</f>
        <v>0</v>
      </c>
      <c r="AV80" s="229">
        <f>Décisions!AY72*(AV66+1)</f>
        <v>2</v>
      </c>
      <c r="AW80" s="230">
        <f>Décisions!AY88*(AW66+1)</f>
        <v>0</v>
      </c>
      <c r="AX80" s="290"/>
    </row>
    <row r="81" spans="1:50" ht="21" customHeight="1" x14ac:dyDescent="0.25">
      <c r="B81" s="1"/>
      <c r="C81" s="52"/>
      <c r="D81" s="52"/>
      <c r="E81" s="52"/>
      <c r="F81" s="58"/>
      <c r="G81" s="58"/>
      <c r="H81" s="58"/>
      <c r="I81" s="58"/>
      <c r="J81" s="58"/>
      <c r="K81" s="58"/>
      <c r="M81" s="1"/>
      <c r="N81" s="52"/>
      <c r="O81" s="52"/>
      <c r="P81" s="52"/>
      <c r="Q81" s="58"/>
      <c r="R81" s="58"/>
      <c r="S81" s="58"/>
      <c r="T81" s="58"/>
      <c r="U81" s="58"/>
      <c r="V81" s="58"/>
      <c r="X81" s="1"/>
      <c r="Y81" s="52"/>
      <c r="Z81" s="52"/>
      <c r="AA81" s="52"/>
      <c r="AB81" s="58"/>
      <c r="AC81" s="58"/>
      <c r="AD81" s="58"/>
      <c r="AE81" s="58"/>
      <c r="AF81" s="58"/>
      <c r="AI81" s="1"/>
      <c r="AJ81" s="52"/>
      <c r="AK81" s="52"/>
      <c r="AL81" s="52"/>
      <c r="AM81" s="58"/>
      <c r="AN81" s="58"/>
      <c r="AO81" s="58"/>
      <c r="AP81" s="58"/>
      <c r="AQ81" s="58"/>
      <c r="AT81" s="1"/>
      <c r="AU81" s="52"/>
      <c r="AV81" s="52"/>
      <c r="AW81" s="52"/>
      <c r="AX81" s="58"/>
    </row>
    <row r="82" spans="1:50" ht="21" customHeight="1" x14ac:dyDescent="0.25">
      <c r="B82" s="36" t="s">
        <v>23</v>
      </c>
      <c r="C82" s="223" t="str">
        <f>C70</f>
        <v>junior</v>
      </c>
      <c r="D82" s="223" t="str">
        <f>D70</f>
        <v>senior</v>
      </c>
      <c r="E82" s="223" t="str">
        <f>E70</f>
        <v>premium</v>
      </c>
      <c r="M82" s="36" t="s">
        <v>23</v>
      </c>
      <c r="N82" s="223" t="str">
        <f>N70</f>
        <v>junior</v>
      </c>
      <c r="O82" s="223" t="str">
        <f>O70</f>
        <v>senior</v>
      </c>
      <c r="P82" s="223" t="str">
        <f>P70</f>
        <v>premium</v>
      </c>
      <c r="X82" s="36" t="s">
        <v>23</v>
      </c>
      <c r="Y82" s="286" t="str">
        <f>Y70</f>
        <v>junior</v>
      </c>
      <c r="Z82" s="286" t="str">
        <f>Z70</f>
        <v>senior</v>
      </c>
      <c r="AA82" s="286" t="str">
        <f>AA70</f>
        <v>premium</v>
      </c>
      <c r="AI82" s="36" t="s">
        <v>23</v>
      </c>
      <c r="AJ82" s="286" t="str">
        <f>AJ70</f>
        <v>junior</v>
      </c>
      <c r="AK82" s="286" t="str">
        <f>AK70</f>
        <v>senior</v>
      </c>
      <c r="AL82" s="286" t="str">
        <f>AL70</f>
        <v>premium</v>
      </c>
      <c r="AT82" s="36" t="s">
        <v>23</v>
      </c>
      <c r="AU82" s="287" t="str">
        <f>AU70</f>
        <v>junior</v>
      </c>
      <c r="AV82" s="287" t="str">
        <f>AV70</f>
        <v>senior</v>
      </c>
      <c r="AW82" s="287" t="str">
        <f>AW70</f>
        <v>premium</v>
      </c>
    </row>
    <row r="83" spans="1:50" ht="21" customHeight="1" x14ac:dyDescent="0.25">
      <c r="B83" s="1" t="s">
        <v>24</v>
      </c>
      <c r="C83" s="14">
        <f>COUNTIF(C$71:C$80,"=1")</f>
        <v>1</v>
      </c>
      <c r="D83" s="14">
        <f>COUNTIF(D$71:D$80,"=1")</f>
        <v>0</v>
      </c>
      <c r="E83" s="14">
        <f>COUNTIF(E$71:E$80,"=1")</f>
        <v>0</v>
      </c>
      <c r="M83" s="1" t="s">
        <v>24</v>
      </c>
      <c r="N83" s="14">
        <f>COUNTIF(N$71:N$80,"=1")</f>
        <v>2</v>
      </c>
      <c r="O83" s="14">
        <f>COUNTIF(O$71:O$80,"=1")</f>
        <v>0</v>
      </c>
      <c r="P83" s="14">
        <f>COUNTIF(P$71:P$80,"=1")</f>
        <v>2</v>
      </c>
      <c r="X83" s="1" t="s">
        <v>24</v>
      </c>
      <c r="Y83" s="14">
        <f>COUNTIF(Y$71:Y$80,"=1")</f>
        <v>2</v>
      </c>
      <c r="Z83" s="14">
        <f>COUNTIF(Z$71:Z$80,"=1")</f>
        <v>1</v>
      </c>
      <c r="AA83" s="14">
        <f>COUNTIF(AA$71:AA$80,"=1")</f>
        <v>0</v>
      </c>
      <c r="AI83" s="1" t="s">
        <v>24</v>
      </c>
      <c r="AJ83" s="14">
        <f>COUNTIF(AJ$71:AJ$80,"=1")</f>
        <v>1</v>
      </c>
      <c r="AK83" s="14">
        <f>COUNTIF(AK$71:AK$80,"=1")</f>
        <v>0</v>
      </c>
      <c r="AL83" s="14">
        <f>COUNTIF(AL$71:AL$80,"=1")</f>
        <v>0</v>
      </c>
      <c r="AT83" s="1" t="s">
        <v>24</v>
      </c>
      <c r="AU83" s="14">
        <f>COUNTIF(AU$71:AU$80,"=1")</f>
        <v>0</v>
      </c>
      <c r="AV83" s="14">
        <f>COUNTIF(AV$71:AV$80,"=1")</f>
        <v>0</v>
      </c>
      <c r="AW83" s="14">
        <f>COUNTIF(AW$71:AW$80,"=1")</f>
        <v>0</v>
      </c>
    </row>
    <row r="84" spans="1:50" ht="21" customHeight="1" x14ac:dyDescent="0.25">
      <c r="B84" s="1" t="s">
        <v>25</v>
      </c>
      <c r="C84" s="14">
        <f>COUNTIF(C$71:C$80,"=2")</f>
        <v>0</v>
      </c>
      <c r="D84" s="14">
        <f>COUNTIF(D$71:D$80,"=2")</f>
        <v>2</v>
      </c>
      <c r="E84" s="14">
        <f>COUNTIF(E$71:E$80,"=2")</f>
        <v>2</v>
      </c>
      <c r="M84" s="1" t="s">
        <v>25</v>
      </c>
      <c r="N84" s="14">
        <f>COUNTIF(N$71:N$80,"=2")</f>
        <v>0</v>
      </c>
      <c r="O84" s="14">
        <f>COUNTIF(O$71:O$80,"=2")</f>
        <v>2</v>
      </c>
      <c r="P84" s="14">
        <f>COUNTIF(P$71:P$80,"=2")</f>
        <v>0</v>
      </c>
      <c r="X84" s="1" t="s">
        <v>25</v>
      </c>
      <c r="Y84" s="14">
        <f>COUNTIF(Y$71:Y$80,"=2")</f>
        <v>0</v>
      </c>
      <c r="Z84" s="14">
        <f>COUNTIF(Z$71:Z$80,"=2")</f>
        <v>1</v>
      </c>
      <c r="AA84" s="14">
        <f>COUNTIF(AA$71:AA$80,"=2")</f>
        <v>1</v>
      </c>
      <c r="AI84" s="1" t="s">
        <v>25</v>
      </c>
      <c r="AJ84" s="14">
        <f>COUNTIF(AJ$71:AJ$80,"=2")</f>
        <v>1</v>
      </c>
      <c r="AK84" s="14">
        <f>COUNTIF(AK$71:AK$80,"=2")</f>
        <v>1</v>
      </c>
      <c r="AL84" s="14">
        <f>COUNTIF(AL$71:AL$80,"=2")</f>
        <v>2</v>
      </c>
      <c r="AR84" s="1"/>
      <c r="AT84" s="1" t="s">
        <v>25</v>
      </c>
      <c r="AU84" s="14">
        <f>COUNTIF(AU$71:AU$80,"=2")</f>
        <v>2</v>
      </c>
      <c r="AV84" s="14">
        <f>COUNTIF(AV$71:AV$80,"=2")</f>
        <v>1</v>
      </c>
      <c r="AW84" s="14">
        <f>COUNTIF(AW$71:AW$80,"=2")</f>
        <v>2</v>
      </c>
    </row>
    <row r="85" spans="1:50" ht="21" customHeight="1" x14ac:dyDescent="0.25">
      <c r="B85" s="1" t="s">
        <v>26</v>
      </c>
      <c r="C85" s="14">
        <f>COUNTIF(C$71:C$80,"=3")</f>
        <v>0</v>
      </c>
      <c r="D85" s="14">
        <f>COUNTIF(D$71:D$80,"=3")</f>
        <v>0</v>
      </c>
      <c r="E85" s="14">
        <f>COUNTIF(E$71:E$80,"=3")</f>
        <v>0</v>
      </c>
      <c r="M85" s="1" t="s">
        <v>26</v>
      </c>
      <c r="N85" s="14">
        <f>COUNTIF(N$71:N$80,"=3")</f>
        <v>0</v>
      </c>
      <c r="O85" s="14">
        <f>COUNTIF(O$71:O$80,"=3")</f>
        <v>0</v>
      </c>
      <c r="P85" s="14">
        <f>COUNTIF(P$71:P$80,"=3")</f>
        <v>0</v>
      </c>
      <c r="X85" s="1" t="s">
        <v>26</v>
      </c>
      <c r="Y85" s="14">
        <f>COUNTIF(Y$71:Y$80,"=3")</f>
        <v>0</v>
      </c>
      <c r="Z85" s="14">
        <f>COUNTIF(Z$71:Z$80,"=3")</f>
        <v>0</v>
      </c>
      <c r="AA85" s="14">
        <f>COUNTIF(AA$71:AA$80,"=3")</f>
        <v>1</v>
      </c>
      <c r="AI85" s="1" t="s">
        <v>26</v>
      </c>
      <c r="AJ85" s="14">
        <f>COUNTIF(AJ$71:AJ$80,"=3")</f>
        <v>0</v>
      </c>
      <c r="AK85" s="14">
        <f>COUNTIF(AK$71:AK$80,"=3")</f>
        <v>1</v>
      </c>
      <c r="AL85" s="14">
        <f>COUNTIF(AL$71:AL$80,"=3")</f>
        <v>0</v>
      </c>
      <c r="AR85" s="24"/>
      <c r="AT85" s="1" t="s">
        <v>26</v>
      </c>
      <c r="AU85" s="14">
        <f>COUNTIF(AU$71:AU$80,"=3")</f>
        <v>0</v>
      </c>
      <c r="AV85" s="14">
        <f>COUNTIF(AV$71:AV$80,"=3")</f>
        <v>1</v>
      </c>
      <c r="AW85" s="14">
        <f>COUNTIF(AW$71:AW$80,"=3")</f>
        <v>0</v>
      </c>
    </row>
    <row r="86" spans="1:50" ht="21" customHeight="1" x14ac:dyDescent="0.25">
      <c r="AR86" s="24"/>
    </row>
    <row r="87" spans="1:50" ht="21" customHeight="1" x14ac:dyDescent="0.25">
      <c r="A87" s="749"/>
      <c r="B87" s="36" t="s">
        <v>233</v>
      </c>
      <c r="D87" s="749"/>
      <c r="E87" s="36" t="s">
        <v>185</v>
      </c>
      <c r="M87" s="36" t="s">
        <v>233</v>
      </c>
      <c r="P87" s="36" t="s">
        <v>185</v>
      </c>
      <c r="X87" s="36" t="s">
        <v>233</v>
      </c>
      <c r="AA87" s="36" t="s">
        <v>185</v>
      </c>
      <c r="AI87" s="36" t="s">
        <v>233</v>
      </c>
      <c r="AL87" s="36" t="s">
        <v>185</v>
      </c>
      <c r="AR87" s="24"/>
      <c r="AT87" s="36" t="s">
        <v>233</v>
      </c>
      <c r="AW87" s="36" t="s">
        <v>185</v>
      </c>
    </row>
    <row r="88" spans="1:50" ht="21" customHeight="1" x14ac:dyDescent="0.25">
      <c r="B88" s="31" t="s">
        <v>226</v>
      </c>
      <c r="C88" s="111">
        <f>'Historique T=0'!C22</f>
        <v>100</v>
      </c>
      <c r="D88" s="24"/>
      <c r="E88" s="31" t="s">
        <v>241</v>
      </c>
      <c r="F88" s="706">
        <f>Constantes!$C$63</f>
        <v>15</v>
      </c>
      <c r="M88" s="1" t="s">
        <v>226</v>
      </c>
      <c r="N88" s="111">
        <f ca="1">C100</f>
        <v>93.085762610773244</v>
      </c>
      <c r="O88" s="24"/>
      <c r="P88" s="31" t="s">
        <v>241</v>
      </c>
      <c r="Q88" s="111">
        <f>Constantes!$C$63</f>
        <v>15</v>
      </c>
      <c r="R88" s="109"/>
      <c r="S88" s="109"/>
      <c r="T88" s="109"/>
      <c r="U88" s="109"/>
      <c r="X88" s="1" t="s">
        <v>226</v>
      </c>
      <c r="Y88" s="111">
        <f ca="1">N100</f>
        <v>89.864762739668279</v>
      </c>
      <c r="Z88" s="24"/>
      <c r="AA88" s="31" t="s">
        <v>241</v>
      </c>
      <c r="AB88" s="111">
        <f>Constantes!$C$63</f>
        <v>15</v>
      </c>
      <c r="AC88" s="109"/>
      <c r="AD88" s="109"/>
      <c r="AE88" s="109"/>
      <c r="AF88" s="109"/>
      <c r="AI88" s="1" t="s">
        <v>226</v>
      </c>
      <c r="AJ88" s="111">
        <f ca="1">Y100</f>
        <v>96.896429594089568</v>
      </c>
      <c r="AK88" s="24"/>
      <c r="AL88" s="31" t="s">
        <v>241</v>
      </c>
      <c r="AM88" s="111">
        <f>Constantes!$C$63</f>
        <v>15</v>
      </c>
      <c r="AN88" s="109"/>
      <c r="AO88" s="109"/>
      <c r="AP88" s="109"/>
      <c r="AQ88" s="109"/>
      <c r="AR88" s="24"/>
      <c r="AT88" s="1" t="s">
        <v>226</v>
      </c>
      <c r="AU88" s="111">
        <f ca="1">AJ100</f>
        <v>108.9114297870596</v>
      </c>
      <c r="AV88" s="24"/>
      <c r="AW88" s="31" t="s">
        <v>241</v>
      </c>
      <c r="AX88" s="111">
        <f>Constantes!$C$63</f>
        <v>15</v>
      </c>
    </row>
    <row r="89" spans="1:50" ht="21" customHeight="1" x14ac:dyDescent="0.25">
      <c r="B89" s="31" t="s">
        <v>234</v>
      </c>
      <c r="C89" s="122">
        <f>Constantes!$C$85</f>
        <v>-5</v>
      </c>
      <c r="D89" s="1"/>
      <c r="E89" s="31" t="s">
        <v>235</v>
      </c>
      <c r="F89" s="115">
        <f ca="1">OFFSET(Constantes!$C$66,Décisions!I4-1,0)</f>
        <v>2</v>
      </c>
      <c r="M89" s="1" t="s">
        <v>234</v>
      </c>
      <c r="N89" s="122">
        <f>Constantes!$C$85</f>
        <v>-5</v>
      </c>
      <c r="O89" s="1"/>
      <c r="P89" s="31" t="s">
        <v>235</v>
      </c>
      <c r="Q89" s="115">
        <f ca="1">OFFSET(Constantes!$C$66,Décisions!T4-1,0)</f>
        <v>2</v>
      </c>
      <c r="R89" s="317"/>
      <c r="S89" s="317"/>
      <c r="T89" s="317"/>
      <c r="U89" s="317"/>
      <c r="X89" s="1" t="s">
        <v>234</v>
      </c>
      <c r="Y89" s="122">
        <f>Constantes!$C$85</f>
        <v>-5</v>
      </c>
      <c r="Z89" s="1"/>
      <c r="AA89" s="31" t="s">
        <v>235</v>
      </c>
      <c r="AB89" s="115">
        <f ca="1">OFFSET(Constantes!$C$66,Décisions!AE4-1,0)</f>
        <v>0</v>
      </c>
      <c r="AC89" s="317"/>
      <c r="AD89" s="317"/>
      <c r="AE89" s="317"/>
      <c r="AF89" s="317"/>
      <c r="AI89" s="1" t="s">
        <v>234</v>
      </c>
      <c r="AJ89" s="122">
        <f>Constantes!$C$85</f>
        <v>-5</v>
      </c>
      <c r="AK89" s="1"/>
      <c r="AL89" s="31" t="s">
        <v>235</v>
      </c>
      <c r="AM89" s="115">
        <f ca="1">OFFSET(Constantes!$C$66,Décisions!AP4-1,0)</f>
        <v>0</v>
      </c>
      <c r="AN89" s="317"/>
      <c r="AO89" s="317"/>
      <c r="AP89" s="317"/>
      <c r="AQ89" s="317"/>
      <c r="AR89" s="24"/>
      <c r="AT89" s="1" t="s">
        <v>234</v>
      </c>
      <c r="AU89" s="122">
        <f>Constantes!$C$85</f>
        <v>-5</v>
      </c>
      <c r="AV89" s="1"/>
      <c r="AW89" s="31" t="s">
        <v>235</v>
      </c>
      <c r="AX89" s="115">
        <f ca="1">OFFSET(Constantes!$C$66,Décisions!BA4-1,0)</f>
        <v>0</v>
      </c>
    </row>
    <row r="90" spans="1:50" ht="21" customHeight="1" x14ac:dyDescent="0.25">
      <c r="B90" s="31" t="s">
        <v>235</v>
      </c>
      <c r="C90" s="63">
        <f ca="1">OFFSET(Constantes!$C$88,Décisions!I4-1,0)</f>
        <v>-1</v>
      </c>
      <c r="D90" s="31" t="s">
        <v>229</v>
      </c>
      <c r="E90" s="31" t="str">
        <f>B91</f>
        <v>junior</v>
      </c>
      <c r="F90" s="330">
        <f>IF(Décisions!D39&lt;=Constantes!$C$139,Constantes!$C$145,IF(Décisions!D39&lt;Constantes!$C$140,_xlfn.FORECAST.LINEAR(Décisions!D39,Constantes!$C$145:$C$146,Constantes!$C$139:$C$140),IF(Décisions!D39&lt;Constantes!$C$141,_xlfn.FORECAST.LINEAR(Décisions!D39,Constantes!$C$146:$C$147,Constantes!$C$140:$C$141),Constantes!$C$147)))</f>
        <v>0</v>
      </c>
      <c r="M90" s="1" t="s">
        <v>235</v>
      </c>
      <c r="N90" s="63">
        <f ca="1">OFFSET(Constantes!$C$88,Décisions!T4-1,0)</f>
        <v>-1</v>
      </c>
      <c r="O90" s="754" t="s">
        <v>229</v>
      </c>
      <c r="P90" s="31" t="str">
        <f>M91</f>
        <v>junior</v>
      </c>
      <c r="Q90" s="330">
        <f>IF(Décisions!O39&lt;=Constantes!$C$139,Constantes!$C$145,IF(Décisions!O39&lt;Constantes!$C$140,_xlfn.FORECAST.LINEAR(Décisions!O39,Constantes!$C$145:$C$146,Constantes!$C$139:$C$140),IF(Décisions!O39&lt;Constantes!$C$141,_xlfn.FORECAST.LINEAR(Décisions!O39,Constantes!$C$146:$C$147,Constantes!$C$140:$C$141),Constantes!$C$147)))</f>
        <v>0</v>
      </c>
      <c r="R90" s="132"/>
      <c r="S90" s="132"/>
      <c r="T90" s="132"/>
      <c r="U90" s="132"/>
      <c r="X90" s="1" t="s">
        <v>235</v>
      </c>
      <c r="Y90" s="63">
        <f ca="1">OFFSET(Constantes!$C$88,Décisions!AE4-1,0)</f>
        <v>3</v>
      </c>
      <c r="Z90" s="31" t="s">
        <v>229</v>
      </c>
      <c r="AA90" s="31" t="str">
        <f>X91</f>
        <v>junior</v>
      </c>
      <c r="AB90" s="330">
        <f>IF(Décisions!Z39&lt;=Constantes!$C$139,Constantes!$C$145,IF(Décisions!Z39&lt;Constantes!$C$140,_xlfn.FORECAST.LINEAR(Décisions!Z39,Constantes!$C$145:$C$146,Constantes!$C$139:$C$140),IF(Décisions!Z39&lt;Constantes!$C$141,_xlfn.FORECAST.LINEAR(Décisions!Z39,Constantes!$C$146:$C$147,Constantes!$C$140:$C$141),Constantes!$C$147)))</f>
        <v>0.5</v>
      </c>
      <c r="AC90" s="132"/>
      <c r="AD90" s="132"/>
      <c r="AE90" s="132"/>
      <c r="AF90" s="132"/>
      <c r="AI90" s="1" t="s">
        <v>235</v>
      </c>
      <c r="AJ90" s="63">
        <f ca="1">OFFSET(Constantes!$C$88,Décisions!AP4-1,0)</f>
        <v>3</v>
      </c>
      <c r="AK90" s="31" t="s">
        <v>229</v>
      </c>
      <c r="AL90" s="31" t="str">
        <f>AI91</f>
        <v>junior</v>
      </c>
      <c r="AM90" s="330">
        <f>IF(Décisions!AK39&lt;=Constantes!$C$139,Constantes!$C$145,IF(Décisions!AK39&lt;Constantes!$C$140,_xlfn.FORECAST.LINEAR(Décisions!AK39,Constantes!$C$145:$C$146,Constantes!$C$139:$C$140),IF(Décisions!AK39&lt;Constantes!$C$141,_xlfn.FORECAST.LINEAR(Décisions!AK39,Constantes!$C$146:$C$147,Constantes!$C$140:$C$141),Constantes!$C$147)))</f>
        <v>0.25</v>
      </c>
      <c r="AN90" s="132"/>
      <c r="AO90" s="132"/>
      <c r="AP90" s="132"/>
      <c r="AQ90" s="132"/>
      <c r="AR90" s="24"/>
      <c r="AT90" s="1" t="s">
        <v>235</v>
      </c>
      <c r="AU90" s="63">
        <f ca="1">OFFSET(Constantes!$C$88,Décisions!BA4-1,0)</f>
        <v>3</v>
      </c>
      <c r="AV90" s="31" t="s">
        <v>229</v>
      </c>
      <c r="AW90" s="31" t="str">
        <f>AT91</f>
        <v>junior</v>
      </c>
      <c r="AX90" s="330">
        <f>IF(Décisions!AV39&lt;=Constantes!$C$139,Constantes!$C$145,IF(Décisions!AV39&lt;Constantes!$C$140,_xlfn.FORECAST.LINEAR(Décisions!AV39,Constantes!$C$145:$C$146,Constantes!$C$139:$C$140),IF(Décisions!AV39&lt;Constantes!$C$141,_xlfn.FORECAST.LINEAR(Décisions!AV39,Constantes!$C$146:$C$147,Constantes!$C$140:$C$141),Constantes!$C$147)))</f>
        <v>0.75000000000000044</v>
      </c>
    </row>
    <row r="91" spans="1:50" ht="21" customHeight="1" x14ac:dyDescent="0.25">
      <c r="A91" s="786" t="s">
        <v>236</v>
      </c>
      <c r="B91" s="1" t="str">
        <f>Constantes!C4</f>
        <v>junior</v>
      </c>
      <c r="C91" s="330">
        <f>IF(C173&lt;=Constantes!$F$85,Constantes!$F$89,IF(C173&lt;Constantes!$F$86,_xlfn.FORECAST.LINEAR(C173,Constantes!$F$89:$F$90,Constantes!$F$85:$F$86),IF(C173&lt;Constantes!$F$87,_xlfn.FORECAST.LINEAR(C173,Constantes!$F$90:$F$91,Constantes!$F$86:$F$87),Constantes!$F$91)))</f>
        <v>1.9262333065271369</v>
      </c>
      <c r="E91" s="31" t="str">
        <f>B92</f>
        <v>senior</v>
      </c>
      <c r="F91" s="330">
        <f>IF(Décisions!E39&lt;=Constantes!$D$139,Constantes!$D$145,IF(Décisions!E39&lt;Constantes!$D$140,_xlfn.FORECAST.LINEAR(Décisions!E39,Constantes!$D$145:$D$146,Constantes!$D$139:$D$140),IF(Décisions!E39&lt;Constantes!$D$141,_xlfn.FORECAST.LINEAR(Décisions!E39,Constantes!$D$146:$D$147,Constantes!$D$140:$D$141),Constantes!$D$147)))</f>
        <v>0.33000000000000052</v>
      </c>
      <c r="L91" s="820" t="s">
        <v>236</v>
      </c>
      <c r="M91" s="1" t="str">
        <f>B91</f>
        <v>junior</v>
      </c>
      <c r="N91" s="330">
        <f>IF(N173&lt;=Constantes!$F$85,Constantes!$F$89,IF(N173&lt;Constantes!$F$86,_xlfn.FORECAST.LINEAR(N173,Constantes!$F$89:$F$90,Constantes!$F$85:$F$86),IF(N173&lt;Constantes!$F$87,_xlfn.FORECAST.LINEAR(N173,Constantes!$F$90:$F$91,Constantes!$F$86:$F$87),Constantes!$F$91)))</f>
        <v>7.4505805081059862E-8</v>
      </c>
      <c r="O91" s="288"/>
      <c r="P91" s="31" t="str">
        <f>M92</f>
        <v>senior</v>
      </c>
      <c r="Q91" s="330">
        <f>IF(Décisions!P39&lt;=Constantes!$D$139,Constantes!$D$145,IF(Décisions!P39&lt;Constantes!$D$140,_xlfn.FORECAST.LINEAR(Décisions!P39,Constantes!$D$145:$D$146,Constantes!$D$139:$D$140),IF(Décisions!P39&lt;Constantes!$D$141,_xlfn.FORECAST.LINEAR(Décisions!P39,Constantes!$D$146:$D$147,Constantes!$D$140:$D$141),Constantes!$D$147)))</f>
        <v>0</v>
      </c>
      <c r="R91" s="132"/>
      <c r="S91" s="132"/>
      <c r="T91" s="132"/>
      <c r="U91" s="132"/>
      <c r="W91" s="786" t="s">
        <v>236</v>
      </c>
      <c r="X91" s="1" t="str">
        <f>M91</f>
        <v>junior</v>
      </c>
      <c r="Y91" s="330">
        <f>IF(Y173&lt;=Constantes!$F$85,Constantes!$F$89,IF(Y173&lt;Constantes!$F$86,_xlfn.FORECAST.LINEAR(Y173,Constantes!$F$89:$F$90,Constantes!$F$85:$F$86),IF(Y173&lt;Constantes!$F$87,_xlfn.FORECAST.LINEAR(Y173,Constantes!$F$90:$F$91,Constantes!$F$86:$F$87),Constantes!$F$91)))</f>
        <v>0.80000011622905642</v>
      </c>
      <c r="AA91" s="31" t="str">
        <f>X92</f>
        <v>senior</v>
      </c>
      <c r="AB91" s="330">
        <f>IF(Décisions!AA39&lt;=Constantes!$D$139,Constantes!$D$145,IF(Décisions!AA39&lt;Constantes!$D$140,_xlfn.FORECAST.LINEAR(Décisions!AA39,Constantes!$D$145:$D$146,Constantes!$D$139:$D$140),IF(Décisions!AA39&lt;Constantes!$D$141,_xlfn.FORECAST.LINEAR(Décisions!AA39,Constantes!$D$146:$D$147,Constantes!$D$140:$D$141),Constantes!$D$147)))</f>
        <v>0</v>
      </c>
      <c r="AC91" s="132"/>
      <c r="AD91" s="132"/>
      <c r="AE91" s="132"/>
      <c r="AF91" s="132"/>
      <c r="AH91" s="786" t="s">
        <v>236</v>
      </c>
      <c r="AI91" s="1" t="str">
        <f>X91</f>
        <v>junior</v>
      </c>
      <c r="AJ91" s="330">
        <f>IF(AJ173&lt;=Constantes!$F$85,Constantes!$F$89,IF(AJ173&lt;Constantes!$F$86,_xlfn.FORECAST.LINEAR(AJ173,Constantes!$F$89:$F$90,Constantes!$F$85:$F$86),IF(AJ173&lt;Constantes!$F$87,_xlfn.FORECAST.LINEAR(AJ173,Constantes!$F$90:$F$91,Constantes!$F$86:$F$87),Constantes!$F$91)))</f>
        <v>1.2000000998377791</v>
      </c>
      <c r="AL91" s="31" t="str">
        <f>AI92</f>
        <v>senior</v>
      </c>
      <c r="AM91" s="330">
        <f>IF(Décisions!AL39&lt;=Constantes!$D$139,Constantes!$D$145,IF(Décisions!AL39&lt;Constantes!$D$140,_xlfn.FORECAST.LINEAR(Décisions!AL39,Constantes!$D$145:$D$146,Constantes!$D$139:$D$140),IF(Décisions!AL39&lt;Constantes!$D$141,_xlfn.FORECAST.LINEAR(Décisions!AL39,Constantes!$D$146:$D$147,Constantes!$D$140:$D$141),Constantes!$D$147)))</f>
        <v>0.5</v>
      </c>
      <c r="AN91" s="132"/>
      <c r="AO91" s="132"/>
      <c r="AP91" s="132"/>
      <c r="AQ91" s="132"/>
      <c r="AR91" s="24"/>
      <c r="AS91" s="786" t="s">
        <v>236</v>
      </c>
      <c r="AT91" s="1" t="str">
        <f>AI91</f>
        <v>junior</v>
      </c>
      <c r="AU91" s="330">
        <f>IF(AU173&lt;=Constantes!$F$85,Constantes!$F$89,IF(AU173&lt;Constantes!$F$86,_xlfn.FORECAST.LINEAR(AU173,Constantes!$F$89:$F$90,Constantes!$F$85:$F$86),IF(AU173&lt;Constantes!$F$87,_xlfn.FORECAST.LINEAR(AU173,Constantes!$F$90:$F$91,Constantes!$F$86:$F$87),Constantes!$F$91)))</f>
        <v>1.9000000879168502</v>
      </c>
      <c r="AW91" s="31" t="str">
        <f>AT92</f>
        <v>senior</v>
      </c>
      <c r="AX91" s="330">
        <f>IF(Décisions!AW39&lt;=Constantes!$D$139,Constantes!$D$145,IF(Décisions!AW39&lt;Constantes!$D$140,_xlfn.FORECAST.LINEAR(Décisions!AW39,Constantes!$D$145:$D$146,Constantes!$D$139:$D$140),IF(Décisions!AW39&lt;Constantes!$D$141,_xlfn.FORECAST.LINEAR(Décisions!AW39,Constantes!$D$146:$D$147,Constantes!$D$140:$D$141),Constantes!$D$147)))</f>
        <v>0.5</v>
      </c>
    </row>
    <row r="92" spans="1:50" ht="21" customHeight="1" x14ac:dyDescent="0.25">
      <c r="A92" s="786"/>
      <c r="B92" s="1" t="str">
        <f>Constantes!C5</f>
        <v>senior</v>
      </c>
      <c r="C92" s="330">
        <f>IF(D173&lt;=Constantes!$G$85,Constantes!$G$89,IF(D173&lt;Constantes!$G$86,_xlfn.FORECAST.LINEAR(D173,Constantes!$G$89:$G$90,Constantes!$G$85:$G$86),IF(D173&lt;Constantes!$G$87,_xlfn.FORECAST.LINEAR(D173,Constantes!$G$90:$G$91,Constantes!$G$86:$G$87),Constantes!$G$91)))</f>
        <v>1.5238626375794406</v>
      </c>
      <c r="E92" s="31" t="str">
        <f>B93</f>
        <v>premium</v>
      </c>
      <c r="F92" s="330">
        <f>IF(Décisions!F39&lt;=Constantes!$E$139,Constantes!$E$145,IF(Décisions!F39&lt;Constantes!$E$140,_xlfn.FORECAST.LINEAR(Décisions!F39,Constantes!$E$145:$E$146,Constantes!$E$139:$E$140),IF(Décisions!F39&lt;Constantes!$E$141,_xlfn.FORECAST.LINEAR(Décisions!F39,Constantes!$E$146:$E$147,Constantes!$E$140:$E$141),Constantes!$E$147)))</f>
        <v>3.660000000000001</v>
      </c>
      <c r="L92" s="820"/>
      <c r="M92" s="1" t="str">
        <f>B92</f>
        <v>senior</v>
      </c>
      <c r="N92" s="330">
        <f>IF(O173&lt;=Constantes!$G$85,Constantes!$G$89,IF(O173&lt;Constantes!$G$86,_xlfn.FORECAST.LINEAR(O173,Constantes!$G$89:$G$90,Constantes!$G$85:$G$86),IF(O173&lt;Constantes!$G$87,_xlfn.FORECAST.LINEAR(O173,Constantes!$G$90:$G$91,Constantes!$G$86:$G$87),Constantes!$G$91)))</f>
        <v>0.90000005438923747</v>
      </c>
      <c r="O92" s="288"/>
      <c r="P92" s="31" t="str">
        <f>M93</f>
        <v>premium</v>
      </c>
      <c r="Q92" s="330">
        <f>IF(Décisions!Q39&lt;=Constantes!$E$139,Constantes!$E$145,IF(Décisions!Q39&lt;Constantes!$E$140,_xlfn.FORECAST.LINEAR(Décisions!Q39,Constantes!$E$145:$E$146,Constantes!$E$139:$E$140),IF(Décisions!Q39&lt;Constantes!$E$141,_xlfn.FORECAST.LINEAR(Décisions!Q39,Constantes!$E$146:$E$147,Constantes!$E$140:$E$141),Constantes!$E$147)))</f>
        <v>3</v>
      </c>
      <c r="R92" s="132"/>
      <c r="S92" s="132"/>
      <c r="T92" s="132"/>
      <c r="U92" s="132"/>
      <c r="W92" s="786"/>
      <c r="X92" s="1" t="str">
        <f>M92</f>
        <v>senior</v>
      </c>
      <c r="Y92" s="330">
        <f>IF(Z173&lt;=Constantes!$G$85,Constantes!$G$89,IF(Z173&lt;Constantes!$G$86,_xlfn.FORECAST.LINEAR(Z173,Constantes!$G$89:$G$90,Constantes!$G$85:$G$86),IF(Z173&lt;Constantes!$G$87,_xlfn.FORECAST.LINEAR(Z173,Constantes!$G$90:$G$91,Constantes!$G$86:$G$87),Constantes!$G$91)))</f>
        <v>1.3000000715255728</v>
      </c>
      <c r="AA92" s="31" t="str">
        <f>X93</f>
        <v>premium</v>
      </c>
      <c r="AB92" s="330">
        <f>IF(Décisions!AB39&lt;=Constantes!$E$139,Constantes!$E$145,IF(Décisions!AB39&lt;Constantes!$E$140,_xlfn.FORECAST.LINEAR(Décisions!AB39,Constantes!$E$145:$E$146,Constantes!$E$139:$E$140),IF(Décisions!AB39&lt;Constantes!$E$141,_xlfn.FORECAST.LINEAR(Décisions!AB39,Constantes!$E$146:$E$147,Constantes!$E$140:$E$141),Constantes!$E$147)))</f>
        <v>1</v>
      </c>
      <c r="AC92" s="132"/>
      <c r="AD92" s="132"/>
      <c r="AE92" s="132"/>
      <c r="AF92" s="132"/>
      <c r="AH92" s="786"/>
      <c r="AI92" s="1" t="str">
        <f>X92</f>
        <v>senior</v>
      </c>
      <c r="AJ92" s="330">
        <f>IF(AK173&lt;=Constantes!$G$85,Constantes!$G$89,IF(AK173&lt;Constantes!$G$86,_xlfn.FORECAST.LINEAR(AK173,Constantes!$G$89:$G$90,Constantes!$G$85:$G$86),IF(AK173&lt;Constantes!$G$87,_xlfn.FORECAST.LINEAR(AK173,Constantes!$G$90:$G$91,Constantes!$G$86:$G$87),Constantes!$G$91)))</f>
        <v>1.5000000931322566</v>
      </c>
      <c r="AL92" s="31" t="str">
        <f>AI93</f>
        <v>premium</v>
      </c>
      <c r="AM92" s="330">
        <f>IF(Décisions!AM39&lt;=Constantes!$E$139,Constantes!$E$145,IF(Décisions!AM39&lt;Constantes!$E$140,_xlfn.FORECAST.LINEAR(Décisions!AM39,Constantes!$E$145:$E$146,Constantes!$E$139:$E$140),IF(Décisions!AM39&lt;Constantes!$E$141,_xlfn.FORECAST.LINEAR(Décisions!AM39,Constantes!$E$146:$E$147,Constantes!$E$140:$E$141),Constantes!$E$147)))</f>
        <v>1</v>
      </c>
      <c r="AN92" s="132"/>
      <c r="AO92" s="132"/>
      <c r="AP92" s="132"/>
      <c r="AQ92" s="132"/>
      <c r="AR92" s="24"/>
      <c r="AS92" s="786"/>
      <c r="AT92" s="1" t="str">
        <f>AI92</f>
        <v>senior</v>
      </c>
      <c r="AU92" s="330">
        <f>IF(AV173&lt;=Constantes!$G$85,Constantes!$G$89,IF(AV173&lt;Constantes!$G$86,_xlfn.FORECAST.LINEAR(AV173,Constantes!$G$89:$G$90,Constantes!$G$85:$G$86),IF(AV173&lt;Constantes!$G$87,_xlfn.FORECAST.LINEAR(AV173,Constantes!$G$90:$G$91,Constantes!$G$86:$G$87),Constantes!$G$91)))</f>
        <v>1.4000000543892379</v>
      </c>
      <c r="AW92" s="31" t="str">
        <f>AT93</f>
        <v>premium</v>
      </c>
      <c r="AX92" s="330">
        <f>IF(Décisions!AX39&lt;=Constantes!$E$139,Constantes!$E$145,IF(Décisions!AX39&lt;Constantes!$E$140,_xlfn.FORECAST.LINEAR(Décisions!AX39,Constantes!$E$145:$E$146,Constantes!$E$139:$E$140),IF(Décisions!AX39&lt;Constantes!$E$141,_xlfn.FORECAST.LINEAR(Décisions!AX39,Constantes!$E$146:$E$147,Constantes!$E$140:$E$141),Constantes!$E$147)))</f>
        <v>0</v>
      </c>
    </row>
    <row r="93" spans="1:50" ht="21" customHeight="1" x14ac:dyDescent="0.25">
      <c r="A93" s="786"/>
      <c r="B93" s="1" t="str">
        <f>Constantes!C6</f>
        <v>premium</v>
      </c>
      <c r="C93" s="330">
        <f>IF(E173&lt;=Constantes!$H$85,Constantes!$H$89,IF(E173&lt;Constantes!$H$86,_xlfn.FORECAST.LINEAR(E173,Constantes!$H$89:$H$90,Constantes!$H$85:$H$86),IF(E173&lt;Constantes!$H$87,_xlfn.FORECAST.LINEAR(E173,Constantes!$H$90:$H$91,Constantes!$H$86:$H$87),Constantes!$H$91)))</f>
        <v>3</v>
      </c>
      <c r="E93" s="31" t="s">
        <v>422</v>
      </c>
      <c r="F93" s="330">
        <f>IF(Décisions!E41&lt;=Constantes!$F$66,Constantes!$F$70,IF(Décisions!E41&lt;Constantes!$F$67,_xlfn.FORECAST.LINEAR(Décisions!E41,Constantes!$F$70:$F$71,Constantes!$F$66:$F$67),IF(Décisions!E41&lt;Constantes!$F$68,_xlfn.FORECAST.LINEAR(Décisions!E41,Constantes!$F$71:$F$72,Constantes!$F$67:$F$68),Constantes!$F$72)))</f>
        <v>4.2000000000000011</v>
      </c>
      <c r="L93" s="820"/>
      <c r="M93" s="1" t="str">
        <f>B93</f>
        <v>premium</v>
      </c>
      <c r="N93" s="330">
        <f>IF(P173&lt;=Constantes!$H$85,Constantes!$H$89,IF(P173&lt;Constantes!$H$86,_xlfn.FORECAST.LINEAR(P173,Constantes!$H$89:$H$90,Constantes!$H$85:$H$86),IF(P173&lt;Constantes!$H$87,_xlfn.FORECAST.LINEAR(P173,Constantes!$H$90:$H$91,Constantes!$H$86:$H$87),Constantes!$H$91)))</f>
        <v>3</v>
      </c>
      <c r="O93" s="288"/>
      <c r="P93" s="31" t="s">
        <v>422</v>
      </c>
      <c r="Q93" s="330">
        <f>IF(Décisions!P41&lt;=Constantes!$F$66,Constantes!$F$70,IF(Décisions!P41&lt;Constantes!$F$67,_xlfn.FORECAST.LINEAR(Décisions!P41,Constantes!$F$70:$F$71,Constantes!$F$66:$F$67),IF(Décisions!P41&lt;Constantes!$F$68,_xlfn.FORECAST.LINEAR(Décisions!P41,Constantes!$F$71:$F$72,Constantes!$F$67:$F$68),Constantes!$F$72)))</f>
        <v>-1.1999999999999993</v>
      </c>
      <c r="R93" s="132"/>
      <c r="S93" s="132"/>
      <c r="T93" s="132"/>
      <c r="U93" s="132"/>
      <c r="W93" s="786"/>
      <c r="X93" s="1" t="str">
        <f>M93</f>
        <v>premium</v>
      </c>
      <c r="Y93" s="330">
        <f>IF(AA173&lt;=Constantes!$H$85,Constantes!$H$89,IF(AA173&lt;Constantes!$H$86,_xlfn.FORECAST.LINEAR(AA173,Constantes!$H$89:$H$90,Constantes!$H$85:$H$86),IF(AA173&lt;Constantes!$H$87,_xlfn.FORECAST.LINEAR(AA173,Constantes!$H$90:$H$91,Constantes!$H$86:$H$87),Constantes!$H$91)))</f>
        <v>3</v>
      </c>
      <c r="AA93" s="31" t="s">
        <v>422</v>
      </c>
      <c r="AB93" s="330">
        <f>IF(Décisions!AA41&lt;=Constantes!$F$66,Constantes!$F$70,IF(Décisions!AA41&lt;Constantes!$F$67,_xlfn.FORECAST.LINEAR(Décisions!AA41,Constantes!$F$70:$F$71,Constantes!$F$66:$F$67),IF(Décisions!AA41&lt;Constantes!$F$68,_xlfn.FORECAST.LINEAR(Décisions!AA41,Constantes!$F$71:$F$72,Constantes!$F$67:$F$68),Constantes!$F$72)))</f>
        <v>-3</v>
      </c>
      <c r="AC93" s="132"/>
      <c r="AD93" s="132"/>
      <c r="AE93" s="132"/>
      <c r="AF93" s="132"/>
      <c r="AH93" s="786"/>
      <c r="AI93" s="1" t="str">
        <f>X93</f>
        <v>premium</v>
      </c>
      <c r="AJ93" s="330">
        <f>IF(AL173&lt;=Constantes!$H$85,Constantes!$H$89,IF(AL173&lt;Constantes!$H$86,_xlfn.FORECAST.LINEAR(AL173,Constantes!$H$89:$H$90,Constantes!$H$85:$H$86),IF(AL173&lt;Constantes!$H$87,_xlfn.FORECAST.LINEAR(AL173,Constantes!$H$90:$H$91,Constantes!$H$86:$H$87),Constantes!$H$91)))</f>
        <v>3</v>
      </c>
      <c r="AL93" s="31" t="s">
        <v>422</v>
      </c>
      <c r="AM93" s="330">
        <f>IF(Décisions!AL41&lt;=Constantes!$F$66,Constantes!$F$70,IF(Décisions!AL41&lt;Constantes!$F$67,_xlfn.FORECAST.LINEAR(Décisions!AL41,Constantes!$F$70:$F$71,Constantes!$F$66:$F$67),IF(Décisions!AL41&lt;Constantes!$F$68,_xlfn.FORECAST.LINEAR(Décisions!AL41,Constantes!$F$71:$F$72,Constantes!$F$67:$F$68),Constantes!$F$72)))</f>
        <v>-1.8000000000000007</v>
      </c>
      <c r="AN93" s="132"/>
      <c r="AO93" s="132"/>
      <c r="AP93" s="132"/>
      <c r="AQ93" s="132"/>
      <c r="AR93" s="24"/>
      <c r="AS93" s="786"/>
      <c r="AT93" s="1" t="str">
        <f>AI93</f>
        <v>premium</v>
      </c>
      <c r="AU93" s="330">
        <f>IF(AW173&lt;=Constantes!$H$85,Constantes!$H$89,IF(AW173&lt;Constantes!$H$86,_xlfn.FORECAST.LINEAR(AW173,Constantes!$H$89:$H$90,Constantes!$H$85:$H$86),IF(AW173&lt;Constantes!$H$87,_xlfn.FORECAST.LINEAR(AW173,Constantes!$H$90:$H$91,Constantes!$H$86:$H$87),Constantes!$H$91)))</f>
        <v>3</v>
      </c>
      <c r="AW93" s="31" t="s">
        <v>422</v>
      </c>
      <c r="AX93" s="330">
        <f>IF(Décisions!AW41&lt;=Constantes!$F$66,Constantes!$F$70,IF(Décisions!AW41&lt;Constantes!$F$67,_xlfn.FORECAST.LINEAR(Décisions!AW41,Constantes!$F$70:$F$71,Constantes!$F$66:$F$67),IF(Décisions!AW41&lt;Constantes!$F$68,_xlfn.FORECAST.LINEAR(Décisions!AW41,Constantes!$F$71:$F$72,Constantes!$F$67:$F$68),Constantes!$F$72)))</f>
        <v>-3</v>
      </c>
    </row>
    <row r="94" spans="1:50" ht="21" customHeight="1" x14ac:dyDescent="0.25">
      <c r="B94" s="31" t="s">
        <v>237</v>
      </c>
      <c r="C94" s="330">
        <f ca="1">IF(F53&lt;=Constantes!$I$85,Constantes!$I$89,IF(F53&lt;Constantes!$I$86,_xlfn.FORECAST.LINEAR(F53,Constantes!$I$89:$I$90,Constantes!$I$85:$I$86),IF(F53&lt;Constantes!$I$87,_xlfn.FORECAST.LINEAR(F53,Constantes!$I$90:$I$91,Constantes!$I$86:$I$87),Constantes!$I$91)))</f>
        <v>0.21900000000000119</v>
      </c>
      <c r="E94" s="31" t="s">
        <v>423</v>
      </c>
      <c r="F94" s="330">
        <f>IF(Décisions!F8&lt;=Constantes!$F$95,Constantes!$L$95,IF(Décisions!F8&lt;Constantes!$G$95,_xlfn.FORECAST.LINEAR(Décisions!F8,Constantes!$L$95:$M$95,Constantes!$F$95:$G$95),IF(Décisions!F8&lt;Constantes!$H$95,_xlfn.FORECAST.LINEAR(Décisions!F8,Constantes!$M$95:$N$95,Constantes!$G$95:$H$95),Constantes!$N$95)))</f>
        <v>1.5</v>
      </c>
      <c r="L94" s="288"/>
      <c r="M94" s="1" t="s">
        <v>237</v>
      </c>
      <c r="N94" s="330">
        <f ca="1">IF(Q53&lt;=Constantes!$I$85,Constantes!$I$89,IF(Q53&lt;Constantes!$I$86,_xlfn.FORECAST.LINEAR(Q53,Constantes!$I$89:$I$90,Constantes!$I$85:$I$86),IF(Q53&lt;Constantes!$I$87,_xlfn.FORECAST.LINEAR(Q53,Constantes!$I$90:$I$91,Constantes!$I$86:$I$87),Constantes!$I$91)))</f>
        <v>0.57899999999999707</v>
      </c>
      <c r="O94" s="288"/>
      <c r="P94" s="31" t="s">
        <v>423</v>
      </c>
      <c r="Q94" s="330">
        <f>IF(Décisions!Q8&lt;=Constantes!$F$95,Constantes!$L$95,IF(Décisions!Q8&lt;Constantes!$G$95,_xlfn.FORECAST.LINEAR(Décisions!Q8,Constantes!$L$95:$M$95,Constantes!$F$95:$G$95),IF(Décisions!Q8&lt;Constantes!$H$95,_xlfn.FORECAST.LINEAR(Décisions!Q8,Constantes!$M$95:$N$95,Constantes!$G$95:$H$95),Constantes!$N$95)))</f>
        <v>-1.7999999999999989</v>
      </c>
      <c r="R94" s="132"/>
      <c r="S94" s="132"/>
      <c r="T94" s="132"/>
      <c r="U94" s="132"/>
      <c r="X94" s="1" t="s">
        <v>237</v>
      </c>
      <c r="Y94" s="330">
        <f ca="1">IF(AB53&lt;=Constantes!$I$85,Constantes!$I$89,IF(AB53&lt;Constantes!$I$86,_xlfn.FORECAST.LINEAR(AB53,Constantes!$I$89:$I$90,Constantes!$I$85:$I$86),IF(AB53&lt;Constantes!$I$87,_xlfn.FORECAST.LINEAR(AB53,Constantes!$I$90:$I$91,Constantes!$I$86:$I$87),Constantes!$I$91)))</f>
        <v>-2.0683333333333351</v>
      </c>
      <c r="AA94" s="31" t="s">
        <v>423</v>
      </c>
      <c r="AB94" s="330">
        <f>IF(Décisions!AB8&lt;=Constantes!$F$95,Constantes!$L$95,IF(Décisions!AB8&lt;Constantes!$G$95,_xlfn.FORECAST.LINEAR(Décisions!AB8,Constantes!$L$95:$M$95,Constantes!$F$95:$G$95),IF(Décisions!AB8&lt;Constantes!$H$95,_xlfn.FORECAST.LINEAR(Décisions!AB8,Constantes!$M$95:$N$95,Constantes!$G$95:$H$95),Constantes!$N$95)))</f>
        <v>-1.7999999999999989</v>
      </c>
      <c r="AC94" s="132"/>
      <c r="AD94" s="132"/>
      <c r="AE94" s="132"/>
      <c r="AF94" s="132"/>
      <c r="AI94" s="1" t="s">
        <v>237</v>
      </c>
      <c r="AJ94" s="330">
        <f ca="1">IF(AM53&lt;=Constantes!$I$85,Constantes!$I$89,IF(AM53&lt;Constantes!$I$86,_xlfn.FORECAST.LINEAR(AM53,Constantes!$I$89:$I$90,Constantes!$I$85:$I$86),IF(AM53&lt;Constantes!$I$87,_xlfn.FORECAST.LINEAR(AM53,Constantes!$I$90:$I$91,Constantes!$I$86:$I$87),Constantes!$I$91)))</f>
        <v>-3.2183333333333408</v>
      </c>
      <c r="AL94" s="31" t="s">
        <v>423</v>
      </c>
      <c r="AM94" s="330">
        <f>IF(Décisions!AM8&lt;=Constantes!$F$95,Constantes!$L$95,IF(Décisions!AM8&lt;Constantes!$G$95,_xlfn.FORECAST.LINEAR(Décisions!AM8,Constantes!$L$95:$M$95,Constantes!$F$95:$G$95),IF(Décisions!AM8&lt;Constantes!$H$95,_xlfn.FORECAST.LINEAR(Décisions!AM8,Constantes!$M$95:$N$95,Constantes!$G$95:$H$95),Constantes!$N$95)))</f>
        <v>-1.7999999999999989</v>
      </c>
      <c r="AN94" s="132"/>
      <c r="AO94" s="132"/>
      <c r="AP94" s="132"/>
      <c r="AQ94" s="132"/>
      <c r="AR94" s="24"/>
      <c r="AT94" s="1" t="s">
        <v>237</v>
      </c>
      <c r="AU94" s="330">
        <f ca="1">IF(AX53&lt;=Constantes!$I$85,Constantes!$I$89,IF(AX53&lt;Constantes!$I$86,_xlfn.FORECAST.LINEAR(AX53,Constantes!$I$89:$I$90,Constantes!$I$85:$I$86),IF(AX53&lt;Constantes!$I$87,_xlfn.FORECAST.LINEAR(AX53,Constantes!$I$90:$I$91,Constantes!$I$86:$I$87),Constantes!$I$91)))</f>
        <v>-4.5016666666666723</v>
      </c>
      <c r="AW94" s="31" t="s">
        <v>423</v>
      </c>
      <c r="AX94" s="330">
        <f>IF(Décisions!AX8&lt;=Constantes!$F$95,Constantes!$L$95,IF(Décisions!AX8&lt;Constantes!$G$95,_xlfn.FORECAST.LINEAR(Décisions!AX8,Constantes!$L$95:$M$95,Constantes!$F$95:$G$95),IF(Décisions!AX8&lt;Constantes!$H$95,_xlfn.FORECAST.LINEAR(Décisions!AX8,Constantes!$M$95:$N$95,Constantes!$G$95:$H$95),Constantes!$N$95)))</f>
        <v>-1.7999999999999989</v>
      </c>
    </row>
    <row r="95" spans="1:50" ht="21" customHeight="1" x14ac:dyDescent="0.25">
      <c r="B95" s="31" t="s">
        <v>238</v>
      </c>
      <c r="C95" s="330">
        <f>IF(F67&lt;=Constantes!$J$85,Constantes!$J$89,IF(F67&lt;Constantes!$J$86,_xlfn.FORECAST.LINEAR(F67,Constantes!$J$89:$J$90,Constantes!$J$85:$J$86),IF(F67&lt;Constantes!$J$87,_xlfn.FORECAST.LINEAR(F67,Constantes!$J$90:$J$91,Constantes!$J$86:$J$87),Constantes!$J$91)))</f>
        <v>-4.5833333333333339</v>
      </c>
      <c r="E95" s="31" t="s">
        <v>236</v>
      </c>
      <c r="F95" s="330">
        <f>IF(F173&lt;=Constantes!$G$66,Constantes!$G$70,IF(F173&lt;Constantes!$G$67,_xlfn.FORECAST.LINEAR(F173,Constantes!$G$70:$G$71,Constantes!$G$66:$G$67),IF(F173&lt;Constantes!$G$68,_xlfn.FORECAST.LINEAR(F173,Constantes!$G$71:$G$72,Constantes!$G$67:$G$68),Constantes!$G$72)))</f>
        <v>-2.3212506258075276</v>
      </c>
      <c r="L95" s="288"/>
      <c r="M95" s="1" t="s">
        <v>238</v>
      </c>
      <c r="N95" s="330">
        <f>IF(Q67&lt;=Constantes!$J$85,Constantes!$J$89,IF(Q67&lt;Constantes!$J$86,_xlfn.FORECAST.LINEAR(Q67,Constantes!$J$89:$J$90,Constantes!$J$85:$J$86),IF(Q67&lt;Constantes!$J$87,_xlfn.FORECAST.LINEAR(Q67,Constantes!$J$90:$J$91,Constantes!$J$86:$J$87),Constantes!$J$91)))</f>
        <v>-2.5</v>
      </c>
      <c r="O95" s="288"/>
      <c r="P95" s="31" t="s">
        <v>236</v>
      </c>
      <c r="Q95" s="330">
        <f>IF(Q173&lt;=Constantes!$G$66,Constantes!$G$70,IF(Q173&lt;Constantes!$G$67,_xlfn.FORECAST.LINEAR(Q173,Constantes!$G$70:$G$71,Constantes!$G$66:$G$67),IF(Q173&lt;Constantes!$G$68,_xlfn.FORECAST.LINEAR(Q173,Constantes!$G$71:$G$72,Constantes!$G$67:$G$68),Constantes!$G$72)))</f>
        <v>-1.5346154772923279</v>
      </c>
      <c r="R95" s="132"/>
      <c r="S95" s="132"/>
      <c r="T95" s="132"/>
      <c r="U95" s="132"/>
      <c r="X95" s="1" t="s">
        <v>238</v>
      </c>
      <c r="Y95" s="330">
        <f>IF(AB67&lt;=Constantes!$J$85,Constantes!$J$89,IF(AB67&lt;Constantes!$J$86,_xlfn.FORECAST.LINEAR(AB67,Constantes!$J$89:$J$90,Constantes!$J$85:$J$86),IF(AB67&lt;Constantes!$J$87,_xlfn.FORECAST.LINEAR(AB67,Constantes!$J$90:$J$91,Constantes!$J$86:$J$87),Constantes!$J$91)))</f>
        <v>-8.8817841970012523E-16</v>
      </c>
      <c r="AA95" s="31" t="s">
        <v>236</v>
      </c>
      <c r="AB95" s="330">
        <f>IF(AB173&lt;=Constantes!$G$66,Constantes!$G$70,IF(AB173&lt;Constantes!$G$67,_xlfn.FORECAST.LINEAR(AB173,Constantes!$G$70:$G$71,Constantes!$G$66:$G$67),IF(AB173&lt;Constantes!$G$68,_xlfn.FORECAST.LINEAR(AB173,Constantes!$G$71:$G$72,Constantes!$G$67:$G$68),Constantes!$G$72)))</f>
        <v>-2.8067309210458991</v>
      </c>
      <c r="AC95" s="132"/>
      <c r="AD95" s="132"/>
      <c r="AE95" s="132"/>
      <c r="AF95" s="132"/>
      <c r="AI95" s="1" t="s">
        <v>238</v>
      </c>
      <c r="AJ95" s="330">
        <f>IF(AM67&lt;=Constantes!$J$85,Constantes!$J$89,IF(AM67&lt;Constantes!$J$86,_xlfn.FORECAST.LINEAR(AM67,Constantes!$J$89:$J$90,Constantes!$J$85:$J$86),IF(AM67&lt;Constantes!$J$87,_xlfn.FORECAST.LINEAR(AM67,Constantes!$J$90:$J$91,Constantes!$J$86:$J$87),Constantes!$J$91)))</f>
        <v>1.3333333333333339</v>
      </c>
      <c r="AL95" s="31" t="s">
        <v>236</v>
      </c>
      <c r="AM95" s="330">
        <f>IF(AM173&lt;=Constantes!$G$66,Constantes!$G$70,IF(AM173&lt;Constantes!$G$67,_xlfn.FORECAST.LINEAR(AM173,Constantes!$G$70:$G$71,Constantes!$G$66:$G$67),IF(AM173&lt;Constantes!$G$68,_xlfn.FORECAST.LINEAR(AM173,Constantes!$G$71:$G$72,Constantes!$G$67:$G$68),Constantes!$G$72)))</f>
        <v>-2.1711564530365868</v>
      </c>
      <c r="AN95" s="132"/>
      <c r="AO95" s="132"/>
      <c r="AP95" s="132"/>
      <c r="AQ95" s="132"/>
      <c r="AR95" s="24"/>
      <c r="AT95" s="1" t="s">
        <v>238</v>
      </c>
      <c r="AU95" s="330">
        <f>IF(AX67&lt;=Constantes!$J$85,Constantes!$J$89,IF(AX67&lt;Constantes!$J$86,_xlfn.FORECAST.LINEAR(AX67,Constantes!$J$89:$J$90,Constantes!$J$85:$J$86),IF(AX67&lt;Constantes!$J$87,_xlfn.FORECAST.LINEAR(AX67,Constantes!$J$90:$J$91,Constantes!$J$86:$J$87),Constantes!$J$91)))</f>
        <v>2.6666666666666643</v>
      </c>
      <c r="AW95" s="31" t="s">
        <v>236</v>
      </c>
      <c r="AX95" s="330">
        <f>IF(AX173&lt;=Constantes!$G$66,Constantes!$G$70,IF(AX173&lt;Constantes!$G$67,_xlfn.FORECAST.LINEAR(AX173,Constantes!$G$70:$G$71,Constantes!$G$66:$G$67),IF(AX173&lt;Constantes!$G$68,_xlfn.FORECAST.LINEAR(AX173,Constantes!$G$71:$G$72,Constantes!$G$67:$G$68),Constantes!$G$72)))</f>
        <v>-3</v>
      </c>
    </row>
    <row r="96" spans="1:50" ht="21" customHeight="1" x14ac:dyDescent="0.25">
      <c r="B96" s="31" t="s">
        <v>273</v>
      </c>
      <c r="C96" s="330">
        <f>Décisions!L103</f>
        <v>0</v>
      </c>
      <c r="E96" s="31" t="s">
        <v>238</v>
      </c>
      <c r="F96" s="330">
        <f>IF(F67&lt;=Constantes!$H$66,Constantes!$H$70,IF(F67&lt;Constantes!$H$67,_xlfn.FORECAST.LINEAR(F67,Constantes!$H$70:$H$71,Constantes!$H$66:$H$67),IF(F67&lt;Constantes!$H$68,_xlfn.FORECAST.LINEAR(F67,Constantes!$H$71:$H$72,Constantes!$H$67:$H$68),Constantes!$H$72)))</f>
        <v>2.75</v>
      </c>
      <c r="L96" s="288"/>
      <c r="M96" s="1" t="s">
        <v>273</v>
      </c>
      <c r="N96" s="328">
        <f>Décisions!M$103+Décisions!L$115</f>
        <v>0</v>
      </c>
      <c r="O96" s="288"/>
      <c r="P96" s="31" t="s">
        <v>238</v>
      </c>
      <c r="Q96" s="330">
        <f>IF(Q67&lt;=Constantes!$H$66,Constantes!$H$70,IF(Q67&lt;Constantes!$H$67,_xlfn.FORECAST.LINEAR(Q67,Constantes!$H$70:$H$71,Constantes!$H$66:$H$67),IF(Q67&lt;Constantes!$H$68,_xlfn.FORECAST.LINEAR(Q67,Constantes!$H$71:$H$72,Constantes!$H$67:$H$68),Constantes!$H$72)))</f>
        <v>1.5</v>
      </c>
      <c r="R96" s="137"/>
      <c r="S96" s="137"/>
      <c r="T96" s="137"/>
      <c r="U96" s="137"/>
      <c r="X96" s="1" t="s">
        <v>273</v>
      </c>
      <c r="Y96" s="328">
        <f>Décisions!N$103+Décisions!M$115+Décisions!L$127</f>
        <v>4</v>
      </c>
      <c r="AA96" s="31" t="s">
        <v>238</v>
      </c>
      <c r="AB96" s="330">
        <f>IF(AB67&lt;=Constantes!$H$66,Constantes!$H$70,IF(AB67&lt;Constantes!$H$67,_xlfn.FORECAST.LINEAR(AB67,Constantes!$H$70:$H$71,Constantes!$H$66:$H$67),IF(AB67&lt;Constantes!$H$68,_xlfn.FORECAST.LINEAR(AB67,Constantes!$H$71:$H$72,Constantes!$H$67:$H$68),Constantes!$H$72)))</f>
        <v>-8.8817841970012523E-16</v>
      </c>
      <c r="AC96" s="137"/>
      <c r="AD96" s="137"/>
      <c r="AE96" s="137"/>
      <c r="AF96" s="137"/>
      <c r="AI96" s="1" t="s">
        <v>273</v>
      </c>
      <c r="AJ96" s="328">
        <f>Décisions!O$103+Décisions!N$115+Décisions!M$127+Décisions!L$139</f>
        <v>9</v>
      </c>
      <c r="AL96" s="31" t="s">
        <v>238</v>
      </c>
      <c r="AM96" s="330">
        <f>IF(AM67&lt;=Constantes!$H$66,Constantes!$H$70,IF(AM67&lt;Constantes!$H$67,_xlfn.FORECAST.LINEAR(AM67,Constantes!$H$70:$H$71,Constantes!$H$66:$H$67),IF(AM67&lt;Constantes!$H$68,_xlfn.FORECAST.LINEAR(AM67,Constantes!$H$71:$H$72,Constantes!$H$67:$H$68),Constantes!$H$72)))</f>
        <v>-1.0000000000000009</v>
      </c>
      <c r="AN96" s="137"/>
      <c r="AO96" s="137"/>
      <c r="AP96" s="137"/>
      <c r="AQ96" s="137"/>
      <c r="AR96" s="24"/>
      <c r="AT96" s="1" t="s">
        <v>273</v>
      </c>
      <c r="AU96" s="328">
        <f>Décisions!O$115+Décisions!N$127+Décisions!M$139+Décisions!L$151</f>
        <v>11</v>
      </c>
      <c r="AW96" s="31" t="s">
        <v>238</v>
      </c>
      <c r="AX96" s="330">
        <f>IF(AX67&lt;=Constantes!$H$66,Constantes!$H$70,IF(AX67&lt;Constantes!$H$67,_xlfn.FORECAST.LINEAR(AX67,Constantes!$H$70:$H$71,Constantes!$H$66:$H$67),IF(AX67&lt;Constantes!$H$68,_xlfn.FORECAST.LINEAR(AX67,Constantes!$H$71:$H$72,Constantes!$H$67:$H$68),Constantes!$H$72)))</f>
        <v>-2</v>
      </c>
    </row>
    <row r="97" spans="1:50" ht="21" customHeight="1" x14ac:dyDescent="0.25">
      <c r="B97" s="31" t="s">
        <v>422</v>
      </c>
      <c r="C97" s="330">
        <f>IF(Décisions!E41&lt;=Constantes!$K$85,Constantes!$K$89,IF(Décisions!E41&lt;Constantes!$K$86,_xlfn.FORECAST.LINEAR(Décisions!E41,Constantes!$K$89:$K$90,Constantes!$K$85:$K$86),IF(Décisions!E41&lt;Constantes!$K$87,_xlfn.FORECAST.LINEAR(Décisions!E41,Constantes!$K$90:$K$91,Constantes!$K$86:$K$87),Constantes!$K$91)))</f>
        <v>-3</v>
      </c>
      <c r="E97" s="39" t="s">
        <v>242</v>
      </c>
      <c r="F97" s="131">
        <f ca="1">TRUNC(SUM(F88:F96))</f>
        <v>27</v>
      </c>
      <c r="L97" s="288"/>
      <c r="M97" s="31" t="s">
        <v>422</v>
      </c>
      <c r="N97" s="330">
        <f>IF(Décisions!P41&lt;=Constantes!$K$85,Constantes!$K$89,IF(Décisions!P41&lt;Constantes!$K$86,_xlfn.FORECAST.LINEAR(Décisions!P41,Constantes!$K$89:$K$90,Constantes!$K$85:$K$86),IF(Décisions!P41&lt;Constantes!$K$87,_xlfn.FORECAST.LINEAR(Décisions!P41,Constantes!$K$90:$K$91,Constantes!$K$86:$K$87),Constantes!$K$91)))</f>
        <v>0.79999999999999982</v>
      </c>
      <c r="P97" s="39" t="s">
        <v>242</v>
      </c>
      <c r="Q97" s="123">
        <f ca="1">TRUNC(SUM(Q88:Q96))</f>
        <v>16</v>
      </c>
      <c r="X97" s="31" t="s">
        <v>422</v>
      </c>
      <c r="Y97" s="330">
        <f>IF(Décisions!AA41&lt;=Constantes!$K$85,Constantes!$K$89,IF(Décisions!AA41&lt;Constantes!$K$86,_xlfn.FORECAST.LINEAR(Décisions!AA41,Constantes!$K$89:$K$90,Constantes!$K$85:$K$86),IF(Décisions!AA41&lt;Constantes!$K$87,_xlfn.FORECAST.LINEAR(Décisions!AA41,Constantes!$K$90:$K$91,Constantes!$K$86:$K$87),Constantes!$K$91)))</f>
        <v>2</v>
      </c>
      <c r="AA97" s="39" t="s">
        <v>242</v>
      </c>
      <c r="AB97" s="123">
        <f ca="1">TRUNC(SUM(AB88:AB96))</f>
        <v>8</v>
      </c>
      <c r="AI97" s="31" t="s">
        <v>422</v>
      </c>
      <c r="AJ97" s="330">
        <f>IF(Décisions!AL41&lt;=Constantes!$K$85,Constantes!$K$89,IF(Décisions!AL41&lt;Constantes!$K$86,_xlfn.FORECAST.LINEAR(Décisions!AL41,Constantes!$K$89:$K$90,Constantes!$K$85:$K$86),IF(Décisions!AL41&lt;Constantes!$K$87,_xlfn.FORECAST.LINEAR(Décisions!AL41,Constantes!$K$90:$K$91,Constantes!$K$86:$K$87),Constantes!$K$91)))</f>
        <v>1.2000000000000002</v>
      </c>
      <c r="AL97" s="39" t="s">
        <v>242</v>
      </c>
      <c r="AM97" s="123">
        <f ca="1">TRUNC(SUM(AM88:AM96))</f>
        <v>9</v>
      </c>
      <c r="AR97" s="24"/>
      <c r="AT97" s="31" t="s">
        <v>422</v>
      </c>
      <c r="AU97" s="330">
        <f>IF(Décisions!AW41&lt;=Constantes!$K$85,Constantes!$K$89,IF(Décisions!AW41&lt;Constantes!$K$86,_xlfn.FORECAST.LINEAR(Décisions!AW41,Constantes!$K$89:$K$90,Constantes!$K$85:$K$86),IF(Décisions!AW41&lt;Constantes!$K$87,_xlfn.FORECAST.LINEAR(Décisions!AW41,Constantes!$K$90:$K$91,Constantes!$K$86:$K$87),Constantes!$K$91)))</f>
        <v>2</v>
      </c>
      <c r="AW97" s="39" t="s">
        <v>242</v>
      </c>
      <c r="AX97" s="123">
        <f ca="1">TRUNC(SUM(AX88:AX96))</f>
        <v>6</v>
      </c>
    </row>
    <row r="98" spans="1:50" ht="21" customHeight="1" x14ac:dyDescent="0.25">
      <c r="B98" s="31" t="s">
        <v>423</v>
      </c>
      <c r="C98" s="330">
        <f>IF(Décisions!F8&lt;=Constantes!$F$95,Constantes!$I$95,IF(Décisions!F8&lt;Constantes!$G$95,_xlfn.FORECAST.LINEAR(Décisions!F8,Constantes!$I$95:$J$95,Constantes!$F$95:$G$95),IF(Décisions!F8&lt;Constantes!$H$95,_xlfn.FORECAST.LINEAR(Décisions!F8,Constantes!$J$95:$K$95,Constantes!$G$95:$H$95),Constantes!$K$95)))</f>
        <v>-2.5</v>
      </c>
      <c r="E98" s="39"/>
      <c r="F98" s="707"/>
      <c r="L98" s="288"/>
      <c r="M98" s="31" t="s">
        <v>423</v>
      </c>
      <c r="N98" s="330">
        <f>IF(Décisions!Q8&lt;=Constantes!$F$95,Constantes!$I$95,IF(Décisions!Q8&lt;Constantes!$G$95,_xlfn.FORECAST.LINEAR(Décisions!Q8,Constantes!$I$95:$J$95,Constantes!$F$95:$G$95),IF(Décisions!Q8&lt;Constantes!$H$95,_xlfn.FORECAST.LINEAR(Décisions!Q8,Constantes!$J$95:$K$95,Constantes!$G$95:$H$95),Constantes!$K$95)))</f>
        <v>2.9999999999999964</v>
      </c>
      <c r="X98" s="31" t="s">
        <v>423</v>
      </c>
      <c r="Y98" s="330">
        <f>IF(Décisions!AB8&lt;=Constantes!$F$95,Constantes!$I$95,IF(Décisions!AB8&lt;Constantes!$G$95,_xlfn.FORECAST.LINEAR(Décisions!AB8,Constantes!$I$95:$J$95,Constantes!$F$95:$G$95),IF(Décisions!AB8&lt;Constantes!$H$95,_xlfn.FORECAST.LINEAR(Décisions!AB8,Constantes!$J$95:$K$95,Constantes!$G$95:$H$95),Constantes!$K$95)))</f>
        <v>2.9999999999999964</v>
      </c>
      <c r="AI98" s="31" t="s">
        <v>423</v>
      </c>
      <c r="AJ98" s="330">
        <f>IF(Décisions!AM8&lt;=Constantes!$F$95,Constantes!$I$95,IF(Décisions!AM8&lt;Constantes!$G$95,_xlfn.FORECAST.LINEAR(Décisions!AM8,Constantes!$I$95:$J$95,Constantes!$F$95:$G$95),IF(Décisions!AM8&lt;Constantes!$H$95,_xlfn.FORECAST.LINEAR(Décisions!AM8,Constantes!$J$95:$K$95,Constantes!$G$95:$H$95),Constantes!$K$95)))</f>
        <v>2.9999999999999964</v>
      </c>
      <c r="AR98" s="24"/>
      <c r="AT98" s="31" t="s">
        <v>423</v>
      </c>
      <c r="AU98" s="330">
        <f>IF(Décisions!AX8&lt;=Constantes!$F$95,Constantes!$I$95,IF(Décisions!AX8&lt;Constantes!$G$95,_xlfn.FORECAST.LINEAR(Décisions!AX8,Constantes!$I$95:$J$95,Constantes!$F$95:$G$95),IF(Décisions!AX8&lt;Constantes!$H$95,_xlfn.FORECAST.LINEAR(Décisions!AX8,Constantes!$J$95:$K$95,Constantes!$G$95:$H$95),Constantes!$K$95)))</f>
        <v>2.9999999999999964</v>
      </c>
    </row>
    <row r="99" spans="1:50" ht="21" customHeight="1" x14ac:dyDescent="0.25">
      <c r="B99" s="31" t="s">
        <v>424</v>
      </c>
      <c r="C99" s="330">
        <f>IF(Décisions!F10&lt;=Constantes!$F$99,Constantes!$O$99,IF(Décisions!F10&lt;Constantes!$G$99,_xlfn.FORECAST.LINEAR(Décisions!F10,Constantes!$O$99:$P$99,Constantes!$F$99:$G$99),IF(Décisions!F10&lt;Constantes!$H$99,_xlfn.FORECAST.LINEAR(Décisions!F10,Constantes!$P$99:$Q$99,Constantes!$G$99:$H$99),Constantes!$Q$99)))</f>
        <v>0</v>
      </c>
      <c r="E99" s="39"/>
      <c r="F99" s="707"/>
      <c r="L99" s="288"/>
      <c r="M99" s="31" t="s">
        <v>424</v>
      </c>
      <c r="N99" s="330">
        <f>IF(Décisions!Q10&lt;=Constantes!$F$99,Constantes!$O$99,IF(Décisions!Q10&lt;Constantes!$G$99,_xlfn.FORECAST.LINEAR(Décisions!Q10,Constantes!$O$99:$P$99,Constantes!$F$99:$G$99),IF(Décisions!Q10&lt;Constantes!$H$99,_xlfn.FORECAST.LINEAR(Décisions!Q10,Constantes!$P$99:$Q$99,Constantes!$G$99:$H$99),Constantes!$Q$99)))</f>
        <v>0</v>
      </c>
      <c r="X99" s="31" t="s">
        <v>424</v>
      </c>
      <c r="Y99" s="330">
        <f>IF(Décisions!AB10&lt;=Constantes!$F$99,Constantes!$O$99,IF(Décisions!AB10&lt;Constantes!$G$99,_xlfn.FORECAST.LINEAR(Décisions!AB10,Constantes!$O$99:$P$99,Constantes!$F$99:$G$99),IF(Décisions!AB10&lt;Constantes!$H$99,_xlfn.FORECAST.LINEAR(Décisions!AB10,Constantes!$P$99:$Q$99,Constantes!$G$99:$H$99),Constantes!$Q$99)))</f>
        <v>0</v>
      </c>
      <c r="AI99" s="31" t="s">
        <v>424</v>
      </c>
      <c r="AJ99" s="330">
        <f>IF(Décisions!AM10&lt;=Constantes!$F$99,Constantes!$O$99,IF(Décisions!AM10&lt;Constantes!$G$99,_xlfn.FORECAST.LINEAR(Décisions!AM10,Constantes!$O$99:$P$99,Constantes!$F$99:$G$99),IF(Décisions!AM10&lt;Constantes!$H$99,_xlfn.FORECAST.LINEAR(Décisions!AM10,Constantes!$P$99:$Q$99,Constantes!$G$99:$H$99),Constantes!$Q$99)))</f>
        <v>0</v>
      </c>
      <c r="AR99" s="24"/>
      <c r="AT99" s="31" t="s">
        <v>424</v>
      </c>
      <c r="AU99" s="330">
        <f>IF(Décisions!AX10&lt;=Constantes!$F$99,Constantes!$O$99,IF(Décisions!AX10&lt;Constantes!$G$99,_xlfn.FORECAST.LINEAR(Décisions!AX10,Constantes!$O$99:$P$99,Constantes!$F$99:$G$99),IF(Décisions!AX10&lt;Constantes!$H$99,_xlfn.FORECAST.LINEAR(Décisions!AX10,Constantes!$P$99:$Q$99,Constantes!$G$99:$H$99),Constantes!$Q$99)))</f>
        <v>0</v>
      </c>
    </row>
    <row r="100" spans="1:50" ht="21" customHeight="1" x14ac:dyDescent="0.25">
      <c r="B100" s="36" t="s">
        <v>239</v>
      </c>
      <c r="C100" s="131">
        <f ca="1">C88+SUM(C89:C97)</f>
        <v>93.085762610773244</v>
      </c>
      <c r="M100" s="36" t="s">
        <v>239</v>
      </c>
      <c r="N100" s="131">
        <f ca="1">N88+SUM(N89:N97)</f>
        <v>89.864762739668279</v>
      </c>
      <c r="X100" s="36" t="s">
        <v>239</v>
      </c>
      <c r="Y100" s="131">
        <f ca="1">Y88+SUM(Y89:Y97)</f>
        <v>96.896429594089568</v>
      </c>
      <c r="AI100" s="36" t="s">
        <v>239</v>
      </c>
      <c r="AJ100" s="131">
        <f ca="1">AJ88+SUM(AJ89:AJ97)</f>
        <v>108.9114297870596</v>
      </c>
      <c r="AR100" s="24"/>
      <c r="AT100" s="36" t="s">
        <v>239</v>
      </c>
      <c r="AU100" s="131">
        <f ca="1">AU88+SUM(AU89:AU97)</f>
        <v>124.37642992936568</v>
      </c>
    </row>
    <row r="101" spans="1:50" ht="21" customHeight="1" x14ac:dyDescent="0.25">
      <c r="AR101" s="24"/>
    </row>
    <row r="102" spans="1:50" ht="21" customHeight="1" x14ac:dyDescent="0.25">
      <c r="A102" s="749"/>
      <c r="B102" s="36" t="s">
        <v>231</v>
      </c>
      <c r="C102" s="129" t="str">
        <f>C70</f>
        <v>junior</v>
      </c>
      <c r="D102" s="129" t="str">
        <f>D70</f>
        <v>senior</v>
      </c>
      <c r="E102" s="129" t="str">
        <f>E70</f>
        <v>premium</v>
      </c>
      <c r="M102" s="36" t="s">
        <v>231</v>
      </c>
      <c r="N102" s="223" t="str">
        <f>Constantes!$Q$9</f>
        <v>junior</v>
      </c>
      <c r="O102" s="223" t="str">
        <f>Constantes!$R$9</f>
        <v>senior</v>
      </c>
      <c r="P102" s="223" t="str">
        <f>Constantes!$S$9</f>
        <v>premium</v>
      </c>
      <c r="X102" s="36" t="s">
        <v>231</v>
      </c>
      <c r="Y102" s="286" t="str">
        <f>Constantes!$Q$9</f>
        <v>junior</v>
      </c>
      <c r="Z102" s="286" t="str">
        <f>Constantes!$R$9</f>
        <v>senior</v>
      </c>
      <c r="AA102" s="286" t="str">
        <f>Constantes!$S$9</f>
        <v>premium</v>
      </c>
      <c r="AI102" s="36" t="s">
        <v>231</v>
      </c>
      <c r="AJ102" s="286" t="str">
        <f>Constantes!$Q$9</f>
        <v>junior</v>
      </c>
      <c r="AK102" s="286" t="str">
        <f>Constantes!$R$9</f>
        <v>senior</v>
      </c>
      <c r="AL102" s="286" t="str">
        <f>Constantes!$S$9</f>
        <v>premium</v>
      </c>
      <c r="AR102" s="24"/>
      <c r="AT102" s="36" t="s">
        <v>231</v>
      </c>
      <c r="AU102" s="287" t="str">
        <f>Constantes!$Q$9</f>
        <v>junior</v>
      </c>
      <c r="AV102" s="287" t="str">
        <f>Constantes!$R$9</f>
        <v>senior</v>
      </c>
      <c r="AW102" s="287" t="str">
        <f>Constantes!$S$9</f>
        <v>premium</v>
      </c>
    </row>
    <row r="103" spans="1:50" ht="21" customHeight="1" x14ac:dyDescent="0.25">
      <c r="B103" s="1" t="s">
        <v>226</v>
      </c>
      <c r="C103" s="111">
        <f>'Historique T=0'!C3</f>
        <v>1800</v>
      </c>
      <c r="D103" s="111">
        <f>'Historique T=0'!C4</f>
        <v>1200</v>
      </c>
      <c r="E103" s="111">
        <f>'Historique T=0'!C5</f>
        <v>700</v>
      </c>
      <c r="M103" s="1" t="s">
        <v>226</v>
      </c>
      <c r="N103" s="111">
        <f ca="1">C109</f>
        <v>1705</v>
      </c>
      <c r="O103" s="111">
        <f ca="1">D109</f>
        <v>1137</v>
      </c>
      <c r="P103" s="111">
        <f ca="1">E109</f>
        <v>663</v>
      </c>
      <c r="X103" s="1" t="s">
        <v>226</v>
      </c>
      <c r="Y103" s="111">
        <f ca="1">N109</f>
        <v>1687</v>
      </c>
      <c r="Z103" s="111">
        <f ca="1">O109</f>
        <v>1159</v>
      </c>
      <c r="AA103" s="111">
        <f ca="1">P109</f>
        <v>702</v>
      </c>
      <c r="AI103" s="1" t="s">
        <v>226</v>
      </c>
      <c r="AJ103" s="111">
        <f ca="1">Y109</f>
        <v>1749</v>
      </c>
      <c r="AK103" s="111">
        <f ca="1">Z109</f>
        <v>1236</v>
      </c>
      <c r="AL103" s="111">
        <f ca="1">AA109</f>
        <v>777</v>
      </c>
      <c r="AR103" s="24"/>
      <c r="AT103" s="1" t="s">
        <v>226</v>
      </c>
      <c r="AU103" s="111">
        <f ca="1">AJ109</f>
        <v>1936</v>
      </c>
      <c r="AV103" s="111">
        <f ca="1">AK109</f>
        <v>1394</v>
      </c>
      <c r="AW103" s="111">
        <f ca="1">AL109</f>
        <v>924</v>
      </c>
    </row>
    <row r="104" spans="1:50" ht="21" customHeight="1" x14ac:dyDescent="0.25">
      <c r="B104" s="1" t="s">
        <v>234</v>
      </c>
      <c r="C104" s="111">
        <f>C103*Constantes!$C$137</f>
        <v>-54</v>
      </c>
      <c r="D104" s="111">
        <f>D103*Constantes!$D$137</f>
        <v>-36</v>
      </c>
      <c r="E104" s="111">
        <f>E103*Constantes!$E$137</f>
        <v>-21</v>
      </c>
      <c r="M104" s="1" t="s">
        <v>234</v>
      </c>
      <c r="N104" s="111">
        <f ca="1">N103*Constantes!$C$137</f>
        <v>-51.15</v>
      </c>
      <c r="O104" s="111">
        <f ca="1">O103*Constantes!$D$137</f>
        <v>-34.11</v>
      </c>
      <c r="P104" s="111">
        <f ca="1">P103*Constantes!$E$137</f>
        <v>-19.89</v>
      </c>
      <c r="X104" s="1" t="s">
        <v>234</v>
      </c>
      <c r="Y104" s="111">
        <f ca="1">Y103*Constantes!$C$137</f>
        <v>-50.61</v>
      </c>
      <c r="Z104" s="111">
        <f ca="1">Z103*Constantes!$D$137</f>
        <v>-34.769999999999996</v>
      </c>
      <c r="AA104" s="111">
        <f ca="1">AA103*Constantes!$E$137</f>
        <v>-21.06</v>
      </c>
      <c r="AI104" s="1" t="s">
        <v>234</v>
      </c>
      <c r="AJ104" s="111">
        <f ca="1">AJ103*Constantes!$C$137</f>
        <v>-52.47</v>
      </c>
      <c r="AK104" s="111">
        <f ca="1">AK103*Constantes!$D$137</f>
        <v>-37.08</v>
      </c>
      <c r="AL104" s="111">
        <f ca="1">AL103*Constantes!$E$137</f>
        <v>-23.31</v>
      </c>
      <c r="AR104" s="24"/>
      <c r="AT104" s="1" t="s">
        <v>234</v>
      </c>
      <c r="AU104" s="111">
        <f ca="1">AU103*Constantes!$C$137</f>
        <v>-58.08</v>
      </c>
      <c r="AV104" s="111">
        <f ca="1">AV103*Constantes!$D$137</f>
        <v>-41.82</v>
      </c>
      <c r="AW104" s="111">
        <f ca="1">AW103*Constantes!$E$137</f>
        <v>-27.72</v>
      </c>
    </row>
    <row r="105" spans="1:50" ht="21" customHeight="1" x14ac:dyDescent="0.25">
      <c r="B105" s="1" t="s">
        <v>232</v>
      </c>
      <c r="C105" s="329"/>
      <c r="D105" s="329"/>
      <c r="E105" s="329"/>
      <c r="F105" s="1" t="s">
        <v>135</v>
      </c>
      <c r="M105" s="1" t="s">
        <v>232</v>
      </c>
      <c r="N105" s="140">
        <f ca="1">IF(Décisions!D45&lt;=Constantes!$C$75,Constantes!$C$79,IF(Décisions!D45&lt;Constantes!$C$76,_xlfn.FORECAST.LINEAR(Décisions!D45,Constantes!$C$80:$C$81,Constantes!$C$75:$C$76),Constantes!$C$81))*N103</f>
        <v>85.25</v>
      </c>
      <c r="O105" s="140">
        <f ca="1">IF(Décisions!D61&lt;=Constantes!$D$75,Constantes!$D$79,IF(Décisions!$D61&lt;Constantes!$D$76,_xlfn.FORECAST.LINEAR(Décisions!D61,Constantes!$D$80:$D$81,Constantes!$D$75:$D$76),Constantes!$D$81))*O103</f>
        <v>90.960000000000008</v>
      </c>
      <c r="P105" s="140">
        <f ca="1">IF(Décisions!D77&lt;=Constantes!$E$75,Constantes!$E$79,IF(Décisions!D77&lt;Constantes!$E$76,_xlfn.FORECAST.LINEAR(Décisions!D77,Constantes!$E$80:$E$81,Constantes!$E$75:$E$76),Constantes!$E$81))*P103</f>
        <v>79.56</v>
      </c>
      <c r="X105" s="1" t="s">
        <v>232</v>
      </c>
      <c r="Y105" s="140">
        <f ca="1">IF(Décisions!O45&lt;=Constantes!$C$75,Constantes!$C$79,IF(Décisions!O45&lt;Constantes!$C$76,_xlfn.FORECAST.LINEAR(Décisions!O45,Constantes!$C$80:$C$81,Constantes!$C$75:$C$76),Constantes!$C$81))*Y103</f>
        <v>84.350000000000009</v>
      </c>
      <c r="Z105" s="140">
        <f ca="1">IF(Décisions!O61&lt;=Constantes!$D$75,Constantes!$D$79,IF(Décisions!$O61&lt;Constantes!$D$76,_xlfn.FORECAST.LINEAR(Décisions!O61,Constantes!$D$80:$D$81,Constantes!$D$75:$D$76),Constantes!$D$81))*Z103</f>
        <v>92.72</v>
      </c>
      <c r="AA105" s="140">
        <f ca="1">IF(Décisions!O77&lt;=Constantes!$E$75,Constantes!$E$79,IF(Décisions!O77&lt;Constantes!$E$76,_xlfn.FORECAST.LINEAR(Décisions!O77,Constantes!$E$80:$E$81,Constantes!$E$75:$E$76),Constantes!$E$81))*AA103</f>
        <v>84.24</v>
      </c>
      <c r="AI105" s="1" t="s">
        <v>232</v>
      </c>
      <c r="AJ105" s="140">
        <f ca="1">IF(Décisions!Z45&lt;=Constantes!$C$75,Constantes!$C$79,IF(Décisions!Z45&lt;Constantes!$C$76,_xlfn.FORECAST.LINEAR(Décisions!Z45,Constantes!$C$80:$C$81,Constantes!$C$75:$C$76),Constantes!$C$81))*AJ103</f>
        <v>69.959999999999994</v>
      </c>
      <c r="AK105" s="140">
        <f ca="1">IF(Décisions!Z61&lt;=Constantes!$D$75,Constantes!$D$79,IF(Décisions!$Z61&lt;Constantes!$D$76,_xlfn.FORECAST.LINEAR(Décisions!Z61,Constantes!$D$80:$D$81,Constantes!$D$75:$D$76),Constantes!$D$81))*AK103</f>
        <v>49.439999999999976</v>
      </c>
      <c r="AL105" s="140">
        <f ca="1">IF(Décisions!Z77&lt;=Constantes!$E$75,Constantes!$E$79,IF(Décisions!Z77&lt;Constantes!$E$76,_xlfn.FORECAST.LINEAR(Décisions!Z77,Constantes!$E$80:$E$81,Constantes!$E$75:$E$76),Constantes!$E$81))*AL103</f>
        <v>46.619999999999976</v>
      </c>
      <c r="AR105" s="24"/>
      <c r="AT105" s="1" t="s">
        <v>232</v>
      </c>
      <c r="AU105" s="140">
        <f ca="1">IF(Décisions!AK45&lt;=Constantes!$C$75,Constantes!$C$79,IF(Décisions!AK45&lt;Constantes!$C$76,_xlfn.FORECAST.LINEAR(Décisions!AK45,Constantes!$C$80:$C$81,Constantes!$C$75:$C$76),Constantes!$C$81))*AU103</f>
        <v>-96.800000000000011</v>
      </c>
      <c r="AV105" s="140">
        <f ca="1">IF(Décisions!AK61&lt;=Constantes!$D$75,Constantes!$D$79,IF(Décisions!AK61&lt;Constantes!$D$76,_xlfn.FORECAST.LINEAR(Décisions!AK61,Constantes!$D$80:$D$81,Constantes!$D$75:$D$76),Constantes!$D$81))*AV103</f>
        <v>55.75999999999997</v>
      </c>
      <c r="AW105" s="140">
        <f ca="1">IF(Décisions!AK77&lt;=Constantes!$E$75,Constantes!$E$79,IF(Décisions!AK77&lt;Constantes!$E$76,_xlfn.FORECAST.LINEAR(Décisions!AK77,Constantes!$E$80:$E$81,Constantes!$E$75:$E$76),Constantes!$E$81))*AW103</f>
        <v>55.439999999999969</v>
      </c>
    </row>
    <row r="106" spans="1:50" ht="21" customHeight="1" x14ac:dyDescent="0.25">
      <c r="B106" s="1" t="s">
        <v>243</v>
      </c>
      <c r="C106" s="331">
        <f ca="1">IF($C100&lt;=Constantes!C$148,Constantes!C$151,IF($C100&lt;Constantes!C$149,_xlfn.FORECAST.LINEAR($C100,Constantes!C$151:C$152,Constantes!C$148:C$149),IF($C100&lt;Constantes!C$150,_xlfn.FORECAST.LINEAR($C100,Constantes!C$152:C$153,Constantes!C$149:C$150),Constantes!C$153)))*C103</f>
        <v>13.885931748479607</v>
      </c>
      <c r="D106" s="331">
        <f ca="1">IF($C100&lt;=Constantes!D$148,Constantes!D$151,IF($C100&lt;Constantes!D$149,_xlfn.FORECAST.LINEAR($C100,Constantes!D$151:D$152,Constantes!D$148:D$149),IF($C100&lt;Constantes!D$150,_xlfn.FORECAST.LINEAR($C100,Constantes!D$152:D$153,Constantes!D$149:D$150),Constantes!D$153)))*D103</f>
        <v>9.2572878323197383</v>
      </c>
      <c r="E106" s="331">
        <f ca="1">IF($C100&lt;=Constantes!E$148,Constantes!E$151,IF($C100&lt;Constantes!E$149,_xlfn.FORECAST.LINEAR($C100,Constantes!E$151:E$152,Constantes!E$148:E$149),IF($C100&lt;Constantes!E$150,_xlfn.FORECAST.LINEAR($C100,Constantes!E$152:E$153,Constantes!E$149:E$150),Constantes!E$153)))*E103</f>
        <v>5.4000845688531811</v>
      </c>
      <c r="L106" s="288"/>
      <c r="M106" s="1" t="s">
        <v>243</v>
      </c>
      <c r="N106" s="331">
        <f ca="1">IF($N100&lt;=Constantes!C$148,Constantes!C$151,IF($N100&lt;Constantes!C$149,_xlfn.FORECAST.LINEAR($N100,Constantes!C$151:C$152,Constantes!C$148:C$149),IF($N100&lt;Constantes!C$150,_xlfn.FORECAST.LINEAR($N100,Constantes!C$152:C$153,Constantes!C$149:C$150),Constantes!C$153)))*N103</f>
        <v>-0.80702835102957948</v>
      </c>
      <c r="O106" s="331">
        <f ca="1">IF($N100&lt;=Constantes!D$148,Constantes!D$151,IF($N100&lt;Constantes!D$149,_xlfn.FORECAST.LINEAR($N100,Constantes!D$151:D$152,Constantes!D$148:D$149),IF($N100&lt;Constantes!D$150,_xlfn.FORECAST.LINEAR($N100,Constantes!D$152:D$153,Constantes!D$149:D$150),Constantes!D$153)))*O103</f>
        <v>-0.53817667749010667</v>
      </c>
      <c r="P106" s="331">
        <f ca="1">IF($N100&lt;=Constantes!E$148,Constantes!E$151,IF($N100&lt;Constantes!E$149,_xlfn.FORECAST.LINEAR($N100,Constantes!E$151:E$152,Constantes!E$148:E$149),IF($N100&lt;Constantes!E$150,_xlfn.FORECAST.LINEAR($N100,Constantes!E$152:E$153,Constantes!E$149:E$150),Constantes!E$153)))*P103</f>
        <v>-0.31381806259977196</v>
      </c>
      <c r="W106" s="288"/>
      <c r="X106" s="1" t="s">
        <v>243</v>
      </c>
      <c r="Y106" s="331">
        <f ca="1">IF($Y100&lt;=Constantes!C$148,Constantes!C$151,IF($Y100&lt;Constantes!C$149,_xlfn.FORECAST.LINEAR($Y100,Constantes!C$151:C$152,Constantes!C$148:C$149),IF($Y100&lt;Constantes!C$150,_xlfn.FORECAST.LINEAR($Y100,Constantes!C$152:C$153,Constantes!C$149:C$150),Constantes!C$153)))*Y103</f>
        <v>29.085691813072764</v>
      </c>
      <c r="Z106" s="331">
        <f ca="1">IF($Y100&lt;=Constantes!D$148,Constantes!D$151,IF($Y100&lt;Constantes!D$149,_xlfn.FORECAST.LINEAR($Y100,Constantes!D$151:D$152,Constantes!D$148:D$149),IF($Y100&lt;Constantes!D$150,_xlfn.FORECAST.LINEAR($Y100,Constantes!D$152:D$153,Constantes!D$149:D$150),Constantes!D$153)))*Z103</f>
        <v>19.982404748874529</v>
      </c>
      <c r="AA106" s="331">
        <f ca="1">IF($Y100&lt;=Constantes!E$148,Constantes!E$151,IF($Y100&lt;Constantes!E$149,_xlfn.FORECAST.LINEAR($Y100,Constantes!E$151:E$152,Constantes!E$148:E$149),IF($Y100&lt;Constantes!E$150,_xlfn.FORECAST.LINEAR($Y100,Constantes!E$152:E$153,Constantes!E$149:E$150),Constantes!E$153)))*AA103</f>
        <v>12.103233937627197</v>
      </c>
      <c r="AI106" s="1" t="s">
        <v>243</v>
      </c>
      <c r="AJ106" s="331">
        <f ca="1">IF($AJ100&lt;=Constantes!C$148,Constantes!C$151,IF($AJ100&lt;Constantes!C$149,_xlfn.FORECAST.LINEAR($AJ100,Constantes!C$151:C$152,Constantes!C$148:C$149),IF($AJ100&lt;Constantes!C$150,_xlfn.FORECAST.LINEAR($AJ100,Constantes!C$152:C$153,Constantes!C$149:C$150),Constantes!C$153)))*AJ103</f>
        <v>82.690226743918132</v>
      </c>
      <c r="AK106" s="331">
        <f ca="1">IF($AJ100&lt;=Constantes!D$148,Constantes!D$151,IF($AJ100&lt;Constantes!D$149,_xlfn.FORECAST.LINEAR($AJ100,Constantes!D$151:D$152,Constantes!D$148:D$149),IF($AJ100&lt;Constantes!D$150,_xlfn.FORECAST.LINEAR($AJ100,Constantes!D$152:D$153,Constantes!D$149:D$150),Constantes!D$153)))*AK103</f>
        <v>58.436318042014186</v>
      </c>
      <c r="AL106" s="331">
        <f ca="1">IF($AJ100&lt;=Constantes!E$148,Constantes!E$151,IF($AJ100&lt;Constantes!E$149,_xlfn.FORECAST.LINEAR($AJ100,Constantes!E$151:E$152,Constantes!E$148:E$149),IF($AJ100&lt;Constantes!E$150,_xlfn.FORECAST.LINEAR($AJ100,Constantes!E$152:E$153,Constantes!E$149:E$150),Constantes!E$153)))*AL103</f>
        <v>36.735452361363286</v>
      </c>
      <c r="AR106" s="24"/>
      <c r="AT106" s="1" t="s">
        <v>243</v>
      </c>
      <c r="AU106" s="331">
        <f ca="1">IF($AU100&lt;=Constantes!C$148,Constantes!C$151,IF($AU100&lt;Constantes!C$149,_xlfn.FORECAST.LINEAR($AU100,Constantes!C$151:C$152,Constantes!C$148:C$149),IF($AU100&lt;Constantes!C$150,_xlfn.FORECAST.LINEAR($AU100,Constantes!C$152:C$153,Constantes!C$149:C$150),Constantes!C$153)))*AU103</f>
        <v>96.800000000000011</v>
      </c>
      <c r="AV106" s="331">
        <f ca="1">IF($AU100&lt;=Constantes!D$148,Constantes!D$151,IF($AU100&lt;Constantes!D$149,_xlfn.FORECAST.LINEAR($AU100,Constantes!D$151:D$152,Constantes!D$148:D$149),IF($AU100&lt;Constantes!D$150,_xlfn.FORECAST.LINEAR($AU100,Constantes!D$152:D$153,Constantes!D$149:D$150),Constantes!D$153)))*AV103</f>
        <v>69.7</v>
      </c>
      <c r="AW106" s="331">
        <f ca="1">IF($AU100&lt;=Constantes!E$148,Constantes!E$151,IF($AU100&lt;Constantes!E$149,_xlfn.FORECAST.LINEAR($AU100,Constantes!E$151:E$152,Constantes!E$148:E$149),IF($AU100&lt;Constantes!E$150,_xlfn.FORECAST.LINEAR($AU100,Constantes!E$152:E$153,Constantes!E$149:E$150),Constantes!E$153)))*AW103</f>
        <v>46.2</v>
      </c>
    </row>
    <row r="107" spans="1:50" ht="21" customHeight="1" x14ac:dyDescent="0.25">
      <c r="B107" s="1" t="s">
        <v>425</v>
      </c>
      <c r="C107" s="331">
        <f>IF(Décisions!F$9&lt;=Constantes!$F$97,Constantes!$I$97,IF(Décisions!F$9&lt;Constantes!$G$97,_xlfn.FORECAST.LINEAR(Décisions!F$9,Constantes!$I$97:$J$97,Constantes!$F$97:$G$97),IF(Décisions!F$9&lt;Constantes!$H$97,_xlfn.FORECAST.LINEAR(Décisions!F$9,Constantes!$J$97:$K$97,Constantes!$G$97:$H$97),Constantes!$K$97)))*C103</f>
        <v>-54</v>
      </c>
      <c r="D107" s="331">
        <f>IF(Décisions!F$9&lt;=Constantes!$F$97,Constantes!$I$97,IF(Décisions!F$9&lt;Constantes!$G$97,_xlfn.FORECAST.LINEAR(Décisions!F$9,Constantes!$I$97:$J$97,Constantes!$F$97:$G$97),IF(Décisions!F$9&lt;Constantes!$H$97,_xlfn.FORECAST.LINEAR(Décisions!F$9,Constantes!$J$97:$K$97,Constantes!$G$97:$H$97),Constantes!$K$97)))*D103</f>
        <v>-36</v>
      </c>
      <c r="E107" s="331">
        <f>IF(Décisions!F$9&lt;=Constantes!$F$97,Constantes!$I$97,IF(Décisions!F$9&lt;Constantes!$G$97,_xlfn.FORECAST.LINEAR(Décisions!F$9,Constantes!$I$97:$J$97,Constantes!$F$97:$G$97),IF(Décisions!F$9&lt;Constantes!$H$97,_xlfn.FORECAST.LINEAR(Décisions!F$9,Constantes!$J$97:$K$97,Constantes!$G$97:$H$97),Constantes!$K$97)))*E103</f>
        <v>-21</v>
      </c>
      <c r="L107" s="288"/>
      <c r="M107" s="1" t="s">
        <v>425</v>
      </c>
      <c r="N107" s="331">
        <f ca="1">IF(Décisions!Q$9&lt;=Constantes!$F$97,Constantes!$I$97,IF(Décisions!Q$9&lt;Constantes!$G$97,_xlfn.FORECAST.LINEAR(Décisions!Q$9,Constantes!$I$97:$J$97,Constantes!$F$97:$G$97),IF(Décisions!Q$9&lt;Constantes!$H$97,_xlfn.FORECAST.LINEAR(Décisions!Q$9,Constantes!$J$97:$K$97,Constantes!$G$97:$H$97),Constantes!$K$97)))*N103</f>
        <v>-51.15</v>
      </c>
      <c r="O107" s="331">
        <f ca="1">IF(Décisions!Q$9&lt;=Constantes!$F$97,Constantes!$I$97,IF(Décisions!Q$9&lt;Constantes!$G$97,_xlfn.FORECAST.LINEAR(Décisions!Q$9,Constantes!$I$97:$J$97,Constantes!$F$97:$G$97),IF(Décisions!Q$9&lt;Constantes!$H$97,_xlfn.FORECAST.LINEAR(Décisions!Q$9,Constantes!$J$97:$K$97,Constantes!$G$97:$H$97),Constantes!$K$97)))*O103</f>
        <v>-34.11</v>
      </c>
      <c r="P107" s="331">
        <f ca="1">IF(Décisions!Q$9&lt;=Constantes!$F$97,Constantes!$I$97,IF(Décisions!Q$9&lt;Constantes!$G$97,_xlfn.FORECAST.LINEAR(Décisions!Q$9,Constantes!$I$97:$J$97,Constantes!$F$97:$G$97),IF(Décisions!Q$9&lt;Constantes!$H$97,_xlfn.FORECAST.LINEAR(Décisions!Q$9,Constantes!$J$97:$K$97,Constantes!$G$97:$H$97),Constantes!$K$97)))*P103</f>
        <v>-19.89</v>
      </c>
      <c r="X107" s="1" t="s">
        <v>425</v>
      </c>
      <c r="Y107" s="331">
        <f ca="1">IF(Décisions!AB$9&lt;=Constantes!$F$97,Constantes!$I$97,IF(Décisions!AB$9&lt;Constantes!$G$97,_xlfn.FORECAST.LINEAR(Décisions!AB$9,Constantes!$I$97:$J$97,Constantes!$F$97:$G$97),IF(Décisions!AB$9&lt;Constantes!$H$97,_xlfn.FORECAST.LINEAR(Décisions!AB$9,Constantes!$J$97:$K$97,Constantes!$G$97:$H$97),Constantes!$K$97)))*Y103</f>
        <v>2.3411828031782989E-14</v>
      </c>
      <c r="Z107" s="331">
        <f ca="1">IF(Décisions!AB$9&lt;=Constantes!$F$97,Constantes!$I$97,IF(Décisions!AB$9&lt;Constantes!$G$97,_xlfn.FORECAST.LINEAR(Décisions!AB$9,Constantes!$I$97:$J$97,Constantes!$F$97:$G$97),IF(Décisions!AB$9&lt;Constantes!$H$97,_xlfn.FORECAST.LINEAR(Décisions!AB$9,Constantes!$J$97:$K$97,Constantes!$G$97:$H$97),Constantes!$K$97)))*Z103</f>
        <v>1.6084356069256955E-14</v>
      </c>
      <c r="AA107" s="331">
        <f ca="1">IF(Décisions!AB$9&lt;=Constantes!$F$97,Constantes!$I$97,IF(Décisions!AB$9&lt;Constantes!$G$97,_xlfn.FORECAST.LINEAR(Décisions!AB$9,Constantes!$I$97:$J$97,Constantes!$F$97:$G$97),IF(Décisions!AB$9&lt;Constantes!$H$97,_xlfn.FORECAST.LINEAR(Décisions!AB$9,Constantes!$J$97:$K$97,Constantes!$G$97:$H$97),Constantes!$K$97)))*AA103</f>
        <v>9.7422070410857486E-15</v>
      </c>
      <c r="AI107" s="1" t="s">
        <v>425</v>
      </c>
      <c r="AJ107" s="331">
        <f ca="1">IF(Décisions!AM$9&lt;=Constantes!$F$97,Constantes!$I$97,IF(Décisions!AM$9&lt;Constantes!$G$97,_xlfn.FORECAST.LINEAR(Décisions!AM$9,Constantes!$I$97:$J$97,Constantes!$F$97:$G$97),IF(Décisions!AM$9&lt;Constantes!$H$97,_xlfn.FORECAST.LINEAR(Décisions!AM$9,Constantes!$J$97:$K$97,Constantes!$G$97:$H$97),Constantes!$K$97)))*AJ103</f>
        <v>2.4272250875867485E-14</v>
      </c>
      <c r="AK107" s="331">
        <f ca="1">IF(Décisions!AM$9&lt;=Constantes!$F$97,Constantes!$I$97,IF(Décisions!AM$9&lt;Constantes!$G$97,_xlfn.FORECAST.LINEAR(Décisions!AM$9,Constantes!$I$97:$J$97,Constantes!$F$97:$G$97),IF(Décisions!AM$9&lt;Constantes!$H$97,_xlfn.FORECAST.LINEAR(Décisions!AM$9,Constantes!$J$97:$K$97,Constantes!$G$97:$H$97),Constantes!$K$97)))*AK103</f>
        <v>1.7152945730458669E-14</v>
      </c>
      <c r="AL107" s="331">
        <f ca="1">IF(Décisions!AM$9&lt;=Constantes!$F$97,Constantes!$I$97,IF(Décisions!AM$9&lt;Constantes!$G$97,_xlfn.FORECAST.LINEAR(Décisions!AM$9,Constantes!$I$97:$J$97,Constantes!$F$97:$G$97),IF(Décisions!AM$9&lt;Constantes!$H$97,_xlfn.FORECAST.LINEAR(Décisions!AM$9,Constantes!$J$97:$K$97,Constantes!$G$97:$H$97),Constantes!$K$97)))*AL103</f>
        <v>1.0783041126671833E-14</v>
      </c>
      <c r="AR107" s="24"/>
      <c r="AT107" s="1" t="s">
        <v>425</v>
      </c>
      <c r="AU107" s="331">
        <f ca="1">IF(Décisions!AX$9&lt;=Constantes!$F$97,Constantes!$I$97,IF(Décisions!AX$9&lt;Constantes!$G$97,_xlfn.FORECAST.LINEAR(Décisions!AX$9,Constantes!$I$97:$J$97,Constantes!$F$97:$G$97),IF(Décisions!AX$9&lt;Constantes!$H$97,_xlfn.FORECAST.LINEAR(Décisions!AX$9,Constantes!$J$97:$K$97,Constantes!$G$97:$H$97),Constantes!$K$97)))*AU103</f>
        <v>2.6867397195928788E-14</v>
      </c>
      <c r="AV107" s="331">
        <f ca="1">IF(Décisions!AX$9&lt;=Constantes!$F$97,Constantes!$I$97,IF(Décisions!AX$9&lt;Constantes!$G$97,_xlfn.FORECAST.LINEAR(Décisions!AX$9,Constantes!$I$97:$J$97,Constantes!$F$97:$G$97),IF(Décisions!AX$9&lt;Constantes!$H$97,_xlfn.FORECAST.LINEAR(Décisions!AX$9,Constantes!$J$97:$K$97,Constantes!$G$97:$H$97),Constantes!$K$97)))*AV103</f>
        <v>1.9345636204093353E-14</v>
      </c>
      <c r="AW107" s="331">
        <f ca="1">IF(Décisions!AX$9&lt;=Constantes!$F$97,Constantes!$I$97,IF(Décisions!AX$9&lt;Constantes!$G$97,_xlfn.FORECAST.LINEAR(Décisions!AX$9,Constantes!$I$97:$J$97,Constantes!$F$97:$G$97),IF(Décisions!AX$9&lt;Constantes!$H$97,_xlfn.FORECAST.LINEAR(Décisions!AX$9,Constantes!$J$97:$K$97,Constantes!$G$97:$H$97),Constantes!$K$97)))*AW103</f>
        <v>1.2823075934420558E-14</v>
      </c>
    </row>
    <row r="108" spans="1:50" ht="21" customHeight="1" x14ac:dyDescent="0.25">
      <c r="B108" s="1" t="s">
        <v>245</v>
      </c>
      <c r="C108" s="140">
        <f>IF(Décisions!I26&lt;&gt;0,Constantes!$G$60,0)*C103</f>
        <v>0</v>
      </c>
      <c r="D108" s="141">
        <f>C108</f>
        <v>0</v>
      </c>
      <c r="E108" s="141">
        <f>C108</f>
        <v>0</v>
      </c>
      <c r="F108" s="1" t="s">
        <v>339</v>
      </c>
      <c r="L108" s="288"/>
      <c r="M108" s="1" t="s">
        <v>245</v>
      </c>
      <c r="N108" s="140">
        <f ca="1">IF(Décisions!T26&lt;&gt;0,Constantes!$G$60,0)*N103</f>
        <v>0</v>
      </c>
      <c r="O108" s="141">
        <f ca="1">N108</f>
        <v>0</v>
      </c>
      <c r="P108" s="141">
        <f ca="1">N108</f>
        <v>0</v>
      </c>
      <c r="Q108" s="1" t="s">
        <v>339</v>
      </c>
      <c r="R108" s="1"/>
      <c r="S108" s="1"/>
      <c r="T108" s="1"/>
      <c r="U108" s="1"/>
      <c r="X108" s="1" t="s">
        <v>245</v>
      </c>
      <c r="Y108" s="140">
        <f ca="1">IF(Décisions!AE26&lt;&gt;0,Constantes!$G$60,0)*Y103</f>
        <v>0</v>
      </c>
      <c r="Z108" s="141">
        <f ca="1">Y108</f>
        <v>0</v>
      </c>
      <c r="AA108" s="141">
        <f ca="1">Y108</f>
        <v>0</v>
      </c>
      <c r="AB108" s="1" t="s">
        <v>339</v>
      </c>
      <c r="AC108" s="1"/>
      <c r="AD108" s="1"/>
      <c r="AE108" s="1"/>
      <c r="AF108" s="1"/>
      <c r="AI108" s="1" t="s">
        <v>245</v>
      </c>
      <c r="AJ108" s="140">
        <f ca="1">IF(Décisions!AP26&lt;&gt;0,Constantes!$G$60,0)*AJ103</f>
        <v>87.45</v>
      </c>
      <c r="AK108" s="141">
        <f ca="1">AJ108</f>
        <v>87.45</v>
      </c>
      <c r="AL108" s="141">
        <f ca="1">AJ108</f>
        <v>87.45</v>
      </c>
      <c r="AM108" s="1" t="s">
        <v>339</v>
      </c>
      <c r="AN108" s="1"/>
      <c r="AO108" s="1"/>
      <c r="AP108" s="1"/>
      <c r="AQ108" s="1"/>
      <c r="AR108" s="24"/>
      <c r="AT108" s="1" t="s">
        <v>245</v>
      </c>
      <c r="AU108" s="140">
        <f ca="1">IF(Décisions!BA26&lt;&gt;0,Constantes!$G$60,0)*AU103</f>
        <v>0</v>
      </c>
      <c r="AV108" s="141">
        <f ca="1">AU108</f>
        <v>0</v>
      </c>
      <c r="AW108" s="141">
        <f ca="1">AU108</f>
        <v>0</v>
      </c>
      <c r="AX108" s="1" t="s">
        <v>339</v>
      </c>
    </row>
    <row r="109" spans="1:50" ht="21" customHeight="1" x14ac:dyDescent="0.25">
      <c r="B109" s="36" t="s">
        <v>240</v>
      </c>
      <c r="C109" s="123">
        <f ca="1">TRUNC(C103+SUM(C104:C108))</f>
        <v>1705</v>
      </c>
      <c r="D109" s="123">
        <f ca="1">TRUNC(D103+SUM(D104:D108))</f>
        <v>1137</v>
      </c>
      <c r="E109" s="123">
        <f ca="1">TRUNC(E103+SUM(E104:E108))</f>
        <v>663</v>
      </c>
      <c r="M109" s="36" t="s">
        <v>240</v>
      </c>
      <c r="N109" s="123">
        <f ca="1">TRUNC(N103+SUM(N104:N108))</f>
        <v>1687</v>
      </c>
      <c r="O109" s="123">
        <f ca="1">TRUNC(O103+SUM(O104:O108))</f>
        <v>1159</v>
      </c>
      <c r="P109" s="123">
        <f ca="1">TRUNC(P103+SUM(P104:P108))</f>
        <v>702</v>
      </c>
      <c r="X109" s="36" t="s">
        <v>240</v>
      </c>
      <c r="Y109" s="123">
        <f ca="1">TRUNC(Y103+SUM(Y104:Y108))</f>
        <v>1749</v>
      </c>
      <c r="Z109" s="123">
        <f ca="1">TRUNC(Z103+SUM(Z104:Z108))</f>
        <v>1236</v>
      </c>
      <c r="AA109" s="123">
        <f ca="1">TRUNC(AA103+SUM(AA104:AA108))</f>
        <v>777</v>
      </c>
      <c r="AI109" s="36" t="s">
        <v>240</v>
      </c>
      <c r="AJ109" s="123">
        <f ca="1">TRUNC(AJ103+SUM(AJ104:AJ108))</f>
        <v>1936</v>
      </c>
      <c r="AK109" s="123">
        <f ca="1">TRUNC(AK103+SUM(AK104:AK108))</f>
        <v>1394</v>
      </c>
      <c r="AL109" s="123">
        <f ca="1">TRUNC(AL103+SUM(AL104:AL108))</f>
        <v>924</v>
      </c>
      <c r="AR109" s="24"/>
      <c r="AT109" s="36" t="s">
        <v>240</v>
      </c>
      <c r="AU109" s="123">
        <f ca="1">TRUNC(AU103+SUM(AU104:AU108))</f>
        <v>1877</v>
      </c>
      <c r="AV109" s="123">
        <f ca="1">TRUNC(AV103+SUM(AV104:AV108))</f>
        <v>1477</v>
      </c>
      <c r="AW109" s="123">
        <f ca="1">TRUNC(AW103+SUM(AW104:AW108))</f>
        <v>997</v>
      </c>
    </row>
    <row r="110" spans="1:50" ht="21" customHeight="1" x14ac:dyDescent="0.25">
      <c r="B110" s="36"/>
      <c r="C110" s="137"/>
      <c r="D110" s="137"/>
      <c r="E110" s="137"/>
      <c r="M110" s="36"/>
      <c r="N110" s="137"/>
      <c r="O110" s="137"/>
      <c r="P110" s="137"/>
      <c r="X110" s="36"/>
      <c r="Y110" s="137"/>
      <c r="Z110" s="137"/>
      <c r="AA110" s="137"/>
      <c r="AI110" s="36"/>
      <c r="AJ110" s="137"/>
      <c r="AK110" s="137"/>
      <c r="AL110" s="137"/>
      <c r="AR110" s="24"/>
      <c r="AT110" s="36"/>
      <c r="AU110" s="137"/>
      <c r="AV110" s="137"/>
      <c r="AW110" s="137"/>
    </row>
    <row r="111" spans="1:50" ht="21" customHeight="1" x14ac:dyDescent="0.25">
      <c r="A111" s="749"/>
      <c r="B111" s="36" t="s">
        <v>76</v>
      </c>
      <c r="C111" s="137"/>
      <c r="D111" s="137"/>
      <c r="E111" s="137"/>
      <c r="M111" s="36" t="s">
        <v>76</v>
      </c>
      <c r="N111" s="137"/>
      <c r="O111" s="137"/>
      <c r="P111" s="137"/>
      <c r="X111" s="36" t="s">
        <v>76</v>
      </c>
      <c r="Y111" s="137"/>
      <c r="Z111" s="137"/>
      <c r="AA111" s="137"/>
      <c r="AI111" s="36" t="s">
        <v>76</v>
      </c>
      <c r="AJ111" s="137"/>
      <c r="AK111" s="137"/>
      <c r="AL111" s="137"/>
      <c r="AR111" s="24"/>
      <c r="AT111" s="36" t="s">
        <v>76</v>
      </c>
      <c r="AU111" s="137"/>
      <c r="AV111" s="137"/>
      <c r="AW111" s="137"/>
    </row>
    <row r="112" spans="1:50" ht="21" customHeight="1" x14ac:dyDescent="0.25">
      <c r="B112" s="1" t="s">
        <v>259</v>
      </c>
      <c r="C112" s="128">
        <f>Constantes!F23</f>
        <v>0.4</v>
      </c>
      <c r="D112" s="137"/>
      <c r="E112" s="137"/>
      <c r="M112" s="1" t="s">
        <v>259</v>
      </c>
      <c r="N112" s="128">
        <f ca="1">OFFSET(Constantes!$C$23,0,Décisions!U1-1)</f>
        <v>0.4</v>
      </c>
      <c r="O112" s="137"/>
      <c r="P112" s="137"/>
      <c r="X112" s="1" t="s">
        <v>259</v>
      </c>
      <c r="Y112" s="128">
        <f ca="1">OFFSET(Constantes!$C$23,0,Décisions!AF1-1)</f>
        <v>0.5</v>
      </c>
      <c r="Z112" s="137"/>
      <c r="AA112" s="137"/>
      <c r="AI112" s="1" t="s">
        <v>259</v>
      </c>
      <c r="AJ112" s="128">
        <f ca="1">OFFSET(Constantes!$C$23,0,Décisions!AQ1-1)</f>
        <v>0.2</v>
      </c>
      <c r="AK112" s="137"/>
      <c r="AL112" s="137"/>
      <c r="AR112" s="24"/>
      <c r="AT112" s="1" t="s">
        <v>259</v>
      </c>
      <c r="AU112" s="128">
        <f ca="1">OFFSET(Constantes!$C$23,0,Décisions!BB1-1)</f>
        <v>0.4</v>
      </c>
      <c r="AV112" s="137"/>
      <c r="AW112" s="137"/>
    </row>
    <row r="113" spans="1:49" ht="21" customHeight="1" x14ac:dyDescent="0.25">
      <c r="A113" s="786" t="s">
        <v>237</v>
      </c>
      <c r="B113" s="49" t="str">
        <f>B91</f>
        <v>junior</v>
      </c>
      <c r="C113" s="332">
        <f ca="1">IF(C53&lt;=Constantes!$C$27,Constantes!$C$31,IF(C53&lt;Constantes!$C$28,_xlfn.FORECAST.LINEAR(C53,Constantes!$C$31:$C$32,Constantes!$C$27:$C$28),IF(C53&lt;Constantes!$C$29,_xlfn.FORECAST.LINEAR(C53,Constantes!$C$32:$C$33,Constantes!$C$28:$C$29),Constantes!$C$33)))</f>
        <v>0.16399999999999992</v>
      </c>
      <c r="D113" s="137"/>
      <c r="E113" s="137"/>
      <c r="L113" s="786" t="s">
        <v>237</v>
      </c>
      <c r="M113" s="49" t="str">
        <f>B113</f>
        <v>junior</v>
      </c>
      <c r="N113" s="332">
        <f ca="1">IF(N53&lt;=Constantes!$C$27,Constantes!$C$31,IF(N53&lt;Constantes!$C$28,_xlfn.FORECAST.LINEAR(N53,Constantes!$C$31:$C$32,Constantes!$C$27:$C$28),IF(N53&lt;Constantes!$C$29,_xlfn.FORECAST.LINEAR(N53,Constantes!$C$32:$C$33,Constantes!$C$28:$C$29),Constantes!$C$33)))</f>
        <v>0.2</v>
      </c>
      <c r="O113" s="137"/>
      <c r="P113" s="137"/>
      <c r="W113" s="786" t="s">
        <v>237</v>
      </c>
      <c r="X113" s="49" t="str">
        <f>M113</f>
        <v>junior</v>
      </c>
      <c r="Y113" s="332">
        <f ca="1">IF(Y53&lt;=Constantes!$C$27,Constantes!$C$31,IF(Y53&lt;Constantes!$C$28,_xlfn.FORECAST.LINEAR(Y53,Constantes!$C$31:$C$32,Constantes!$C$27:$C$28),IF(Y53&lt;Constantes!$C$29,_xlfn.FORECAST.LINEAR(Y53,Constantes!$C$32:$C$33,Constantes!$C$28:$C$29),Constantes!$C$33)))</f>
        <v>0.17733333333333323</v>
      </c>
      <c r="Z113" s="137"/>
      <c r="AA113" s="137"/>
      <c r="AH113" s="786" t="s">
        <v>237</v>
      </c>
      <c r="AI113" s="49" t="str">
        <f>X113</f>
        <v>junior</v>
      </c>
      <c r="AJ113" s="332">
        <f ca="1">IF(AJ53&lt;=Constantes!$C$27,Constantes!$C$31,IF(AJ53&lt;Constantes!$C$28,_xlfn.FORECAST.LINEAR(AJ53,Constantes!$C$31:$C$32,Constantes!$C$27:$C$28),IF(AJ53&lt;Constantes!$C$29,_xlfn.FORECAST.LINEAR(AJ53,Constantes!$C$32:$C$33,Constantes!$C$28:$C$29),Constantes!$C$33)))</f>
        <v>0.17733333333333323</v>
      </c>
      <c r="AK113" s="137"/>
      <c r="AL113" s="137"/>
      <c r="AR113" s="24"/>
      <c r="AS113" s="786" t="s">
        <v>237</v>
      </c>
      <c r="AT113" s="49" t="str">
        <f>AI113</f>
        <v>junior</v>
      </c>
      <c r="AU113" s="332">
        <f ca="1">IF(AU53&lt;=Constantes!$C$27,Constantes!$C$31,IF(AU53&lt;Constantes!$C$28,_xlfn.FORECAST.LINEAR(AU53,Constantes!$C$31:$C$32,Constantes!$C$27:$C$28),IF(AU53&lt;Constantes!$C$29,_xlfn.FORECAST.LINEAR(AU53,Constantes!$C$32:$C$33,Constantes!$C$28:$C$29),Constantes!$C$33)))</f>
        <v>0.14066666666666661</v>
      </c>
      <c r="AV113" s="137"/>
      <c r="AW113" s="137"/>
    </row>
    <row r="114" spans="1:49" ht="21" customHeight="1" x14ac:dyDescent="0.25">
      <c r="A114" s="786"/>
      <c r="B114" s="49" t="str">
        <f>B92</f>
        <v>senior</v>
      </c>
      <c r="C114" s="332">
        <f ca="1">IF(D53&lt;=Constantes!$D$27,Constantes!$D$31,IF(D53&lt;Constantes!$D$28,_xlfn.FORECAST.LINEAR(D53,Constantes!$D$31:$D$32,Constantes!$D$27:$D$28),IF(D53&lt;Constantes!$D$29,_xlfn.FORECAST.LINEAR(D53,Constantes!$D$32:$D$33,Constantes!$D$28:$D$29),Constantes!$D$33)))</f>
        <v>6.4999999999999503E-3</v>
      </c>
      <c r="D114" s="137"/>
      <c r="E114" s="137"/>
      <c r="L114" s="786"/>
      <c r="M114" s="49" t="str">
        <f>B114</f>
        <v>senior</v>
      </c>
      <c r="N114" s="332">
        <f ca="1">IF(O53&lt;=Constantes!$D$27,Constantes!$D$31,IF(O53&lt;Constantes!$D$28,_xlfn.FORECAST.LINEAR(O53,Constantes!$D$31:$D$32,Constantes!$D$27:$D$28),IF(O53&lt;Constantes!$D$29,_xlfn.FORECAST.LINEAR(O53,Constantes!$D$32:$D$33,Constantes!$D$28:$D$29),Constantes!$D$33)))</f>
        <v>2.0166666666666611E-2</v>
      </c>
      <c r="O114" s="137"/>
      <c r="P114" s="137"/>
      <c r="W114" s="786"/>
      <c r="X114" s="49" t="str">
        <f>M114</f>
        <v>senior</v>
      </c>
      <c r="Y114" s="332">
        <f ca="1">IF(Z53&lt;=Constantes!$D$27,Constantes!$D$31,IF(Z53&lt;Constantes!$D$28,_xlfn.FORECAST.LINEAR(Z53,Constantes!$D$31:$D$32,Constantes!$D$27:$D$28),IF(Z53&lt;Constantes!$D$29,_xlfn.FORECAST.LINEAR(Z53,Constantes!$D$32:$D$33,Constantes!$D$28:$D$29),Constantes!$D$33)))</f>
        <v>6.1666666666665981E-3</v>
      </c>
      <c r="Z114" s="137"/>
      <c r="AA114" s="137"/>
      <c r="AH114" s="786"/>
      <c r="AI114" s="49" t="str">
        <f>X114</f>
        <v>senior</v>
      </c>
      <c r="AJ114" s="332">
        <f ca="1">IF(AK53&lt;=Constantes!$D$27,Constantes!$D$31,IF(AK53&lt;Constantes!$D$28,_xlfn.FORECAST.LINEAR(AK53,Constantes!$D$31:$D$32,Constantes!$D$27:$D$28),IF(AK53&lt;Constantes!$D$29,_xlfn.FORECAST.LINEAR(AK53,Constantes!$D$32:$D$33,Constantes!$D$28:$D$29),Constantes!$D$33)))</f>
        <v>-5.2500000000000879E-3</v>
      </c>
      <c r="AK114" s="137"/>
      <c r="AL114" s="137"/>
      <c r="AR114" s="24"/>
      <c r="AS114" s="786"/>
      <c r="AT114" s="49" t="str">
        <f>AI114</f>
        <v>senior</v>
      </c>
      <c r="AU114" s="332">
        <f ca="1">IF(AV53&lt;=Constantes!$D$27,Constantes!$D$31,IF(AV53&lt;Constantes!$D$28,_xlfn.FORECAST.LINEAR(AV53,Constantes!$D$31:$D$32,Constantes!$D$27:$D$28),IF(AV53&lt;Constantes!$D$29,_xlfn.FORECAST.LINEAR(AV53,Constantes!$D$32:$D$33,Constantes!$D$28:$D$29),Constantes!$D$33)))</f>
        <v>-1.87500000000001E-2</v>
      </c>
      <c r="AV114" s="137"/>
      <c r="AW114" s="137"/>
    </row>
    <row r="115" spans="1:49" ht="21" customHeight="1" x14ac:dyDescent="0.25">
      <c r="A115" s="786"/>
      <c r="B115" s="49" t="str">
        <f>B93</f>
        <v>premium</v>
      </c>
      <c r="C115" s="332">
        <f ca="1">IF(E53&lt;=Constantes!$E$27,Constantes!$E$31,IF(E53&lt;Constantes!$E$28,_xlfn.FORECAST.LINEAR(E53,Constantes!$E$31:$E$32,Constantes!$E$27:$E$28),IF(E53&lt;Constantes!$E$29,_xlfn.FORECAST.LINEAR(E53,Constantes!$E$32:$E$33,Constantes!$E$28:$E$29),Constantes!$E$33)))</f>
        <v>2.8199999999999892E-2</v>
      </c>
      <c r="D115" s="137"/>
      <c r="E115" s="137"/>
      <c r="L115" s="786"/>
      <c r="M115" s="49" t="str">
        <f>B115</f>
        <v>premium</v>
      </c>
      <c r="N115" s="332">
        <f ca="1">IF(P53&lt;=Constantes!$E$27,Constantes!$E$31,IF(P53&lt;Constantes!$E$28,_xlfn.FORECAST.LINEAR(P53,Constantes!$E$31:$E$32,Constantes!$E$27:$E$28),IF(P53&lt;Constantes!$E$29,_xlfn.FORECAST.LINEAR(P53,Constantes!$E$32:$E$33,Constantes!$E$28:$E$29),Constantes!$E$33)))</f>
        <v>-1.6800000000000093E-2</v>
      </c>
      <c r="O115" s="137"/>
      <c r="P115" s="137"/>
      <c r="W115" s="786"/>
      <c r="X115" s="49" t="str">
        <f>M115</f>
        <v>premium</v>
      </c>
      <c r="Y115" s="332">
        <f ca="1">IF(AA53&lt;=Constantes!$E$27,Constantes!$E$31,IF(AA53&lt;Constantes!$E$28,_xlfn.FORECAST.LINEAR(AA53,Constantes!$E$31:$E$32,Constantes!$E$27:$E$28),IF(AA53&lt;Constantes!$E$29,_xlfn.FORECAST.LINEAR(AA53,Constantes!$E$32:$E$33,Constantes!$E$28:$E$29),Constantes!$E$33)))</f>
        <v>-5.430000000000007E-2</v>
      </c>
      <c r="Z115" s="137"/>
      <c r="AA115" s="137"/>
      <c r="AH115" s="786"/>
      <c r="AI115" s="49" t="str">
        <f>X115</f>
        <v>premium</v>
      </c>
      <c r="AJ115" s="332">
        <f ca="1">IF(AL53&lt;=Constantes!$E$27,Constantes!$E$31,IF(AL53&lt;Constantes!$E$28,_xlfn.FORECAST.LINEAR(AL53,Constantes!$E$31:$E$32,Constantes!$E$27:$E$28),IF(AL53&lt;Constantes!$E$29,_xlfn.FORECAST.LINEAR(AL53,Constantes!$E$32:$E$33,Constantes!$E$28:$E$29),Constantes!$E$33)))</f>
        <v>-7.4300000000000088E-2</v>
      </c>
      <c r="AK115" s="137"/>
      <c r="AL115" s="137"/>
      <c r="AR115" s="24"/>
      <c r="AS115" s="786"/>
      <c r="AT115" s="49" t="str">
        <f>AI115</f>
        <v>premium</v>
      </c>
      <c r="AU115" s="332">
        <f ca="1">IF(AW53&lt;=Constantes!$E$27,Constantes!$E$31,IF(AW53&lt;Constantes!$E$28,_xlfn.FORECAST.LINEAR(AW53,Constantes!$E$31:$E$32,Constantes!$E$27:$E$28),IF(AW53&lt;Constantes!$E$29,_xlfn.FORECAST.LINEAR(AW53,Constantes!$E$32:$E$33,Constantes!$E$28:$E$29),Constantes!$E$33)))</f>
        <v>-7.1800000000000086E-2</v>
      </c>
      <c r="AV115" s="137"/>
      <c r="AW115" s="137"/>
    </row>
    <row r="116" spans="1:49" ht="21" customHeight="1" x14ac:dyDescent="0.25">
      <c r="B116" s="1" t="s">
        <v>245</v>
      </c>
      <c r="C116" s="139">
        <f>IF(Décisions!I23&lt;&gt;0,Constantes!$D$57,0)</f>
        <v>0</v>
      </c>
      <c r="D116" s="353"/>
      <c r="E116" s="137" t="s">
        <v>135</v>
      </c>
      <c r="M116" s="1" t="s">
        <v>245</v>
      </c>
      <c r="N116" s="139">
        <f>IF(Décisions!T23&lt;&gt;0,Constantes!$D$57,0)</f>
        <v>0</v>
      </c>
      <c r="O116" s="139">
        <f>IF(Décisions!I23&lt;&gt;0,Constantes!$D$57*Constantes!$J$57,0)</f>
        <v>0</v>
      </c>
      <c r="P116" s="137" t="s">
        <v>135</v>
      </c>
      <c r="X116" s="1" t="s">
        <v>245</v>
      </c>
      <c r="Y116" s="139">
        <f>IF(Décisions!AE23&lt;&gt;0,Constantes!$D$57,0)</f>
        <v>0</v>
      </c>
      <c r="Z116" s="139">
        <f>IF(Décisions!T23&lt;&gt;0,Constantes!$D$57*Constantes!$J$57,0)</f>
        <v>0</v>
      </c>
      <c r="AA116" s="137" t="s">
        <v>135</v>
      </c>
      <c r="AI116" s="1" t="s">
        <v>245</v>
      </c>
      <c r="AJ116" s="139">
        <f>IF(Décisions!AP23&lt;&gt;0,Constantes!$D$57,0)</f>
        <v>0</v>
      </c>
      <c r="AK116" s="139">
        <f>IF(Décisions!AE23&lt;&gt;0,Constantes!$D$57*Constantes!$J$57,0)</f>
        <v>0</v>
      </c>
      <c r="AL116" s="137" t="s">
        <v>135</v>
      </c>
      <c r="AR116" s="24"/>
      <c r="AT116" s="1" t="s">
        <v>245</v>
      </c>
      <c r="AU116" s="139">
        <f>IF(Décisions!BA23&lt;&gt;0,Constantes!$D$57,0)</f>
        <v>0.08</v>
      </c>
      <c r="AV116" s="139">
        <f>IF(Décisions!AP23&lt;&gt;0,Constantes!$D$57*Constantes!$J$57,0)</f>
        <v>0</v>
      </c>
      <c r="AW116" s="137" t="s">
        <v>135</v>
      </c>
    </row>
    <row r="117" spans="1:49" ht="21" customHeight="1" x14ac:dyDescent="0.25">
      <c r="B117" s="36" t="s">
        <v>261</v>
      </c>
      <c r="C117" s="333">
        <f ca="1">SUM(C112:C116)+D116</f>
        <v>0.59869999999999979</v>
      </c>
      <c r="D117" s="137"/>
      <c r="E117" s="137"/>
      <c r="M117" s="36" t="s">
        <v>261</v>
      </c>
      <c r="N117" s="333">
        <f ca="1">SUM(N112:N116)+O116</f>
        <v>0.60336666666666661</v>
      </c>
      <c r="O117" s="137"/>
      <c r="P117" s="137"/>
      <c r="X117" s="36" t="s">
        <v>261</v>
      </c>
      <c r="Y117" s="333">
        <f ca="1">SUM(Y112:Y116)+Z116</f>
        <v>0.62919999999999976</v>
      </c>
      <c r="Z117" s="137"/>
      <c r="AA117" s="137"/>
      <c r="AI117" s="36" t="s">
        <v>261</v>
      </c>
      <c r="AJ117" s="333">
        <f ca="1">SUM(AJ112:AJ116)+AK116</f>
        <v>0.29778333333333307</v>
      </c>
      <c r="AK117" s="137"/>
      <c r="AL117" s="137"/>
      <c r="AR117" s="24"/>
      <c r="AT117" s="36" t="s">
        <v>261</v>
      </c>
      <c r="AU117" s="333">
        <f ca="1">SUM(AU112:AU116)+AV116</f>
        <v>0.53011666666666646</v>
      </c>
      <c r="AV117" s="137"/>
      <c r="AW117" s="137"/>
    </row>
    <row r="118" spans="1:49" ht="21" customHeight="1" x14ac:dyDescent="0.25">
      <c r="B118" s="36"/>
      <c r="C118" s="137"/>
      <c r="D118" s="137"/>
      <c r="E118" s="137"/>
      <c r="M118" s="36"/>
      <c r="N118" s="137"/>
      <c r="O118" s="137"/>
      <c r="P118" s="137"/>
      <c r="X118" s="36"/>
      <c r="Y118" s="137"/>
      <c r="Z118" s="137"/>
      <c r="AA118" s="137"/>
      <c r="AI118" s="36"/>
      <c r="AJ118" s="137"/>
      <c r="AK118" s="137"/>
      <c r="AL118" s="137"/>
      <c r="AR118" s="24"/>
      <c r="AT118" s="36"/>
      <c r="AU118" s="137"/>
      <c r="AV118" s="137"/>
      <c r="AW118" s="137"/>
    </row>
    <row r="119" spans="1:49" ht="21" customHeight="1" x14ac:dyDescent="0.25">
      <c r="A119" s="749"/>
      <c r="B119" s="36" t="s">
        <v>264</v>
      </c>
      <c r="M119" s="36" t="s">
        <v>264</v>
      </c>
      <c r="X119" s="36" t="s">
        <v>264</v>
      </c>
      <c r="AI119" s="36" t="s">
        <v>264</v>
      </c>
      <c r="AR119" s="24"/>
      <c r="AT119" s="36" t="s">
        <v>264</v>
      </c>
    </row>
    <row r="120" spans="1:49" ht="21" customHeight="1" thickBot="1" x14ac:dyDescent="0.3">
      <c r="C120" s="325" t="str">
        <f>Constantes!$Q$9</f>
        <v>junior</v>
      </c>
      <c r="D120" s="325" t="str">
        <f>Constantes!$R$9</f>
        <v>senior</v>
      </c>
      <c r="E120" s="325" t="str">
        <f>Constantes!$S$9</f>
        <v>premium</v>
      </c>
      <c r="N120" s="223" t="str">
        <f>Constantes!$Q$9</f>
        <v>junior</v>
      </c>
      <c r="O120" s="223" t="str">
        <f>Constantes!$R$9</f>
        <v>senior</v>
      </c>
      <c r="P120" s="223" t="str">
        <f>Constantes!$S$9</f>
        <v>premium</v>
      </c>
      <c r="Y120" s="286" t="str">
        <f>Constantes!$Q$9</f>
        <v>junior</v>
      </c>
      <c r="Z120" s="286" t="str">
        <f>Constantes!$R$9</f>
        <v>senior</v>
      </c>
      <c r="AA120" s="286" t="str">
        <f>Constantes!$S$9</f>
        <v>premium</v>
      </c>
      <c r="AJ120" s="286" t="str">
        <f>Constantes!$Q$9</f>
        <v>junior</v>
      </c>
      <c r="AK120" s="286" t="str">
        <f>Constantes!$R$9</f>
        <v>senior</v>
      </c>
      <c r="AL120" s="286" t="str">
        <f>Constantes!$S$9</f>
        <v>premium</v>
      </c>
      <c r="AR120" s="24"/>
      <c r="AU120" s="287" t="str">
        <f>Constantes!$Q$9</f>
        <v>junior</v>
      </c>
      <c r="AV120" s="287" t="str">
        <f>Constantes!$R$9</f>
        <v>senior</v>
      </c>
      <c r="AW120" s="287" t="str">
        <f>Constantes!$S$9</f>
        <v>premium</v>
      </c>
    </row>
    <row r="121" spans="1:49" ht="21" customHeight="1" x14ac:dyDescent="0.25">
      <c r="A121" s="12" t="s">
        <v>4</v>
      </c>
      <c r="B121" s="54" t="s">
        <v>5</v>
      </c>
      <c r="C121" s="236">
        <f>MAX(Décisions!D47-Scénario!C3,0)</f>
        <v>9.9999999999999978E-2</v>
      </c>
      <c r="D121" s="237">
        <f>MAX(Décisions!D63-Scénario!C15,0)</f>
        <v>0</v>
      </c>
      <c r="E121" s="238">
        <f>MAX(Décisions!D79-Scénario!C27,0)</f>
        <v>0.1</v>
      </c>
      <c r="G121" s="149"/>
      <c r="H121" s="149"/>
      <c r="I121" s="149"/>
      <c r="J121" s="149"/>
      <c r="K121" s="149"/>
      <c r="L121" s="12" t="s">
        <v>4</v>
      </c>
      <c r="M121" s="54" t="s">
        <v>5</v>
      </c>
      <c r="N121" s="236">
        <f>MAX(Décisions!O47-Scénario!D3,0)</f>
        <v>0</v>
      </c>
      <c r="O121" s="237">
        <f>MAX(Décisions!O63-Scénario!D15,0)</f>
        <v>0</v>
      </c>
      <c r="P121" s="238">
        <f>MAX(Décisions!O79-Scénario!D27,0)</f>
        <v>0</v>
      </c>
      <c r="V121" s="149"/>
      <c r="W121" s="12" t="s">
        <v>4</v>
      </c>
      <c r="X121" s="54" t="s">
        <v>5</v>
      </c>
      <c r="Y121" s="236">
        <f>MAX(Décisions!Z47-Scénario!E3,0)</f>
        <v>0</v>
      </c>
      <c r="Z121" s="237">
        <f>MAX(Décisions!Z63-Scénario!E15,0)</f>
        <v>0</v>
      </c>
      <c r="AA121" s="238">
        <f>MAX(Décisions!Z79-Scénario!E27,0)</f>
        <v>0</v>
      </c>
      <c r="AH121" s="12" t="s">
        <v>4</v>
      </c>
      <c r="AI121" s="54" t="s">
        <v>5</v>
      </c>
      <c r="AJ121" s="236">
        <f>MAX(Décisions!AK47-Scénario!F3,0)</f>
        <v>0</v>
      </c>
      <c r="AK121" s="237">
        <f>MAX(Décisions!AK63-Scénario!F15,0)</f>
        <v>0</v>
      </c>
      <c r="AL121" s="238">
        <f>MAX(Décisions!AK79-Scénario!F27,0)</f>
        <v>0</v>
      </c>
      <c r="AR121" s="24"/>
      <c r="AS121" s="12" t="s">
        <v>4</v>
      </c>
      <c r="AT121" s="54" t="s">
        <v>5</v>
      </c>
      <c r="AU121" s="236">
        <f>MAX(Décisions!AV47-Scénario!G3,0)</f>
        <v>0</v>
      </c>
      <c r="AV121" s="237">
        <f>MAX(Décisions!AV63-Scénario!G15,0)</f>
        <v>0</v>
      </c>
      <c r="AW121" s="238">
        <f>MAX(Décisions!AV79-Scénario!G27,0)</f>
        <v>0</v>
      </c>
    </row>
    <row r="122" spans="1:49" ht="21" customHeight="1" thickBot="1" x14ac:dyDescent="0.3">
      <c r="A122" s="15"/>
      <c r="B122" s="56" t="s">
        <v>31</v>
      </c>
      <c r="C122" s="239">
        <f>MAX(Décisions!D48-Scénario!C4,0)</f>
        <v>0</v>
      </c>
      <c r="D122" s="240">
        <f>MAX(Décisions!D64-Scénario!C16,0)</f>
        <v>0.05</v>
      </c>
      <c r="E122" s="241">
        <f>MAX(Décisions!D80-Scénario!C28,0)</f>
        <v>0</v>
      </c>
      <c r="G122" s="149"/>
      <c r="H122" s="149"/>
      <c r="I122" s="149"/>
      <c r="J122" s="149"/>
      <c r="K122" s="149"/>
      <c r="L122" s="15"/>
      <c r="M122" s="56" t="s">
        <v>31</v>
      </c>
      <c r="N122" s="239">
        <f>MAX(Décisions!O48-Scénario!D4,0)</f>
        <v>0</v>
      </c>
      <c r="O122" s="240">
        <f>MAX(Décisions!O64-Scénario!D16,0)</f>
        <v>0</v>
      </c>
      <c r="P122" s="241">
        <f>MAX(Décisions!O80-Scénario!D28,0)</f>
        <v>0</v>
      </c>
      <c r="V122" s="149"/>
      <c r="W122" s="15"/>
      <c r="X122" s="56" t="s">
        <v>31</v>
      </c>
      <c r="Y122" s="239">
        <f>MAX(Décisions!Z48-Scénario!E4,0)</f>
        <v>0</v>
      </c>
      <c r="Z122" s="240">
        <f>MAX(Décisions!Z64-Scénario!E16,0)</f>
        <v>0</v>
      </c>
      <c r="AA122" s="241">
        <f>MAX(Décisions!Z80-Scénario!E28,0)</f>
        <v>0</v>
      </c>
      <c r="AH122" s="15"/>
      <c r="AI122" s="56" t="s">
        <v>31</v>
      </c>
      <c r="AJ122" s="239">
        <f>MAX(Décisions!AK48-Scénario!F4,0)</f>
        <v>0</v>
      </c>
      <c r="AK122" s="240">
        <f>MAX(Décisions!AK64-Scénario!F16,0)</f>
        <v>0</v>
      </c>
      <c r="AL122" s="241">
        <f>MAX(Décisions!AK80-Scénario!F28,0)</f>
        <v>0</v>
      </c>
      <c r="AR122" s="24"/>
      <c r="AS122" s="15"/>
      <c r="AT122" s="56" t="s">
        <v>31</v>
      </c>
      <c r="AU122" s="239">
        <f>MAX(Décisions!AV48-Scénario!G4,0)</f>
        <v>0</v>
      </c>
      <c r="AV122" s="240">
        <f>MAX(Décisions!AV64-Scénario!G16,0)</f>
        <v>0</v>
      </c>
      <c r="AW122" s="241">
        <f>MAX(Décisions!AV80-Scénario!G28,0)</f>
        <v>0</v>
      </c>
    </row>
    <row r="123" spans="1:49" ht="21" customHeight="1" x14ac:dyDescent="0.25">
      <c r="A123" s="12" t="s">
        <v>6</v>
      </c>
      <c r="B123" s="54" t="s">
        <v>7</v>
      </c>
      <c r="C123" s="236">
        <f>MAX(Décisions!D49-Scénario!C5,0)</f>
        <v>0</v>
      </c>
      <c r="D123" s="237">
        <f>MAX(Décisions!D65-Scénario!C17,0)</f>
        <v>0</v>
      </c>
      <c r="E123" s="238">
        <f>MAX(Décisions!D81-Scénario!C29,0)</f>
        <v>0.15</v>
      </c>
      <c r="G123" s="149"/>
      <c r="H123" s="149"/>
      <c r="I123" s="149"/>
      <c r="J123" s="149"/>
      <c r="K123" s="149"/>
      <c r="L123" s="12" t="s">
        <v>6</v>
      </c>
      <c r="M123" s="54" t="s">
        <v>7</v>
      </c>
      <c r="N123" s="236">
        <f>MAX(Décisions!O49-Scénario!D5,0)</f>
        <v>0</v>
      </c>
      <c r="O123" s="237">
        <f>MAX(Décisions!O65-Scénario!D17,0)</f>
        <v>0</v>
      </c>
      <c r="P123" s="238">
        <f>MAX(Décisions!O81-Scénario!D29,0)</f>
        <v>0</v>
      </c>
      <c r="V123" s="149"/>
      <c r="W123" s="12" t="s">
        <v>6</v>
      </c>
      <c r="X123" s="54" t="s">
        <v>7</v>
      </c>
      <c r="Y123" s="236">
        <f>MAX(Décisions!Z49-Scénario!E5,0)</f>
        <v>0</v>
      </c>
      <c r="Z123" s="237">
        <f>MAX(Décisions!Z65-Scénario!E17,0)</f>
        <v>0</v>
      </c>
      <c r="AA123" s="238">
        <f>MAX(Décisions!Z81-Scénario!E29,0)</f>
        <v>0</v>
      </c>
      <c r="AH123" s="12" t="s">
        <v>6</v>
      </c>
      <c r="AI123" s="54" t="s">
        <v>7</v>
      </c>
      <c r="AJ123" s="236">
        <f>MAX(Décisions!AK49-Scénario!F5,0)</f>
        <v>0</v>
      </c>
      <c r="AK123" s="237">
        <f>MAX(Décisions!AK65-Scénario!F17,0)</f>
        <v>0</v>
      </c>
      <c r="AL123" s="238">
        <f>MAX(Décisions!AK81-Scénario!F29,0)</f>
        <v>0</v>
      </c>
      <c r="AR123" s="24"/>
      <c r="AS123" s="12" t="s">
        <v>6</v>
      </c>
      <c r="AT123" s="54" t="s">
        <v>7</v>
      </c>
      <c r="AU123" s="236">
        <f>MAX(Décisions!AV49-Scénario!G5,0)</f>
        <v>0</v>
      </c>
      <c r="AV123" s="237">
        <f>MAX(Décisions!AV65-Scénario!G17,0)</f>
        <v>0</v>
      </c>
      <c r="AW123" s="238">
        <f>MAX(Décisions!AV81-Scénario!G29,0)</f>
        <v>4.9999999999999989E-2</v>
      </c>
    </row>
    <row r="124" spans="1:49" ht="21" customHeight="1" x14ac:dyDescent="0.25">
      <c r="A124" s="17"/>
      <c r="B124" s="57" t="s">
        <v>8</v>
      </c>
      <c r="C124" s="242">
        <f>MAX(Décisions!D50-Scénario!C6,0)</f>
        <v>0.1</v>
      </c>
      <c r="D124" s="127">
        <f>MAX(Décisions!D66-Scénario!C18,0)</f>
        <v>0</v>
      </c>
      <c r="E124" s="243">
        <f>MAX(Décisions!D82-Scénario!C30,0)</f>
        <v>0</v>
      </c>
      <c r="G124" s="149"/>
      <c r="H124" s="149"/>
      <c r="I124" s="149"/>
      <c r="J124" s="149"/>
      <c r="K124" s="149"/>
      <c r="L124" s="17"/>
      <c r="M124" s="57" t="s">
        <v>8</v>
      </c>
      <c r="N124" s="242">
        <f>MAX(Décisions!O50-Scénario!D6,0)</f>
        <v>0</v>
      </c>
      <c r="O124" s="127">
        <f>MAX(Décisions!O66-Scénario!D18,0)</f>
        <v>0</v>
      </c>
      <c r="P124" s="243">
        <f>MAX(Décisions!O82-Scénario!D30,0)</f>
        <v>0</v>
      </c>
      <c r="V124" s="149"/>
      <c r="W124" s="17"/>
      <c r="X124" s="57" t="s">
        <v>8</v>
      </c>
      <c r="Y124" s="242">
        <f>MAX(Décisions!Z50-Scénario!E6,0)</f>
        <v>0</v>
      </c>
      <c r="Z124" s="127">
        <f>MAX(Décisions!Z66-Scénario!E18,0)</f>
        <v>0</v>
      </c>
      <c r="AA124" s="243">
        <f>MAX(Décisions!Z82-Scénario!E30,0)</f>
        <v>0</v>
      </c>
      <c r="AH124" s="17"/>
      <c r="AI124" s="57" t="s">
        <v>8</v>
      </c>
      <c r="AJ124" s="242">
        <f>MAX(Décisions!AK50-Scénario!F6,0)</f>
        <v>0</v>
      </c>
      <c r="AK124" s="127">
        <f>MAX(Décisions!AK66-Scénario!F18,0)</f>
        <v>0</v>
      </c>
      <c r="AL124" s="243">
        <f>MAX(Décisions!AK82-Scénario!F30,0)</f>
        <v>0</v>
      </c>
      <c r="AR124" s="24"/>
      <c r="AS124" s="17"/>
      <c r="AT124" s="57" t="s">
        <v>8</v>
      </c>
      <c r="AU124" s="242">
        <f>MAX(Décisions!AV50-Scénario!G6,0)</f>
        <v>0</v>
      </c>
      <c r="AV124" s="127">
        <f>MAX(Décisions!AV66-Scénario!G18,0)</f>
        <v>0</v>
      </c>
      <c r="AW124" s="243">
        <f>MAX(Décisions!AV82-Scénario!G30,0)</f>
        <v>0</v>
      </c>
    </row>
    <row r="125" spans="1:49" ht="21" customHeight="1" thickBot="1" x14ac:dyDescent="0.3">
      <c r="A125" s="15"/>
      <c r="B125" s="56" t="s">
        <v>157</v>
      </c>
      <c r="C125" s="239">
        <f>MAX(Décisions!D51-Scénario!C7,0)</f>
        <v>0</v>
      </c>
      <c r="D125" s="240">
        <f>MAX(Décisions!D67-Scénario!C19,0)</f>
        <v>4.9999999999999989E-2</v>
      </c>
      <c r="E125" s="241">
        <f>MAX(Décisions!D83-Scénario!C31,0)</f>
        <v>0</v>
      </c>
      <c r="G125" s="149"/>
      <c r="H125" s="149"/>
      <c r="I125" s="149"/>
      <c r="J125" s="149"/>
      <c r="K125" s="149"/>
      <c r="L125" s="15"/>
      <c r="M125" s="56" t="s">
        <v>157</v>
      </c>
      <c r="N125" s="239">
        <f>MAX(Décisions!O51-Scénario!D7,0)</f>
        <v>0</v>
      </c>
      <c r="O125" s="240">
        <f>MAX(Décisions!O67-Scénario!D19,0)</f>
        <v>0</v>
      </c>
      <c r="P125" s="241">
        <f>MAX(Décisions!O83-Scénario!D31,0)</f>
        <v>0</v>
      </c>
      <c r="V125" s="149"/>
      <c r="W125" s="15"/>
      <c r="X125" s="56" t="s">
        <v>157</v>
      </c>
      <c r="Y125" s="239">
        <f>MAX(Décisions!Z51-Scénario!E7,0)</f>
        <v>0</v>
      </c>
      <c r="Z125" s="240">
        <f>MAX(Décisions!Z67-Scénario!E19,0)</f>
        <v>0</v>
      </c>
      <c r="AA125" s="241">
        <f>MAX(Décisions!Z83-Scénario!E31,0)</f>
        <v>0</v>
      </c>
      <c r="AH125" s="15"/>
      <c r="AI125" s="56" t="s">
        <v>157</v>
      </c>
      <c r="AJ125" s="239">
        <f>MAX(Décisions!AK51-Scénario!F7,0)</f>
        <v>0</v>
      </c>
      <c r="AK125" s="240">
        <f>MAX(Décisions!AK67-Scénario!F19,0)</f>
        <v>0</v>
      </c>
      <c r="AL125" s="241">
        <f>MAX(Décisions!AK83-Scénario!F31,0)</f>
        <v>0</v>
      </c>
      <c r="AR125" s="24"/>
      <c r="AS125" s="15"/>
      <c r="AT125" s="56" t="s">
        <v>157</v>
      </c>
      <c r="AU125" s="239">
        <f>MAX(Décisions!AV51-Scénario!G7,0)</f>
        <v>0</v>
      </c>
      <c r="AV125" s="240">
        <f>MAX(Décisions!AV67-Scénario!G19,0)</f>
        <v>0</v>
      </c>
      <c r="AW125" s="241">
        <f>MAX(Décisions!AV83-Scénario!G31,0)</f>
        <v>0</v>
      </c>
    </row>
    <row r="126" spans="1:49" ht="21" customHeight="1" x14ac:dyDescent="0.25">
      <c r="A126" s="12" t="s">
        <v>9</v>
      </c>
      <c r="B126" s="54" t="s">
        <v>32</v>
      </c>
      <c r="C126" s="236">
        <f>MAX(Décisions!D52-Scénario!C8,0)</f>
        <v>0</v>
      </c>
      <c r="D126" s="237">
        <f>MAX(Décisions!D68-Scénario!C20,0)</f>
        <v>4.9999999999999989E-2</v>
      </c>
      <c r="E126" s="238">
        <f>MAX(Décisions!D84-Scénario!C32,0)</f>
        <v>0</v>
      </c>
      <c r="G126" s="149"/>
      <c r="H126" s="149"/>
      <c r="I126" s="149"/>
      <c r="J126" s="149"/>
      <c r="K126" s="149"/>
      <c r="L126" s="12" t="s">
        <v>9</v>
      </c>
      <c r="M126" s="54" t="s">
        <v>32</v>
      </c>
      <c r="N126" s="236">
        <f>MAX(Décisions!O52-Scénario!D8,0)</f>
        <v>0</v>
      </c>
      <c r="O126" s="237">
        <f>MAX(Décisions!O68-Scénario!D20,0)</f>
        <v>0</v>
      </c>
      <c r="P126" s="238">
        <f>MAX(Décisions!O84-Scénario!D32,0)</f>
        <v>0</v>
      </c>
      <c r="V126" s="149"/>
      <c r="W126" s="12" t="s">
        <v>9</v>
      </c>
      <c r="X126" s="54" t="s">
        <v>32</v>
      </c>
      <c r="Y126" s="236">
        <f>MAX(Décisions!Z52-Scénario!E8,0)</f>
        <v>0</v>
      </c>
      <c r="Z126" s="237">
        <f>MAX(Décisions!Z68-Scénario!E20,0)</f>
        <v>0</v>
      </c>
      <c r="AA126" s="238">
        <f>MAX(Décisions!Z84-Scénario!E32,0)</f>
        <v>0</v>
      </c>
      <c r="AH126" s="12" t="s">
        <v>9</v>
      </c>
      <c r="AI126" s="54" t="s">
        <v>32</v>
      </c>
      <c r="AJ126" s="236">
        <f>MAX(Décisions!AK52-Scénario!F8,0)</f>
        <v>0</v>
      </c>
      <c r="AK126" s="237">
        <f>MAX(Décisions!AK68-Scénario!F20,0)</f>
        <v>0</v>
      </c>
      <c r="AL126" s="238">
        <f>MAX(Décisions!AK84-Scénario!F32,0)</f>
        <v>0</v>
      </c>
      <c r="AR126" s="24"/>
      <c r="AS126" s="12" t="s">
        <v>9</v>
      </c>
      <c r="AT126" s="54" t="s">
        <v>32</v>
      </c>
      <c r="AU126" s="236">
        <f>MAX(Décisions!AV52-Scénario!G8,0)</f>
        <v>0</v>
      </c>
      <c r="AV126" s="237">
        <f>MAX(Décisions!AV68-Scénario!G20,0)</f>
        <v>0</v>
      </c>
      <c r="AW126" s="238">
        <f>MAX(Décisions!AV84-Scénario!G32,0)</f>
        <v>0</v>
      </c>
    </row>
    <row r="127" spans="1:49" ht="21" customHeight="1" thickBot="1" x14ac:dyDescent="0.3">
      <c r="A127" s="15"/>
      <c r="B127" s="56" t="s">
        <v>10</v>
      </c>
      <c r="C127" s="239">
        <f>MAX(Décisions!D53-Scénario!C9,0)</f>
        <v>0</v>
      </c>
      <c r="D127" s="240">
        <f>MAX(Décisions!D69-Scénario!C21,0)</f>
        <v>0</v>
      </c>
      <c r="E127" s="241">
        <f>MAX(Décisions!D85-Scénario!C33,0)</f>
        <v>0</v>
      </c>
      <c r="G127" s="149"/>
      <c r="H127" s="149"/>
      <c r="I127" s="149"/>
      <c r="J127" s="149"/>
      <c r="K127" s="149"/>
      <c r="L127" s="15"/>
      <c r="M127" s="56" t="s">
        <v>10</v>
      </c>
      <c r="N127" s="239">
        <f>MAX(Décisions!O53-Scénario!D9,0)</f>
        <v>0</v>
      </c>
      <c r="O127" s="240">
        <f>MAX(Décisions!O69-Scénario!D21,0)</f>
        <v>0</v>
      </c>
      <c r="P127" s="241">
        <f>MAX(Décisions!O85-Scénario!D33,0)</f>
        <v>0</v>
      </c>
      <c r="V127" s="149"/>
      <c r="W127" s="15"/>
      <c r="X127" s="56" t="s">
        <v>10</v>
      </c>
      <c r="Y127" s="239">
        <f>MAX(Décisions!Z53-Scénario!E9,0)</f>
        <v>0</v>
      </c>
      <c r="Z127" s="240">
        <f>MAX(Décisions!Z69-Scénario!E21,0)</f>
        <v>0</v>
      </c>
      <c r="AA127" s="241">
        <f>MAX(Décisions!Z85-Scénario!E33,0)</f>
        <v>0</v>
      </c>
      <c r="AH127" s="15"/>
      <c r="AI127" s="56" t="s">
        <v>10</v>
      </c>
      <c r="AJ127" s="239">
        <f>MAX(Décisions!AK53-Scénario!F9,0)</f>
        <v>0</v>
      </c>
      <c r="AK127" s="240">
        <f>MAX(Décisions!AK69-Scénario!F21,0)</f>
        <v>0</v>
      </c>
      <c r="AL127" s="241">
        <f>MAX(Décisions!AK85-Scénario!F33,0)</f>
        <v>0</v>
      </c>
      <c r="AR127" s="24"/>
      <c r="AS127" s="15"/>
      <c r="AT127" s="56" t="s">
        <v>10</v>
      </c>
      <c r="AU127" s="239">
        <f>MAX(Décisions!AV53-Scénario!G9,0)</f>
        <v>0</v>
      </c>
      <c r="AV127" s="240">
        <f>MAX(Décisions!AV69-Scénario!G21,0)</f>
        <v>0</v>
      </c>
      <c r="AW127" s="241">
        <f>MAX(Décisions!AV85-Scénario!G33,0)</f>
        <v>0</v>
      </c>
    </row>
    <row r="128" spans="1:49" ht="21" customHeight="1" x14ac:dyDescent="0.25">
      <c r="A128" s="12" t="s">
        <v>11</v>
      </c>
      <c r="B128" s="54" t="s">
        <v>33</v>
      </c>
      <c r="C128" s="236">
        <f>MAX(Décisions!D54-Scénario!C10,0)</f>
        <v>0</v>
      </c>
      <c r="D128" s="237">
        <f>MAX(Décisions!D70-Scénario!C22,0)</f>
        <v>0</v>
      </c>
      <c r="E128" s="238">
        <f>MAX(Décisions!D86-Scénario!C34,0)</f>
        <v>0</v>
      </c>
      <c r="G128" s="149"/>
      <c r="H128" s="149"/>
      <c r="I128" s="149"/>
      <c r="J128" s="149"/>
      <c r="K128" s="149"/>
      <c r="L128" s="12" t="s">
        <v>11</v>
      </c>
      <c r="M128" s="54" t="s">
        <v>33</v>
      </c>
      <c r="N128" s="236">
        <f>MAX(Décisions!O54-Scénario!D10,0)</f>
        <v>0</v>
      </c>
      <c r="O128" s="237">
        <f>MAX(Décisions!O70-Scénario!D22,0)</f>
        <v>0</v>
      </c>
      <c r="P128" s="238">
        <f>MAX(Décisions!O86-Scénario!D34,0)</f>
        <v>0</v>
      </c>
      <c r="V128" s="149"/>
      <c r="W128" s="12" t="s">
        <v>11</v>
      </c>
      <c r="X128" s="54" t="s">
        <v>33</v>
      </c>
      <c r="Y128" s="236">
        <f>MAX(Décisions!Z54-Scénario!E10,0)</f>
        <v>0</v>
      </c>
      <c r="Z128" s="237">
        <f>MAX(Décisions!Z70-Scénario!E22,0)</f>
        <v>0</v>
      </c>
      <c r="AA128" s="238">
        <f>MAX(Décisions!Z86-Scénario!E34,0)</f>
        <v>0</v>
      </c>
      <c r="AH128" s="12" t="s">
        <v>11</v>
      </c>
      <c r="AI128" s="54" t="s">
        <v>33</v>
      </c>
      <c r="AJ128" s="236">
        <f>MAX(Décisions!AK54-Scénario!F10,0)</f>
        <v>0</v>
      </c>
      <c r="AK128" s="237">
        <f>MAX(Décisions!AK70-Scénario!F22,0)</f>
        <v>0</v>
      </c>
      <c r="AL128" s="238">
        <f>MAX(Décisions!AK86-Scénario!F34,0)</f>
        <v>0</v>
      </c>
      <c r="AR128" s="24"/>
      <c r="AS128" s="12" t="s">
        <v>11</v>
      </c>
      <c r="AT128" s="54" t="s">
        <v>33</v>
      </c>
      <c r="AU128" s="236">
        <f>MAX(Décisions!AV54-Scénario!G10,0)</f>
        <v>0</v>
      </c>
      <c r="AV128" s="237">
        <f>MAX(Décisions!AV70-Scénario!G22,0)</f>
        <v>0</v>
      </c>
      <c r="AW128" s="238">
        <f>MAX(Décisions!AV86-Scénario!G34,0)</f>
        <v>0</v>
      </c>
    </row>
    <row r="129" spans="1:49" ht="21" customHeight="1" x14ac:dyDescent="0.25">
      <c r="A129" s="17"/>
      <c r="B129" s="57" t="s">
        <v>34</v>
      </c>
      <c r="C129" s="242">
        <f>MAX(Décisions!D55-Scénario!C11,0)</f>
        <v>0</v>
      </c>
      <c r="D129" s="127">
        <f>MAX(Décisions!D71-Scénario!C23,0)</f>
        <v>9.9999999999999978E-2</v>
      </c>
      <c r="E129" s="243">
        <f>MAX(Décisions!D87-Scénario!C35,0)</f>
        <v>0</v>
      </c>
      <c r="G129" s="149"/>
      <c r="H129" s="149"/>
      <c r="I129" s="149"/>
      <c r="J129" s="149"/>
      <c r="K129" s="149"/>
      <c r="L129" s="17"/>
      <c r="M129" s="57" t="s">
        <v>34</v>
      </c>
      <c r="N129" s="242">
        <f>MAX(Décisions!O55-Scénario!D11,0)</f>
        <v>0</v>
      </c>
      <c r="O129" s="127">
        <f>MAX(Décisions!O71-Scénario!D23,0)</f>
        <v>0</v>
      </c>
      <c r="P129" s="243">
        <f>MAX(Décisions!O87-Scénario!D35,0)</f>
        <v>0</v>
      </c>
      <c r="V129" s="149"/>
      <c r="W129" s="17"/>
      <c r="X129" s="57" t="s">
        <v>34</v>
      </c>
      <c r="Y129" s="242">
        <f>MAX(Décisions!Z55-Scénario!E11,0)</f>
        <v>0</v>
      </c>
      <c r="Z129" s="127">
        <f>MAX(Décisions!Z71-Scénario!E23,0)</f>
        <v>0</v>
      </c>
      <c r="AA129" s="243">
        <f>MAX(Décisions!Z87-Scénario!E35,0)</f>
        <v>0</v>
      </c>
      <c r="AH129" s="17"/>
      <c r="AI129" s="57" t="s">
        <v>34</v>
      </c>
      <c r="AJ129" s="242">
        <f>MAX(Décisions!AK55-Scénario!F11,0)</f>
        <v>0</v>
      </c>
      <c r="AK129" s="127">
        <f>MAX(Décisions!AK71-Scénario!F23,0)</f>
        <v>0</v>
      </c>
      <c r="AL129" s="243">
        <f>MAX(Décisions!AK87-Scénario!F35,0)</f>
        <v>0</v>
      </c>
      <c r="AR129" s="24"/>
      <c r="AS129" s="17"/>
      <c r="AT129" s="57" t="s">
        <v>34</v>
      </c>
      <c r="AU129" s="242">
        <f>MAX(Décisions!AV55-Scénario!G11,0)</f>
        <v>0</v>
      </c>
      <c r="AV129" s="127">
        <f>MAX(Décisions!AV71-Scénario!G23,0)</f>
        <v>0</v>
      </c>
      <c r="AW129" s="243">
        <f>MAX(Décisions!AV87-Scénario!G35,0)</f>
        <v>0</v>
      </c>
    </row>
    <row r="130" spans="1:49" ht="21" customHeight="1" thickBot="1" x14ac:dyDescent="0.3">
      <c r="A130" s="15"/>
      <c r="B130" s="56" t="s">
        <v>12</v>
      </c>
      <c r="C130" s="239">
        <f>MAX(Décisions!D56-Scénario!C12,0)</f>
        <v>0</v>
      </c>
      <c r="D130" s="240">
        <f>MAX(Décisions!D72-Scénario!C24,0)</f>
        <v>0</v>
      </c>
      <c r="E130" s="241">
        <f>MAX(Décisions!D88-Scénario!C36,0)</f>
        <v>0</v>
      </c>
      <c r="G130" s="70"/>
      <c r="H130" s="70"/>
      <c r="I130" s="70"/>
      <c r="J130" s="70"/>
      <c r="K130" s="70"/>
      <c r="L130" s="15"/>
      <c r="M130" s="56" t="s">
        <v>12</v>
      </c>
      <c r="N130" s="239">
        <f>MAX(Décisions!O56-Scénario!D12,0)</f>
        <v>0</v>
      </c>
      <c r="O130" s="240">
        <f>MAX(Décisions!O72-Scénario!D24,0)</f>
        <v>0</v>
      </c>
      <c r="P130" s="241">
        <f>MAX(Décisions!O88-Scénario!D36,0)</f>
        <v>0</v>
      </c>
      <c r="V130" s="70"/>
      <c r="W130" s="15"/>
      <c r="X130" s="56" t="s">
        <v>12</v>
      </c>
      <c r="Y130" s="239">
        <f>MAX(Décisions!Z56-Scénario!E12,0)</f>
        <v>0</v>
      </c>
      <c r="Z130" s="240">
        <f>MAX(Décisions!Z72-Scénario!E24,0)</f>
        <v>0</v>
      </c>
      <c r="AA130" s="241">
        <f>MAX(Décisions!Z88-Scénario!E36,0)</f>
        <v>0</v>
      </c>
      <c r="AH130" s="15"/>
      <c r="AI130" s="56" t="s">
        <v>12</v>
      </c>
      <c r="AJ130" s="239">
        <f>MAX(Décisions!AK56-Scénario!F12,0)</f>
        <v>0</v>
      </c>
      <c r="AK130" s="240">
        <f>MAX(Décisions!AK72-Scénario!F24,0)</f>
        <v>0</v>
      </c>
      <c r="AL130" s="241">
        <f>MAX(Décisions!AK88-Scénario!F36,0)</f>
        <v>0</v>
      </c>
      <c r="AR130" s="24"/>
      <c r="AS130" s="15"/>
      <c r="AT130" s="56" t="s">
        <v>12</v>
      </c>
      <c r="AU130" s="239">
        <f>MAX(Décisions!AV56-Scénario!G12,0)</f>
        <v>0</v>
      </c>
      <c r="AV130" s="240">
        <f>MAX(Décisions!AV72-Scénario!G24,0)</f>
        <v>0</v>
      </c>
      <c r="AW130" s="241">
        <f>MAX(Décisions!AV88-Scénario!G36,0)</f>
        <v>0</v>
      </c>
    </row>
    <row r="131" spans="1:49" ht="21" customHeight="1" x14ac:dyDescent="0.25">
      <c r="A131" s="22"/>
      <c r="B131" s="22" t="s">
        <v>283</v>
      </c>
      <c r="C131" s="58">
        <f>SUM(C121:C130)</f>
        <v>0.19999999999999998</v>
      </c>
      <c r="D131" s="58">
        <f>SUM(D121:D130)</f>
        <v>0.24999999999999994</v>
      </c>
      <c r="E131" s="58">
        <f>SUM(E121:E130)</f>
        <v>0.25</v>
      </c>
      <c r="G131" s="149"/>
      <c r="H131" s="149"/>
      <c r="I131" s="149"/>
      <c r="J131" s="149"/>
      <c r="K131" s="149"/>
      <c r="L131" s="22"/>
      <c r="M131" s="22" t="s">
        <v>283</v>
      </c>
      <c r="N131" s="58">
        <f>SUM(N121:N130)</f>
        <v>0</v>
      </c>
      <c r="O131" s="58">
        <f>SUM(O121:O130)</f>
        <v>0</v>
      </c>
      <c r="P131" s="58">
        <f>SUM(P121:P130)</f>
        <v>0</v>
      </c>
      <c r="V131" s="149"/>
      <c r="W131" s="22"/>
      <c r="X131" s="22" t="s">
        <v>283</v>
      </c>
      <c r="Y131" s="58">
        <f>SUM(Y121:Y130)</f>
        <v>0</v>
      </c>
      <c r="Z131" s="58">
        <f>SUM(Z121:Z130)</f>
        <v>0</v>
      </c>
      <c r="AA131" s="58">
        <f>SUM(AA121:AA130)</f>
        <v>0</v>
      </c>
      <c r="AH131" s="22"/>
      <c r="AI131" s="22" t="s">
        <v>283</v>
      </c>
      <c r="AJ131" s="58">
        <f>SUM(AJ121:AJ130)</f>
        <v>0</v>
      </c>
      <c r="AK131" s="58">
        <f>SUM(AK121:AK130)</f>
        <v>0</v>
      </c>
      <c r="AL131" s="58">
        <f>SUM(AL121:AL130)</f>
        <v>0</v>
      </c>
      <c r="AR131" s="24"/>
      <c r="AS131" s="22"/>
      <c r="AT131" s="22" t="s">
        <v>283</v>
      </c>
      <c r="AU131" s="58">
        <f>SUM(AU121:AU130)</f>
        <v>0</v>
      </c>
      <c r="AV131" s="58">
        <f>SUM(AV121:AV130)</f>
        <v>0</v>
      </c>
      <c r="AW131" s="58">
        <f>SUM(AW121:AW130)</f>
        <v>4.9999999999999989E-2</v>
      </c>
    </row>
    <row r="132" spans="1:49" ht="21" customHeight="1" x14ac:dyDescent="0.25">
      <c r="A132" s="22"/>
      <c r="B132" s="22" t="s">
        <v>265</v>
      </c>
      <c r="C132" s="142">
        <f>COUNTIF(C121:C130,"&lt;&gt;0")</f>
        <v>2</v>
      </c>
      <c r="D132" s="142">
        <f>COUNTIF(D121:D130,"&lt;&gt;0")</f>
        <v>4</v>
      </c>
      <c r="E132" s="142">
        <f>COUNTIF(E121:E130,"&lt;&gt;0")</f>
        <v>2</v>
      </c>
      <c r="L132" s="22"/>
      <c r="M132" s="22" t="s">
        <v>265</v>
      </c>
      <c r="N132" s="221">
        <f>COUNTIF(N121:N130,"&lt;&gt;0")</f>
        <v>0</v>
      </c>
      <c r="O132" s="221">
        <f>COUNTIF(O121:O130,"&lt;&gt;0")</f>
        <v>0</v>
      </c>
      <c r="P132" s="221">
        <f>COUNTIF(P121:P130,"&lt;&gt;0")</f>
        <v>0</v>
      </c>
      <c r="W132" s="22"/>
      <c r="X132" s="22" t="s">
        <v>265</v>
      </c>
      <c r="Y132" s="286">
        <f>COUNTIF(Y121:Y130,"&lt;&gt;0")</f>
        <v>0</v>
      </c>
      <c r="Z132" s="286">
        <f>COUNTIF(Z121:Z130,"&lt;&gt;0")</f>
        <v>0</v>
      </c>
      <c r="AA132" s="286">
        <f>COUNTIF(AA121:AA130,"&lt;&gt;0")</f>
        <v>0</v>
      </c>
      <c r="AH132" s="22"/>
      <c r="AI132" s="22" t="s">
        <v>265</v>
      </c>
      <c r="AJ132" s="286">
        <f>COUNTIF(AJ121:AJ130,"&lt;&gt;0")</f>
        <v>0</v>
      </c>
      <c r="AK132" s="286">
        <f>COUNTIF(AK121:AK130,"&lt;&gt;0")</f>
        <v>0</v>
      </c>
      <c r="AL132" s="286">
        <f>COUNTIF(AL121:AL130,"&lt;&gt;0")</f>
        <v>0</v>
      </c>
      <c r="AR132" s="24"/>
      <c r="AS132" s="22"/>
      <c r="AT132" s="22" t="s">
        <v>265</v>
      </c>
      <c r="AU132" s="287">
        <f>COUNTIF(AU121:AU130,"&lt;&gt;0")</f>
        <v>0</v>
      </c>
      <c r="AV132" s="287">
        <f>COUNTIF(AV121:AV130,"&lt;&gt;0")</f>
        <v>0</v>
      </c>
      <c r="AW132" s="287">
        <f>COUNTIF(AW121:AW130,"&lt;&gt;0")</f>
        <v>1</v>
      </c>
    </row>
    <row r="133" spans="1:49" ht="21" customHeight="1" x14ac:dyDescent="0.25">
      <c r="A133" s="22"/>
      <c r="B133" s="22"/>
      <c r="C133" s="145"/>
      <c r="D133" s="145"/>
      <c r="E133" s="145"/>
      <c r="L133" s="22"/>
      <c r="M133" s="22"/>
      <c r="N133" s="221"/>
      <c r="O133" s="221"/>
      <c r="P133" s="221"/>
      <c r="W133" s="22"/>
      <c r="X133" s="22"/>
      <c r="Y133" s="286"/>
      <c r="Z133" s="286"/>
      <c r="AA133" s="286"/>
      <c r="AH133" s="22"/>
      <c r="AI133" s="22"/>
      <c r="AJ133" s="286"/>
      <c r="AK133" s="286"/>
      <c r="AL133" s="286"/>
      <c r="AR133" s="24"/>
      <c r="AS133" s="22"/>
      <c r="AT133" s="22"/>
      <c r="AU133" s="287"/>
      <c r="AV133" s="287"/>
      <c r="AW133" s="287"/>
    </row>
    <row r="134" spans="1:49" ht="21" customHeight="1" x14ac:dyDescent="0.25">
      <c r="A134" s="580"/>
      <c r="B134" s="92" t="s">
        <v>284</v>
      </c>
      <c r="C134" s="145"/>
      <c r="D134" s="145"/>
      <c r="E134" s="145"/>
      <c r="L134" s="22"/>
      <c r="M134" s="92" t="s">
        <v>284</v>
      </c>
      <c r="N134" s="221"/>
      <c r="O134" s="221"/>
      <c r="P134" s="221"/>
      <c r="W134" s="22"/>
      <c r="X134" s="92" t="s">
        <v>284</v>
      </c>
      <c r="Y134" s="286"/>
      <c r="Z134" s="286"/>
      <c r="AA134" s="286"/>
      <c r="AH134" s="22"/>
      <c r="AI134" s="92" t="s">
        <v>284</v>
      </c>
      <c r="AJ134" s="286"/>
      <c r="AK134" s="286"/>
      <c r="AL134" s="286"/>
      <c r="AR134" s="24"/>
      <c r="AS134" s="22"/>
      <c r="AT134" s="92" t="s">
        <v>284</v>
      </c>
      <c r="AU134" s="287"/>
      <c r="AV134" s="287"/>
      <c r="AW134" s="287"/>
    </row>
    <row r="135" spans="1:49" ht="21" customHeight="1" thickBot="1" x14ac:dyDescent="0.3">
      <c r="C135" s="145" t="str">
        <f>C120</f>
        <v>junior</v>
      </c>
      <c r="D135" s="150" t="str">
        <f>D120</f>
        <v>senior</v>
      </c>
      <c r="E135" s="150" t="str">
        <f>E120</f>
        <v>premium</v>
      </c>
      <c r="N135" s="223" t="str">
        <f>Constantes!$Q$9</f>
        <v>junior</v>
      </c>
      <c r="O135" s="223" t="str">
        <f>Constantes!$R$9</f>
        <v>senior</v>
      </c>
      <c r="P135" s="223" t="str">
        <f>Constantes!$S$9</f>
        <v>premium</v>
      </c>
      <c r="Y135" s="286" t="str">
        <f>Constantes!$Q$9</f>
        <v>junior</v>
      </c>
      <c r="Z135" s="286" t="str">
        <f>Constantes!$R$9</f>
        <v>senior</v>
      </c>
      <c r="AA135" s="286" t="str">
        <f>Constantes!$S$9</f>
        <v>premium</v>
      </c>
      <c r="AJ135" s="286" t="str">
        <f>Constantes!$Q$9</f>
        <v>junior</v>
      </c>
      <c r="AK135" s="286" t="str">
        <f>Constantes!$R$9</f>
        <v>senior</v>
      </c>
      <c r="AL135" s="286" t="str">
        <f>Constantes!$S$9</f>
        <v>premium</v>
      </c>
      <c r="AR135" s="24"/>
      <c r="AU135" s="287" t="str">
        <f>Constantes!$Q$9</f>
        <v>junior</v>
      </c>
      <c r="AV135" s="287" t="str">
        <f>Constantes!$R$9</f>
        <v>senior</v>
      </c>
      <c r="AW135" s="287" t="str">
        <f>Constantes!$S$9</f>
        <v>premium</v>
      </c>
    </row>
    <row r="136" spans="1:49" ht="21" customHeight="1" x14ac:dyDescent="0.25">
      <c r="A136" s="12" t="s">
        <v>4</v>
      </c>
      <c r="B136" s="54" t="s">
        <v>5</v>
      </c>
      <c r="C136" s="236">
        <v>0.20000000298023224</v>
      </c>
      <c r="D136" s="237">
        <v>8.7418757379055023E-2</v>
      </c>
      <c r="E136" s="238">
        <v>0.10000000149011612</v>
      </c>
      <c r="L136" s="12" t="s">
        <v>4</v>
      </c>
      <c r="M136" s="54" t="s">
        <v>5</v>
      </c>
      <c r="N136" s="236">
        <v>0.15000000596046448</v>
      </c>
      <c r="O136" s="237">
        <v>0.20000000298023224</v>
      </c>
      <c r="P136" s="238">
        <v>5.000000074505806E-2</v>
      </c>
      <c r="W136" s="12"/>
      <c r="X136" s="54" t="s">
        <v>5</v>
      </c>
      <c r="Y136" s="127">
        <v>0.15000000596046448</v>
      </c>
      <c r="Z136" s="127">
        <v>0.15000000596046448</v>
      </c>
      <c r="AA136" s="127">
        <v>0.10000000149011612</v>
      </c>
      <c r="AH136" s="12" t="s">
        <v>4</v>
      </c>
      <c r="AI136" s="54" t="s">
        <v>5</v>
      </c>
      <c r="AJ136" s="127">
        <v>0.10000000149011612</v>
      </c>
      <c r="AK136" s="127">
        <v>5.000000074505806E-2</v>
      </c>
      <c r="AL136" s="127">
        <v>5.000000074505806E-2</v>
      </c>
      <c r="AR136" s="24"/>
      <c r="AS136" s="12" t="s">
        <v>4</v>
      </c>
      <c r="AT136" s="54" t="s">
        <v>5</v>
      </c>
      <c r="AU136" s="127">
        <v>0.10000000149011612</v>
      </c>
      <c r="AV136" s="127">
        <v>0.10000000149011612</v>
      </c>
      <c r="AW136" s="127">
        <v>0.10294509679079056</v>
      </c>
    </row>
    <row r="137" spans="1:49" ht="21" customHeight="1" thickBot="1" x14ac:dyDescent="0.3">
      <c r="A137" s="15"/>
      <c r="B137" s="56" t="s">
        <v>31</v>
      </c>
      <c r="C137" s="239">
        <v>0</v>
      </c>
      <c r="D137" s="240">
        <v>5.000000074505806E-2</v>
      </c>
      <c r="E137" s="241">
        <v>7.9934999346733093E-2</v>
      </c>
      <c r="L137" s="15"/>
      <c r="M137" s="56" t="s">
        <v>31</v>
      </c>
      <c r="N137" s="239">
        <v>0</v>
      </c>
      <c r="O137" s="240">
        <v>5.000000074505806E-2</v>
      </c>
      <c r="P137" s="241">
        <v>0.20000000298023224</v>
      </c>
      <c r="W137" s="15"/>
      <c r="X137" s="56" t="s">
        <v>31</v>
      </c>
      <c r="Y137" s="127">
        <v>0.10000000149011612</v>
      </c>
      <c r="Z137" s="127">
        <v>0.10000000149011612</v>
      </c>
      <c r="AA137" s="127">
        <v>0.10000000149011612</v>
      </c>
      <c r="AH137" s="15"/>
      <c r="AI137" s="56" t="s">
        <v>31</v>
      </c>
      <c r="AJ137" s="127">
        <v>0.10000000149011612</v>
      </c>
      <c r="AK137" s="127">
        <v>5.000000074505806E-2</v>
      </c>
      <c r="AL137" s="127">
        <v>0.10000000149011612</v>
      </c>
      <c r="AR137" s="24"/>
      <c r="AS137" s="15"/>
      <c r="AT137" s="56" t="s">
        <v>31</v>
      </c>
      <c r="AU137" s="127">
        <v>0.10000000149011612</v>
      </c>
      <c r="AV137" s="127">
        <v>0.10000000149011612</v>
      </c>
      <c r="AW137" s="127">
        <v>0.10294509679079056</v>
      </c>
    </row>
    <row r="138" spans="1:49" ht="21" customHeight="1" x14ac:dyDescent="0.25">
      <c r="A138" s="12" t="s">
        <v>6</v>
      </c>
      <c r="B138" s="54" t="s">
        <v>7</v>
      </c>
      <c r="C138" s="236">
        <v>0</v>
      </c>
      <c r="D138" s="237">
        <v>8.7418757379055023E-2</v>
      </c>
      <c r="E138" s="238">
        <v>0.15000000596046448</v>
      </c>
      <c r="L138" s="12" t="s">
        <v>6</v>
      </c>
      <c r="M138" s="54" t="s">
        <v>7</v>
      </c>
      <c r="N138" s="236">
        <v>0</v>
      </c>
      <c r="O138" s="237">
        <v>5.000000074505806E-2</v>
      </c>
      <c r="P138" s="238">
        <v>0.15000000596046448</v>
      </c>
      <c r="W138" s="12"/>
      <c r="X138" s="54" t="s">
        <v>7</v>
      </c>
      <c r="Y138" s="127">
        <v>0</v>
      </c>
      <c r="Z138" s="127">
        <v>0.10000000149011612</v>
      </c>
      <c r="AA138" s="127">
        <v>0.30000001192092896</v>
      </c>
      <c r="AH138" s="12" t="s">
        <v>6</v>
      </c>
      <c r="AI138" s="54" t="s">
        <v>7</v>
      </c>
      <c r="AJ138" s="127">
        <v>5.000000074505806E-2</v>
      </c>
      <c r="AK138" s="127">
        <v>0.10000000149011612</v>
      </c>
      <c r="AL138" s="127">
        <v>0.15000000596046448</v>
      </c>
      <c r="AR138" s="24"/>
      <c r="AS138" s="12" t="s">
        <v>6</v>
      </c>
      <c r="AT138" s="54" t="s">
        <v>7</v>
      </c>
      <c r="AU138" s="127">
        <v>0.10000000149011612</v>
      </c>
      <c r="AV138" s="127">
        <v>0.10000000149011612</v>
      </c>
      <c r="AW138" s="127">
        <v>0.25</v>
      </c>
    </row>
    <row r="139" spans="1:49" ht="21" customHeight="1" x14ac:dyDescent="0.25">
      <c r="A139" s="17"/>
      <c r="B139" s="57" t="s">
        <v>8</v>
      </c>
      <c r="C139" s="242">
        <v>0.10000000149011612</v>
      </c>
      <c r="D139" s="127">
        <v>8.7418757379055023E-2</v>
      </c>
      <c r="E139" s="243">
        <v>0.12993499636650085</v>
      </c>
      <c r="L139" s="17"/>
      <c r="M139" s="57" t="s">
        <v>8</v>
      </c>
      <c r="N139" s="242">
        <v>0.10000000149011612</v>
      </c>
      <c r="O139" s="127">
        <v>0.10000000149011612</v>
      </c>
      <c r="P139" s="243">
        <v>0.10000000149011612</v>
      </c>
      <c r="W139" s="17"/>
      <c r="X139" s="57" t="s">
        <v>8</v>
      </c>
      <c r="Y139" s="127">
        <v>0.10000000149011612</v>
      </c>
      <c r="Z139" s="127">
        <v>0.15000000596046448</v>
      </c>
      <c r="AA139" s="127">
        <v>0.10000000149011612</v>
      </c>
      <c r="AH139" s="17"/>
      <c r="AI139" s="57" t="s">
        <v>8</v>
      </c>
      <c r="AJ139" s="127">
        <v>0.10000000149011612</v>
      </c>
      <c r="AK139" s="127">
        <v>0.15000000596046448</v>
      </c>
      <c r="AL139" s="127">
        <v>0.15000000596046448</v>
      </c>
      <c r="AR139" s="24"/>
      <c r="AS139" s="17"/>
      <c r="AT139" s="57" t="s">
        <v>8</v>
      </c>
      <c r="AU139" s="127">
        <v>5.000000074505806E-2</v>
      </c>
      <c r="AV139" s="127">
        <v>5.000000074505806E-2</v>
      </c>
      <c r="AW139" s="127">
        <v>0.10294509679079056</v>
      </c>
    </row>
    <row r="140" spans="1:49" ht="21" customHeight="1" thickBot="1" x14ac:dyDescent="0.3">
      <c r="A140" s="15"/>
      <c r="B140" s="56" t="s">
        <v>157</v>
      </c>
      <c r="C140" s="239">
        <v>0</v>
      </c>
      <c r="D140" s="240">
        <v>0.10000000149011612</v>
      </c>
      <c r="E140" s="241">
        <v>0.10000000149011612</v>
      </c>
      <c r="L140" s="15"/>
      <c r="M140" s="56" t="s">
        <v>157</v>
      </c>
      <c r="N140" s="239">
        <v>0.10000000149011612</v>
      </c>
      <c r="O140" s="240">
        <v>0.10000000149011612</v>
      </c>
      <c r="P140" s="241">
        <v>0.10000000149011612</v>
      </c>
      <c r="W140" s="15"/>
      <c r="X140" s="56" t="s">
        <v>157</v>
      </c>
      <c r="Y140" s="127">
        <v>0.10000000149011612</v>
      </c>
      <c r="Z140" s="127">
        <v>0.10000000149011612</v>
      </c>
      <c r="AA140" s="127">
        <v>5.000000074505806E-2</v>
      </c>
      <c r="AH140" s="15"/>
      <c r="AI140" s="56" t="s">
        <v>157</v>
      </c>
      <c r="AJ140" s="127">
        <v>0.15000000596046448</v>
      </c>
      <c r="AK140" s="127">
        <v>0.10000000149011612</v>
      </c>
      <c r="AL140" s="127">
        <v>0.10000000149011612</v>
      </c>
      <c r="AR140" s="24"/>
      <c r="AS140" s="15"/>
      <c r="AT140" s="56" t="s">
        <v>157</v>
      </c>
      <c r="AU140" s="127">
        <v>0.10000000149011612</v>
      </c>
      <c r="AV140" s="127">
        <v>5.000000074505806E-2</v>
      </c>
      <c r="AW140" s="127">
        <v>5.29450923204422E-2</v>
      </c>
    </row>
    <row r="141" spans="1:49" ht="21" customHeight="1" x14ac:dyDescent="0.25">
      <c r="A141" s="12" t="s">
        <v>9</v>
      </c>
      <c r="B141" s="54" t="s">
        <v>32</v>
      </c>
      <c r="C141" s="236">
        <v>0</v>
      </c>
      <c r="D141" s="237">
        <v>0.10000000149011612</v>
      </c>
      <c r="E141" s="238">
        <v>0</v>
      </c>
      <c r="L141" s="12" t="s">
        <v>9</v>
      </c>
      <c r="M141" s="54" t="s">
        <v>32</v>
      </c>
      <c r="N141" s="236">
        <v>0</v>
      </c>
      <c r="O141" s="237">
        <v>0.10000000149011612</v>
      </c>
      <c r="P141" s="238">
        <v>0</v>
      </c>
      <c r="W141" s="12"/>
      <c r="X141" s="54" t="s">
        <v>32</v>
      </c>
      <c r="Y141" s="127">
        <v>0</v>
      </c>
      <c r="Z141" s="127">
        <v>0.10000000149011612</v>
      </c>
      <c r="AA141" s="127">
        <v>0.15000000596046448</v>
      </c>
      <c r="AH141" s="12" t="s">
        <v>9</v>
      </c>
      <c r="AI141" s="54" t="s">
        <v>32</v>
      </c>
      <c r="AJ141" s="127">
        <v>5.000000074505806E-2</v>
      </c>
      <c r="AK141" s="127">
        <v>0.15000000596046448</v>
      </c>
      <c r="AL141" s="127">
        <v>0.15000000596046448</v>
      </c>
      <c r="AR141" s="24"/>
      <c r="AS141" s="12" t="s">
        <v>9</v>
      </c>
      <c r="AT141" s="54" t="s">
        <v>32</v>
      </c>
      <c r="AU141" s="127">
        <v>0.10000000149011612</v>
      </c>
      <c r="AV141" s="127">
        <v>0.20000000298023224</v>
      </c>
      <c r="AW141" s="127">
        <v>0.15294510126113892</v>
      </c>
    </row>
    <row r="142" spans="1:49" ht="21" customHeight="1" thickBot="1" x14ac:dyDescent="0.3">
      <c r="A142" s="15"/>
      <c r="B142" s="56" t="s">
        <v>10</v>
      </c>
      <c r="C142" s="239">
        <v>0</v>
      </c>
      <c r="D142" s="240">
        <v>0.10000000149011612</v>
      </c>
      <c r="E142" s="241">
        <v>0.12993499636650085</v>
      </c>
      <c r="L142" s="15"/>
      <c r="M142" s="56" t="s">
        <v>10</v>
      </c>
      <c r="N142" s="239">
        <v>0</v>
      </c>
      <c r="O142" s="240">
        <v>0.10000000149011612</v>
      </c>
      <c r="P142" s="241">
        <v>0.20000000298023224</v>
      </c>
      <c r="W142" s="15"/>
      <c r="X142" s="56" t="s">
        <v>10</v>
      </c>
      <c r="Y142" s="127">
        <v>0</v>
      </c>
      <c r="Z142" s="127">
        <v>0.10000000149011612</v>
      </c>
      <c r="AA142" s="127">
        <v>0.10000000149011612</v>
      </c>
      <c r="AH142" s="15"/>
      <c r="AI142" s="56" t="s">
        <v>10</v>
      </c>
      <c r="AJ142" s="127">
        <v>0</v>
      </c>
      <c r="AK142" s="127">
        <v>0.10000000149011612</v>
      </c>
      <c r="AL142" s="127">
        <v>0.10000000149011612</v>
      </c>
      <c r="AR142" s="24"/>
      <c r="AS142" s="15"/>
      <c r="AT142" s="56" t="s">
        <v>10</v>
      </c>
      <c r="AU142" s="127">
        <v>5.000000074505806E-2</v>
      </c>
      <c r="AV142" s="127">
        <v>0.10000000149011612</v>
      </c>
      <c r="AW142" s="127">
        <v>0.10294509679079056</v>
      </c>
    </row>
    <row r="143" spans="1:49" ht="21" customHeight="1" x14ac:dyDescent="0.25">
      <c r="A143" s="12" t="s">
        <v>11</v>
      </c>
      <c r="B143" s="54" t="s">
        <v>33</v>
      </c>
      <c r="C143" s="236">
        <v>0.16577917337417603</v>
      </c>
      <c r="D143" s="237">
        <v>8.7418757379055023E-2</v>
      </c>
      <c r="E143" s="238">
        <v>0.12993499636650085</v>
      </c>
      <c r="L143" s="12" t="s">
        <v>11</v>
      </c>
      <c r="M143" s="54" t="s">
        <v>33</v>
      </c>
      <c r="N143" s="236">
        <v>0.40000000596046448</v>
      </c>
      <c r="O143" s="237">
        <v>0.15000000596046448</v>
      </c>
      <c r="P143" s="238">
        <v>0.10000000149011612</v>
      </c>
      <c r="W143" s="12"/>
      <c r="X143" s="54" t="s">
        <v>33</v>
      </c>
      <c r="Y143" s="127">
        <v>0.20000000298023224</v>
      </c>
      <c r="Z143" s="127">
        <v>0.10000000149011612</v>
      </c>
      <c r="AA143" s="127">
        <v>5.000000074505806E-2</v>
      </c>
      <c r="AH143" s="12" t="s">
        <v>11</v>
      </c>
      <c r="AI143" s="54" t="s">
        <v>33</v>
      </c>
      <c r="AJ143" s="127">
        <v>0.20000000298023224</v>
      </c>
      <c r="AK143" s="127">
        <v>0.15000000596046448</v>
      </c>
      <c r="AL143" s="127">
        <v>0.10000000149011612</v>
      </c>
      <c r="AR143" s="24"/>
      <c r="AS143" s="12" t="s">
        <v>11</v>
      </c>
      <c r="AT143" s="54" t="s">
        <v>33</v>
      </c>
      <c r="AU143" s="127">
        <v>0.20000000298023224</v>
      </c>
      <c r="AV143" s="127">
        <v>0.10000000149011612</v>
      </c>
      <c r="AW143" s="127">
        <v>5.29450923204422E-2</v>
      </c>
    </row>
    <row r="144" spans="1:49" ht="21" customHeight="1" x14ac:dyDescent="0.25">
      <c r="A144" s="17"/>
      <c r="B144" s="57" t="s">
        <v>34</v>
      </c>
      <c r="C144" s="242">
        <v>0.44999998807907104</v>
      </c>
      <c r="D144" s="127">
        <v>0.20000000298023224</v>
      </c>
      <c r="E144" s="243">
        <v>7.9934999346733093E-2</v>
      </c>
      <c r="L144" s="17"/>
      <c r="M144" s="57" t="s">
        <v>34</v>
      </c>
      <c r="N144" s="242">
        <v>0.25</v>
      </c>
      <c r="O144" s="127">
        <v>0.15000000596046448</v>
      </c>
      <c r="P144" s="243">
        <v>0.10000000149011612</v>
      </c>
      <c r="W144" s="17"/>
      <c r="X144" s="57" t="s">
        <v>34</v>
      </c>
      <c r="Y144" s="127">
        <v>0.20000000298023224</v>
      </c>
      <c r="Z144" s="127">
        <v>0.10000000149011612</v>
      </c>
      <c r="AA144" s="127">
        <v>5.000000074505806E-2</v>
      </c>
      <c r="AH144" s="17"/>
      <c r="AI144" s="57" t="s">
        <v>34</v>
      </c>
      <c r="AJ144" s="127">
        <v>0.15000000596046448</v>
      </c>
      <c r="AK144" s="127">
        <v>5.000000074505806E-2</v>
      </c>
      <c r="AL144" s="127">
        <v>5.000000074505806E-2</v>
      </c>
      <c r="AR144" s="24"/>
      <c r="AS144" s="17"/>
      <c r="AT144" s="57" t="s">
        <v>34</v>
      </c>
      <c r="AU144" s="127">
        <v>0.10000000149011612</v>
      </c>
      <c r="AV144" s="127">
        <v>0.15000000596046448</v>
      </c>
      <c r="AW144" s="127">
        <v>5.29450923204422E-2</v>
      </c>
    </row>
    <row r="145" spans="1:49" ht="21" customHeight="1" thickBot="1" x14ac:dyDescent="0.3">
      <c r="A145" s="15"/>
      <c r="B145" s="56" t="s">
        <v>12</v>
      </c>
      <c r="C145" s="239">
        <v>0</v>
      </c>
      <c r="D145" s="240">
        <v>0</v>
      </c>
      <c r="E145" s="241">
        <v>0</v>
      </c>
      <c r="L145" s="15"/>
      <c r="M145" s="56" t="s">
        <v>12</v>
      </c>
      <c r="N145" s="239">
        <v>0</v>
      </c>
      <c r="O145" s="240">
        <v>0</v>
      </c>
      <c r="P145" s="241">
        <v>0</v>
      </c>
      <c r="W145" s="15"/>
      <c r="X145" s="56" t="s">
        <v>12</v>
      </c>
      <c r="Y145" s="127">
        <v>0.15000000596046448</v>
      </c>
      <c r="Z145" s="127">
        <v>0</v>
      </c>
      <c r="AA145" s="127">
        <v>0.10000000149011612</v>
      </c>
      <c r="AH145" s="15"/>
      <c r="AI145" s="56" t="s">
        <v>12</v>
      </c>
      <c r="AJ145" s="127">
        <v>0.10000000149011612</v>
      </c>
      <c r="AK145" s="127">
        <v>0.10000000149011612</v>
      </c>
      <c r="AL145" s="127">
        <v>5.000000074505806E-2</v>
      </c>
      <c r="AR145" s="24"/>
      <c r="AS145" s="15"/>
      <c r="AT145" s="56" t="s">
        <v>12</v>
      </c>
      <c r="AU145" s="127">
        <v>0.10000000149011612</v>
      </c>
      <c r="AV145" s="127">
        <v>5.000000074505806E-2</v>
      </c>
      <c r="AW145" s="127">
        <v>0.10294509679079056</v>
      </c>
    </row>
    <row r="146" spans="1:49" ht="21" customHeight="1" x14ac:dyDescent="0.25">
      <c r="A146" s="22"/>
      <c r="B146" s="22"/>
      <c r="C146" s="58"/>
      <c r="D146" s="58"/>
      <c r="E146" s="58"/>
      <c r="L146" s="22"/>
      <c r="M146" s="22"/>
      <c r="N146" s="58"/>
      <c r="O146" s="58"/>
      <c r="P146" s="58"/>
      <c r="W146" s="22"/>
      <c r="X146" s="22"/>
      <c r="Y146" s="58"/>
      <c r="Z146" s="58"/>
      <c r="AA146" s="58"/>
      <c r="AH146" s="22"/>
      <c r="AI146" s="22"/>
      <c r="AJ146" s="58"/>
      <c r="AK146" s="58"/>
      <c r="AL146" s="58"/>
      <c r="AR146" s="24"/>
      <c r="AS146" s="22"/>
      <c r="AT146" s="22"/>
      <c r="AU146" s="58"/>
      <c r="AV146" s="58"/>
      <c r="AW146" s="58"/>
    </row>
    <row r="147" spans="1:49" ht="21" customHeight="1" x14ac:dyDescent="0.25">
      <c r="A147" s="22"/>
      <c r="B147" s="22"/>
      <c r="C147" s="58"/>
      <c r="D147" s="58"/>
      <c r="E147" s="58"/>
      <c r="L147" s="22"/>
      <c r="M147" s="22"/>
      <c r="N147" s="58"/>
      <c r="O147" s="58"/>
      <c r="P147" s="58"/>
      <c r="W147" s="22"/>
      <c r="X147" s="22"/>
      <c r="Y147" s="58"/>
      <c r="Z147" s="58"/>
      <c r="AA147" s="58"/>
      <c r="AH147" s="22"/>
      <c r="AI147" s="22"/>
      <c r="AJ147" s="58"/>
      <c r="AK147" s="58"/>
      <c r="AL147" s="58"/>
      <c r="AR147" s="24"/>
      <c r="AS147" s="22"/>
      <c r="AT147" s="22"/>
      <c r="AU147" s="58"/>
      <c r="AV147" s="58"/>
      <c r="AW147" s="58"/>
    </row>
    <row r="148" spans="1:49" ht="21" customHeight="1" x14ac:dyDescent="0.25">
      <c r="A148" s="749"/>
      <c r="B148" s="36" t="s">
        <v>314</v>
      </c>
      <c r="D148" s="20"/>
      <c r="M148" s="36" t="s">
        <v>314</v>
      </c>
      <c r="O148" s="20"/>
      <c r="X148" s="36" t="s">
        <v>314</v>
      </c>
      <c r="Z148" s="20"/>
      <c r="AI148" s="36" t="s">
        <v>314</v>
      </c>
      <c r="AK148" s="20"/>
      <c r="AR148" s="24"/>
      <c r="AT148" s="36" t="s">
        <v>314</v>
      </c>
      <c r="AV148" s="20"/>
    </row>
    <row r="149" spans="1:49" ht="21" customHeight="1" thickBot="1" x14ac:dyDescent="0.3">
      <c r="C149" s="325" t="str">
        <f>Constantes!$Q$9</f>
        <v>junior</v>
      </c>
      <c r="D149" s="325" t="str">
        <f>Constantes!$R$9</f>
        <v>senior</v>
      </c>
      <c r="E149" s="325" t="str">
        <f>Constantes!$S$9</f>
        <v>premium</v>
      </c>
      <c r="N149" s="223" t="str">
        <f>Constantes!$Q$9</f>
        <v>junior</v>
      </c>
      <c r="O149" s="223" t="str">
        <f>Constantes!$R$9</f>
        <v>senior</v>
      </c>
      <c r="P149" s="223" t="str">
        <f>Constantes!$S$9</f>
        <v>premium</v>
      </c>
      <c r="Y149" s="286"/>
      <c r="Z149" s="286"/>
      <c r="AA149" s="286"/>
      <c r="AJ149" s="286"/>
      <c r="AK149" s="286"/>
      <c r="AL149" s="286"/>
      <c r="AR149" s="24"/>
      <c r="AU149" s="287"/>
      <c r="AV149" s="287"/>
      <c r="AW149" s="287"/>
    </row>
    <row r="150" spans="1:49" ht="21" customHeight="1" x14ac:dyDescent="0.25">
      <c r="A150" s="12" t="s">
        <v>4</v>
      </c>
      <c r="B150" s="54" t="s">
        <v>5</v>
      </c>
      <c r="C150" s="334">
        <f t="shared" ref="C150:E159" si="17">C136*C$10</f>
        <v>36.908800549983972</v>
      </c>
      <c r="D150" s="335">
        <f t="shared" si="17"/>
        <v>14.345767760932445</v>
      </c>
      <c r="E150" s="336">
        <f t="shared" si="17"/>
        <v>16.410400244534014</v>
      </c>
      <c r="L150" s="12" t="s">
        <v>4</v>
      </c>
      <c r="M150" s="54" t="s">
        <v>5</v>
      </c>
      <c r="N150" s="334">
        <f t="shared" ref="N150:P159" si="18">N136*N$10</f>
        <v>21.624000859260558</v>
      </c>
      <c r="O150" s="335">
        <f t="shared" si="18"/>
        <v>32.368000482320788</v>
      </c>
      <c r="P150" s="336">
        <f t="shared" si="18"/>
        <v>8.5680001276731481</v>
      </c>
      <c r="W150" s="12"/>
      <c r="X150" s="54" t="s">
        <v>5</v>
      </c>
      <c r="Y150" s="334">
        <f t="shared" ref="Y150:AA159" si="19">Y136*Y$10</f>
        <v>17.802000707387922</v>
      </c>
      <c r="Z150" s="335">
        <f t="shared" si="19"/>
        <v>25.35750100761652</v>
      </c>
      <c r="AA150" s="336">
        <f t="shared" si="19"/>
        <v>19.665000293031337</v>
      </c>
      <c r="AH150" s="12" t="s">
        <v>4</v>
      </c>
      <c r="AI150" s="54" t="s">
        <v>5</v>
      </c>
      <c r="AJ150" s="334">
        <f t="shared" ref="AJ150:AL159" si="20">AJ136*AJ$10</f>
        <v>10.010000149160623</v>
      </c>
      <c r="AK150" s="335">
        <f t="shared" si="20"/>
        <v>5.7600000858306881</v>
      </c>
      <c r="AL150" s="336">
        <f t="shared" si="20"/>
        <v>7.1280001062154774</v>
      </c>
      <c r="AR150" s="24"/>
      <c r="AS150" s="12" t="s">
        <v>4</v>
      </c>
      <c r="AT150" s="54" t="s">
        <v>5</v>
      </c>
      <c r="AU150" s="334">
        <f t="shared" ref="AU150:AW159" si="21">AU136*AU$10</f>
        <v>10.350000154227017</v>
      </c>
      <c r="AV150" s="335">
        <f t="shared" si="21"/>
        <v>15.750000234693289</v>
      </c>
      <c r="AW150" s="336">
        <f t="shared" si="21"/>
        <v>22.91557854562998</v>
      </c>
    </row>
    <row r="151" spans="1:49" ht="21" customHeight="1" thickBot="1" x14ac:dyDescent="0.3">
      <c r="A151" s="15"/>
      <c r="B151" s="56" t="s">
        <v>31</v>
      </c>
      <c r="C151" s="337">
        <f t="shared" si="17"/>
        <v>0</v>
      </c>
      <c r="D151" s="338">
        <f t="shared" si="17"/>
        <v>8.2052001222670068</v>
      </c>
      <c r="E151" s="339">
        <f t="shared" si="17"/>
        <v>13.117653132796287</v>
      </c>
      <c r="L151" s="15"/>
      <c r="M151" s="56" t="s">
        <v>31</v>
      </c>
      <c r="N151" s="337">
        <f t="shared" si="18"/>
        <v>0</v>
      </c>
      <c r="O151" s="338">
        <f t="shared" si="18"/>
        <v>8.092000120580197</v>
      </c>
      <c r="P151" s="339">
        <f t="shared" si="18"/>
        <v>34.272000510692592</v>
      </c>
      <c r="W151" s="15"/>
      <c r="X151" s="56" t="s">
        <v>31</v>
      </c>
      <c r="Y151" s="337">
        <f t="shared" si="19"/>
        <v>11.86800017684698</v>
      </c>
      <c r="Z151" s="338">
        <f t="shared" si="19"/>
        <v>16.905000251904131</v>
      </c>
      <c r="AA151" s="339">
        <f t="shared" si="19"/>
        <v>19.665000293031337</v>
      </c>
      <c r="AH151" s="15"/>
      <c r="AI151" s="56" t="s">
        <v>31</v>
      </c>
      <c r="AJ151" s="337">
        <f t="shared" si="20"/>
        <v>10.010000149160623</v>
      </c>
      <c r="AK151" s="338">
        <f t="shared" si="20"/>
        <v>5.7600000858306881</v>
      </c>
      <c r="AL151" s="339">
        <f t="shared" si="20"/>
        <v>14.256000212430955</v>
      </c>
      <c r="AR151" s="24"/>
      <c r="AS151" s="15"/>
      <c r="AT151" s="56" t="s">
        <v>31</v>
      </c>
      <c r="AU151" s="337">
        <f t="shared" si="21"/>
        <v>10.350000154227017</v>
      </c>
      <c r="AV151" s="338">
        <f t="shared" si="21"/>
        <v>15.750000234693289</v>
      </c>
      <c r="AW151" s="339">
        <f t="shared" si="21"/>
        <v>22.91557854562998</v>
      </c>
    </row>
    <row r="152" spans="1:49" ht="21" customHeight="1" x14ac:dyDescent="0.25">
      <c r="A152" s="12" t="s">
        <v>6</v>
      </c>
      <c r="B152" s="54" t="s">
        <v>7</v>
      </c>
      <c r="C152" s="334">
        <f t="shared" si="17"/>
        <v>0</v>
      </c>
      <c r="D152" s="335">
        <f t="shared" si="17"/>
        <v>14.345767760932445</v>
      </c>
      <c r="E152" s="336">
        <f t="shared" si="17"/>
        <v>24.615600978136062</v>
      </c>
      <c r="L152" s="12" t="s">
        <v>6</v>
      </c>
      <c r="M152" s="54" t="s">
        <v>7</v>
      </c>
      <c r="N152" s="334">
        <f t="shared" si="18"/>
        <v>0</v>
      </c>
      <c r="O152" s="335">
        <f t="shared" si="18"/>
        <v>8.092000120580197</v>
      </c>
      <c r="P152" s="336">
        <f t="shared" si="18"/>
        <v>25.704001021385192</v>
      </c>
      <c r="W152" s="12"/>
      <c r="X152" s="54" t="s">
        <v>7</v>
      </c>
      <c r="Y152" s="334">
        <f t="shared" si="19"/>
        <v>0</v>
      </c>
      <c r="Z152" s="335">
        <f t="shared" si="19"/>
        <v>16.905000251904131</v>
      </c>
      <c r="AA152" s="336">
        <f t="shared" si="19"/>
        <v>58.995002344250679</v>
      </c>
      <c r="AH152" s="12" t="s">
        <v>6</v>
      </c>
      <c r="AI152" s="54" t="s">
        <v>7</v>
      </c>
      <c r="AJ152" s="334">
        <f t="shared" si="20"/>
        <v>5.0050000745803116</v>
      </c>
      <c r="AK152" s="335">
        <f t="shared" si="20"/>
        <v>11.520000171661376</v>
      </c>
      <c r="AL152" s="336">
        <f t="shared" si="20"/>
        <v>21.384000849723815</v>
      </c>
      <c r="AR152" s="24"/>
      <c r="AS152" s="12" t="s">
        <v>6</v>
      </c>
      <c r="AT152" s="54" t="s">
        <v>7</v>
      </c>
      <c r="AU152" s="334">
        <f t="shared" si="21"/>
        <v>10.350000154227017</v>
      </c>
      <c r="AV152" s="335">
        <f t="shared" si="21"/>
        <v>15.750000234693289</v>
      </c>
      <c r="AW152" s="336">
        <f t="shared" si="21"/>
        <v>55.650000000000006</v>
      </c>
    </row>
    <row r="153" spans="1:49" ht="21" customHeight="1" x14ac:dyDescent="0.25">
      <c r="A153" s="17"/>
      <c r="B153" s="57" t="s">
        <v>8</v>
      </c>
      <c r="C153" s="340">
        <f t="shared" si="17"/>
        <v>18.454400274991986</v>
      </c>
      <c r="D153" s="124">
        <f t="shared" si="17"/>
        <v>14.345767760932445</v>
      </c>
      <c r="E153" s="341">
        <f t="shared" si="17"/>
        <v>21.322852643728254</v>
      </c>
      <c r="L153" s="17"/>
      <c r="M153" s="57" t="s">
        <v>8</v>
      </c>
      <c r="N153" s="340">
        <f t="shared" si="18"/>
        <v>14.41600021481514</v>
      </c>
      <c r="O153" s="124">
        <f t="shared" si="18"/>
        <v>16.184000241160394</v>
      </c>
      <c r="P153" s="341">
        <f t="shared" si="18"/>
        <v>17.136000255346296</v>
      </c>
      <c r="W153" s="17"/>
      <c r="X153" s="57" t="s">
        <v>8</v>
      </c>
      <c r="Y153" s="340">
        <f t="shared" si="19"/>
        <v>11.86800017684698</v>
      </c>
      <c r="Z153" s="124">
        <f t="shared" si="19"/>
        <v>25.35750100761652</v>
      </c>
      <c r="AA153" s="341">
        <f t="shared" si="19"/>
        <v>19.665000293031337</v>
      </c>
      <c r="AH153" s="17"/>
      <c r="AI153" s="57" t="s">
        <v>8</v>
      </c>
      <c r="AJ153" s="340">
        <f t="shared" si="20"/>
        <v>10.010000149160623</v>
      </c>
      <c r="AK153" s="124">
        <f t="shared" si="20"/>
        <v>17.280000686645508</v>
      </c>
      <c r="AL153" s="341">
        <f t="shared" si="20"/>
        <v>21.384000849723815</v>
      </c>
      <c r="AR153" s="24"/>
      <c r="AS153" s="17"/>
      <c r="AT153" s="57" t="s">
        <v>8</v>
      </c>
      <c r="AU153" s="340">
        <f t="shared" si="21"/>
        <v>5.1750000771135083</v>
      </c>
      <c r="AV153" s="124">
        <f t="shared" si="21"/>
        <v>7.8750001173466444</v>
      </c>
      <c r="AW153" s="341">
        <f t="shared" si="21"/>
        <v>22.91557854562998</v>
      </c>
    </row>
    <row r="154" spans="1:49" ht="21" customHeight="1" thickBot="1" x14ac:dyDescent="0.3">
      <c r="A154" s="15"/>
      <c r="B154" s="56" t="s">
        <v>157</v>
      </c>
      <c r="C154" s="337">
        <f t="shared" si="17"/>
        <v>0</v>
      </c>
      <c r="D154" s="338">
        <f t="shared" si="17"/>
        <v>16.410400244534014</v>
      </c>
      <c r="E154" s="339">
        <f t="shared" si="17"/>
        <v>16.410400244534014</v>
      </c>
      <c r="L154" s="15"/>
      <c r="M154" s="56" t="s">
        <v>157</v>
      </c>
      <c r="N154" s="337">
        <f t="shared" si="18"/>
        <v>14.41600021481514</v>
      </c>
      <c r="O154" s="338">
        <f t="shared" si="18"/>
        <v>16.184000241160394</v>
      </c>
      <c r="P154" s="339">
        <f t="shared" si="18"/>
        <v>17.136000255346296</v>
      </c>
      <c r="W154" s="15"/>
      <c r="X154" s="56" t="s">
        <v>157</v>
      </c>
      <c r="Y154" s="337">
        <f t="shared" si="19"/>
        <v>11.86800017684698</v>
      </c>
      <c r="Z154" s="338">
        <f t="shared" si="19"/>
        <v>16.905000251904131</v>
      </c>
      <c r="AA154" s="339">
        <f t="shared" si="19"/>
        <v>9.8325001465156685</v>
      </c>
      <c r="AH154" s="15"/>
      <c r="AI154" s="56" t="s">
        <v>157</v>
      </c>
      <c r="AJ154" s="337">
        <f t="shared" si="20"/>
        <v>15.015000596642494</v>
      </c>
      <c r="AK154" s="338">
        <f t="shared" si="20"/>
        <v>11.520000171661376</v>
      </c>
      <c r="AL154" s="339">
        <f t="shared" si="20"/>
        <v>14.256000212430955</v>
      </c>
      <c r="AR154" s="24"/>
      <c r="AS154" s="15"/>
      <c r="AT154" s="56" t="s">
        <v>157</v>
      </c>
      <c r="AU154" s="337">
        <f t="shared" si="21"/>
        <v>10.350000154227017</v>
      </c>
      <c r="AV154" s="338">
        <f t="shared" si="21"/>
        <v>7.8750001173466444</v>
      </c>
      <c r="AW154" s="339">
        <f t="shared" si="21"/>
        <v>11.785577550530435</v>
      </c>
    </row>
    <row r="155" spans="1:49" ht="21" customHeight="1" x14ac:dyDescent="0.25">
      <c r="A155" s="12" t="s">
        <v>9</v>
      </c>
      <c r="B155" s="54" t="s">
        <v>32</v>
      </c>
      <c r="C155" s="334">
        <f t="shared" si="17"/>
        <v>0</v>
      </c>
      <c r="D155" s="335">
        <f t="shared" si="17"/>
        <v>16.410400244534014</v>
      </c>
      <c r="E155" s="336">
        <f t="shared" si="17"/>
        <v>0</v>
      </c>
      <c r="L155" s="12" t="s">
        <v>9</v>
      </c>
      <c r="M155" s="54" t="s">
        <v>32</v>
      </c>
      <c r="N155" s="334">
        <f t="shared" si="18"/>
        <v>0</v>
      </c>
      <c r="O155" s="335">
        <f t="shared" si="18"/>
        <v>16.184000241160394</v>
      </c>
      <c r="P155" s="336">
        <f t="shared" si="18"/>
        <v>0</v>
      </c>
      <c r="W155" s="12"/>
      <c r="X155" s="54" t="s">
        <v>32</v>
      </c>
      <c r="Y155" s="334">
        <f t="shared" si="19"/>
        <v>0</v>
      </c>
      <c r="Z155" s="335">
        <f t="shared" si="19"/>
        <v>16.905000251904131</v>
      </c>
      <c r="AA155" s="336">
        <f t="shared" si="19"/>
        <v>29.49750117212534</v>
      </c>
      <c r="AH155" s="12" t="s">
        <v>9</v>
      </c>
      <c r="AI155" s="54" t="s">
        <v>32</v>
      </c>
      <c r="AJ155" s="334">
        <f t="shared" si="20"/>
        <v>5.0050000745803116</v>
      </c>
      <c r="AK155" s="335">
        <f t="shared" si="20"/>
        <v>17.280000686645508</v>
      </c>
      <c r="AL155" s="336">
        <f t="shared" si="20"/>
        <v>21.384000849723815</v>
      </c>
      <c r="AR155" s="24"/>
      <c r="AS155" s="12" t="s">
        <v>9</v>
      </c>
      <c r="AT155" s="54" t="s">
        <v>32</v>
      </c>
      <c r="AU155" s="334">
        <f t="shared" si="21"/>
        <v>10.350000154227017</v>
      </c>
      <c r="AV155" s="335">
        <f t="shared" si="21"/>
        <v>31.500000469386578</v>
      </c>
      <c r="AW155" s="336">
        <f t="shared" si="21"/>
        <v>34.045579540729527</v>
      </c>
    </row>
    <row r="156" spans="1:49" ht="21" customHeight="1" thickBot="1" x14ac:dyDescent="0.3">
      <c r="A156" s="15"/>
      <c r="B156" s="56" t="s">
        <v>10</v>
      </c>
      <c r="C156" s="337">
        <f t="shared" si="17"/>
        <v>0</v>
      </c>
      <c r="D156" s="338">
        <f t="shared" si="17"/>
        <v>16.410400244534014</v>
      </c>
      <c r="E156" s="339">
        <f t="shared" si="17"/>
        <v>21.322852643728254</v>
      </c>
      <c r="L156" s="15"/>
      <c r="M156" s="56" t="s">
        <v>10</v>
      </c>
      <c r="N156" s="337">
        <f t="shared" si="18"/>
        <v>0</v>
      </c>
      <c r="O156" s="338">
        <f t="shared" si="18"/>
        <v>16.184000241160394</v>
      </c>
      <c r="P156" s="339">
        <f t="shared" si="18"/>
        <v>34.272000510692592</v>
      </c>
      <c r="W156" s="15"/>
      <c r="X156" s="56" t="s">
        <v>10</v>
      </c>
      <c r="Y156" s="337">
        <f t="shared" si="19"/>
        <v>0</v>
      </c>
      <c r="Z156" s="338">
        <f t="shared" si="19"/>
        <v>16.905000251904131</v>
      </c>
      <c r="AA156" s="339">
        <f t="shared" si="19"/>
        <v>19.665000293031337</v>
      </c>
      <c r="AH156" s="15"/>
      <c r="AI156" s="56" t="s">
        <v>10</v>
      </c>
      <c r="AJ156" s="337">
        <f t="shared" si="20"/>
        <v>0</v>
      </c>
      <c r="AK156" s="338">
        <f t="shared" si="20"/>
        <v>11.520000171661376</v>
      </c>
      <c r="AL156" s="339">
        <f t="shared" si="20"/>
        <v>14.256000212430955</v>
      </c>
      <c r="AR156" s="24"/>
      <c r="AS156" s="15"/>
      <c r="AT156" s="56" t="s">
        <v>10</v>
      </c>
      <c r="AU156" s="337">
        <f t="shared" si="21"/>
        <v>5.1750000771135083</v>
      </c>
      <c r="AV156" s="338">
        <f t="shared" si="21"/>
        <v>15.750000234693289</v>
      </c>
      <c r="AW156" s="339">
        <f t="shared" si="21"/>
        <v>22.91557854562998</v>
      </c>
    </row>
    <row r="157" spans="1:49" ht="21" customHeight="1" x14ac:dyDescent="0.25">
      <c r="A157" s="12" t="s">
        <v>11</v>
      </c>
      <c r="B157" s="54" t="s">
        <v>33</v>
      </c>
      <c r="C157" s="334">
        <f t="shared" si="17"/>
        <v>30.593551771163934</v>
      </c>
      <c r="D157" s="335">
        <f t="shared" si="17"/>
        <v>14.345767760932445</v>
      </c>
      <c r="E157" s="336">
        <f t="shared" si="17"/>
        <v>21.322852643728254</v>
      </c>
      <c r="L157" s="12" t="s">
        <v>11</v>
      </c>
      <c r="M157" s="54" t="s">
        <v>33</v>
      </c>
      <c r="N157" s="334">
        <f t="shared" si="18"/>
        <v>57.664000859260561</v>
      </c>
      <c r="O157" s="335">
        <f t="shared" si="18"/>
        <v>24.276000964641572</v>
      </c>
      <c r="P157" s="336">
        <f t="shared" si="18"/>
        <v>17.136000255346296</v>
      </c>
      <c r="W157" s="12"/>
      <c r="X157" s="54" t="s">
        <v>33</v>
      </c>
      <c r="Y157" s="334">
        <f t="shared" si="19"/>
        <v>23.73600035369396</v>
      </c>
      <c r="Z157" s="335">
        <f t="shared" si="19"/>
        <v>16.905000251904131</v>
      </c>
      <c r="AA157" s="336">
        <f t="shared" si="19"/>
        <v>9.8325001465156685</v>
      </c>
      <c r="AH157" s="12" t="s">
        <v>11</v>
      </c>
      <c r="AI157" s="54" t="s">
        <v>33</v>
      </c>
      <c r="AJ157" s="334">
        <f t="shared" si="20"/>
        <v>20.020000298321246</v>
      </c>
      <c r="AK157" s="335">
        <f t="shared" si="20"/>
        <v>17.280000686645508</v>
      </c>
      <c r="AL157" s="336">
        <f t="shared" si="20"/>
        <v>14.256000212430955</v>
      </c>
      <c r="AR157" s="24"/>
      <c r="AS157" s="12" t="s">
        <v>11</v>
      </c>
      <c r="AT157" s="54" t="s">
        <v>33</v>
      </c>
      <c r="AU157" s="334">
        <f t="shared" si="21"/>
        <v>20.700000308454033</v>
      </c>
      <c r="AV157" s="335">
        <f t="shared" si="21"/>
        <v>15.750000234693289</v>
      </c>
      <c r="AW157" s="336">
        <f t="shared" si="21"/>
        <v>11.785577550530435</v>
      </c>
    </row>
    <row r="158" spans="1:49" ht="21" customHeight="1" x14ac:dyDescent="0.25">
      <c r="A158" s="17"/>
      <c r="B158" s="57" t="s">
        <v>34</v>
      </c>
      <c r="C158" s="340">
        <f t="shared" si="17"/>
        <v>83.04479780006406</v>
      </c>
      <c r="D158" s="124">
        <f t="shared" si="17"/>
        <v>32.820800489068027</v>
      </c>
      <c r="E158" s="341">
        <f t="shared" si="17"/>
        <v>13.117653132796287</v>
      </c>
      <c r="L158" s="17"/>
      <c r="M158" s="57" t="s">
        <v>34</v>
      </c>
      <c r="N158" s="340">
        <f t="shared" si="18"/>
        <v>36.04</v>
      </c>
      <c r="O158" s="124">
        <f t="shared" si="18"/>
        <v>24.276000964641572</v>
      </c>
      <c r="P158" s="341">
        <f t="shared" si="18"/>
        <v>17.136000255346296</v>
      </c>
      <c r="W158" s="17"/>
      <c r="X158" s="57" t="s">
        <v>34</v>
      </c>
      <c r="Y158" s="340">
        <f t="shared" si="19"/>
        <v>23.73600035369396</v>
      </c>
      <c r="Z158" s="124">
        <f t="shared" si="19"/>
        <v>16.905000251904131</v>
      </c>
      <c r="AA158" s="341">
        <f t="shared" si="19"/>
        <v>9.8325001465156685</v>
      </c>
      <c r="AH158" s="17"/>
      <c r="AI158" s="57" t="s">
        <v>34</v>
      </c>
      <c r="AJ158" s="340">
        <f t="shared" si="20"/>
        <v>15.015000596642494</v>
      </c>
      <c r="AK158" s="124">
        <f t="shared" si="20"/>
        <v>5.7600000858306881</v>
      </c>
      <c r="AL158" s="341">
        <f t="shared" si="20"/>
        <v>7.1280001062154774</v>
      </c>
      <c r="AR158" s="24"/>
      <c r="AS158" s="17"/>
      <c r="AT158" s="57" t="s">
        <v>34</v>
      </c>
      <c r="AU158" s="340">
        <f t="shared" si="21"/>
        <v>10.350000154227017</v>
      </c>
      <c r="AV158" s="124">
        <f t="shared" si="21"/>
        <v>23.625000938773155</v>
      </c>
      <c r="AW158" s="341">
        <f t="shared" si="21"/>
        <v>11.785577550530435</v>
      </c>
    </row>
    <row r="159" spans="1:49" ht="21" customHeight="1" thickBot="1" x14ac:dyDescent="0.3">
      <c r="A159" s="15"/>
      <c r="B159" s="56" t="s">
        <v>12</v>
      </c>
      <c r="C159" s="337">
        <f t="shared" si="17"/>
        <v>0</v>
      </c>
      <c r="D159" s="338">
        <f t="shared" si="17"/>
        <v>0</v>
      </c>
      <c r="E159" s="339">
        <f t="shared" si="17"/>
        <v>0</v>
      </c>
      <c r="L159" s="15"/>
      <c r="M159" s="56" t="s">
        <v>12</v>
      </c>
      <c r="N159" s="337">
        <f t="shared" si="18"/>
        <v>0</v>
      </c>
      <c r="O159" s="338">
        <f t="shared" si="18"/>
        <v>0</v>
      </c>
      <c r="P159" s="339">
        <f t="shared" si="18"/>
        <v>0</v>
      </c>
      <c r="W159" s="15"/>
      <c r="X159" s="56" t="s">
        <v>12</v>
      </c>
      <c r="Y159" s="337">
        <f t="shared" si="19"/>
        <v>17.802000707387922</v>
      </c>
      <c r="Z159" s="338">
        <f t="shared" si="19"/>
        <v>0</v>
      </c>
      <c r="AA159" s="339">
        <f t="shared" si="19"/>
        <v>19.665000293031337</v>
      </c>
      <c r="AH159" s="15"/>
      <c r="AI159" s="56" t="s">
        <v>12</v>
      </c>
      <c r="AJ159" s="337">
        <f t="shared" si="20"/>
        <v>10.010000149160623</v>
      </c>
      <c r="AK159" s="338">
        <f t="shared" si="20"/>
        <v>11.520000171661376</v>
      </c>
      <c r="AL159" s="339">
        <f t="shared" si="20"/>
        <v>7.1280001062154774</v>
      </c>
      <c r="AR159" s="24"/>
      <c r="AS159" s="15"/>
      <c r="AT159" s="56" t="s">
        <v>12</v>
      </c>
      <c r="AU159" s="337">
        <f t="shared" si="21"/>
        <v>10.350000154227017</v>
      </c>
      <c r="AV159" s="338">
        <f t="shared" si="21"/>
        <v>7.8750001173466444</v>
      </c>
      <c r="AW159" s="339">
        <f t="shared" si="21"/>
        <v>22.91557854562998</v>
      </c>
    </row>
    <row r="160" spans="1:49" ht="21" customHeight="1" x14ac:dyDescent="0.25">
      <c r="C160" s="1">
        <f>COUNTIF(C150:C159,"&lt;&gt;0")</f>
        <v>4</v>
      </c>
      <c r="D160" s="1">
        <f>COUNTIF(D150:D159,"&lt;&gt;0")</f>
        <v>9</v>
      </c>
      <c r="E160" s="1">
        <f>COUNTIF(E150:E159,"&lt;&gt;0")</f>
        <v>8</v>
      </c>
      <c r="N160" s="1">
        <f>COUNTIF(N150:N159,"&lt;&gt;0")</f>
        <v>5</v>
      </c>
      <c r="O160" s="1">
        <f>COUNTIF(O150:O159,"&lt;&gt;0")</f>
        <v>9</v>
      </c>
      <c r="P160" s="1">
        <f>COUNTIF(P150:P159,"&lt;&gt;0")</f>
        <v>8</v>
      </c>
      <c r="Y160" s="1">
        <f>COUNTIF(Y150:Y159,"&lt;&gt;0")</f>
        <v>7</v>
      </c>
      <c r="Z160" s="1">
        <f>COUNTIF(Z150:Z159,"&lt;&gt;0")</f>
        <v>9</v>
      </c>
      <c r="AA160" s="1">
        <f>COUNTIF(AA150:AA159,"&lt;&gt;0")</f>
        <v>10</v>
      </c>
      <c r="AJ160" s="1">
        <f>COUNTIF(AJ150:AJ159,"&lt;&gt;0")</f>
        <v>9</v>
      </c>
      <c r="AK160" s="1">
        <f>COUNTIF(AK150:AK159,"&lt;&gt;0")</f>
        <v>10</v>
      </c>
      <c r="AL160" s="1">
        <f>COUNTIF(AL150:AL159,"&lt;&gt;0")</f>
        <v>10</v>
      </c>
      <c r="AR160" s="24"/>
      <c r="AU160" s="1">
        <f>COUNTIF(AU150:AU159,"&lt;&gt;0")</f>
        <v>10</v>
      </c>
      <c r="AV160" s="1">
        <f>COUNTIF(AV150:AV159,"&lt;&gt;0")</f>
        <v>10</v>
      </c>
      <c r="AW160" s="1">
        <f>COUNTIF(AW150:AW159,"&lt;&gt;0")</f>
        <v>10</v>
      </c>
    </row>
    <row r="161" spans="1:50" ht="21" customHeight="1" x14ac:dyDescent="0.25">
      <c r="A161" s="749"/>
      <c r="B161" s="36" t="s">
        <v>428</v>
      </c>
      <c r="C161" s="1"/>
      <c r="D161" s="1"/>
      <c r="E161" s="1"/>
      <c r="M161" s="36" t="s">
        <v>428</v>
      </c>
      <c r="N161" s="1"/>
      <c r="O161" s="1"/>
      <c r="P161" s="1"/>
      <c r="X161" s="36" t="s">
        <v>428</v>
      </c>
      <c r="Y161" s="1"/>
      <c r="Z161" s="1"/>
      <c r="AA161" s="1"/>
      <c r="AI161" s="36" t="s">
        <v>428</v>
      </c>
      <c r="AJ161" s="1"/>
      <c r="AK161" s="1"/>
      <c r="AL161" s="1"/>
      <c r="AR161" s="24"/>
      <c r="AT161" s="36" t="s">
        <v>428</v>
      </c>
      <c r="AU161" s="1"/>
      <c r="AV161" s="1"/>
      <c r="AW161" s="1"/>
    </row>
    <row r="162" spans="1:50" ht="21" customHeight="1" thickBot="1" x14ac:dyDescent="0.3">
      <c r="C162" s="77" t="str">
        <f>C149</f>
        <v>junior</v>
      </c>
      <c r="D162" s="77" t="str">
        <f>D149</f>
        <v>senior</v>
      </c>
      <c r="E162" s="77" t="str">
        <f>E149</f>
        <v>premium</v>
      </c>
      <c r="M162" s="36"/>
      <c r="N162" s="223" t="str">
        <f>Constantes!$Q$9</f>
        <v>junior</v>
      </c>
      <c r="O162" s="223" t="str">
        <f>Constantes!$R$9</f>
        <v>senior</v>
      </c>
      <c r="P162" s="223" t="str">
        <f>Constantes!$S$9</f>
        <v>premium</v>
      </c>
      <c r="X162" s="36"/>
      <c r="Y162" s="286" t="str">
        <f>Constantes!$Q$9</f>
        <v>junior</v>
      </c>
      <c r="Z162" s="286" t="str">
        <f>Constantes!$R$9</f>
        <v>senior</v>
      </c>
      <c r="AA162" s="286" t="str">
        <f>Constantes!$S$9</f>
        <v>premium</v>
      </c>
      <c r="AI162" s="36"/>
      <c r="AJ162" s="286" t="str">
        <f>Constantes!$Q$9</f>
        <v>junior</v>
      </c>
      <c r="AK162" s="286" t="str">
        <f>Constantes!$R$9</f>
        <v>senior</v>
      </c>
      <c r="AL162" s="286" t="str">
        <f>Constantes!$S$9</f>
        <v>premium</v>
      </c>
      <c r="AR162" s="24"/>
      <c r="AT162" s="36"/>
      <c r="AU162" s="287" t="str">
        <f>Constantes!$Q$9</f>
        <v>junior</v>
      </c>
      <c r="AV162" s="287" t="str">
        <f>Constantes!$R$9</f>
        <v>senior</v>
      </c>
      <c r="AW162" s="287" t="str">
        <f>Constantes!$S$9</f>
        <v>premium</v>
      </c>
    </row>
    <row r="163" spans="1:50" ht="21" customHeight="1" x14ac:dyDescent="0.25">
      <c r="A163" s="12" t="s">
        <v>4</v>
      </c>
      <c r="B163" s="54" t="s">
        <v>5</v>
      </c>
      <c r="C163" s="244">
        <f>C150*Décisions!I47</f>
        <v>1.8454400274991987</v>
      </c>
      <c r="D163" s="245">
        <f>D150*Décisions!I63</f>
        <v>2.8691535521864893</v>
      </c>
      <c r="E163" s="246">
        <f>E150*Décisions!I79</f>
        <v>6.5641600978136054</v>
      </c>
      <c r="L163" s="12" t="s">
        <v>4</v>
      </c>
      <c r="M163" s="54" t="s">
        <v>5</v>
      </c>
      <c r="N163" s="244">
        <f>N150*Décisions!T47</f>
        <v>3.2436001288890837</v>
      </c>
      <c r="O163" s="245">
        <f>O150*Décisions!T63</f>
        <v>3.2368000482320789</v>
      </c>
      <c r="P163" s="246">
        <f>P150*Décisions!T79</f>
        <v>1.7136000255346298</v>
      </c>
      <c r="W163" s="12" t="s">
        <v>4</v>
      </c>
      <c r="X163" s="54" t="s">
        <v>5</v>
      </c>
      <c r="Y163" s="244">
        <f>Y150*Décisions!AE47</f>
        <v>2.6703001061081881</v>
      </c>
      <c r="Z163" s="245">
        <f>Z150*Décisions!AE63</f>
        <v>2.5357501007616521</v>
      </c>
      <c r="AA163" s="246">
        <f>AA150*Décisions!AE79</f>
        <v>3.9330000586062677</v>
      </c>
      <c r="AH163" s="12" t="s">
        <v>4</v>
      </c>
      <c r="AI163" s="54" t="s">
        <v>5</v>
      </c>
      <c r="AJ163" s="244">
        <f>AJ150*Décisions!AP47</f>
        <v>1.5015000223740935</v>
      </c>
      <c r="AK163" s="245">
        <f>AK150*Décisions!AP63</f>
        <v>0.57600000858306888</v>
      </c>
      <c r="AL163" s="246">
        <f>AL150*Décisions!AP79</f>
        <v>1.4256000212430955</v>
      </c>
      <c r="AR163" s="24"/>
      <c r="AS163" s="12" t="s">
        <v>4</v>
      </c>
      <c r="AT163" s="54" t="s">
        <v>5</v>
      </c>
      <c r="AU163" s="244">
        <f>AU150*Décisions!BA47</f>
        <v>1.5525000231340524</v>
      </c>
      <c r="AV163" s="245">
        <f>AV150*Décisions!BA63</f>
        <v>1.5750000234693289</v>
      </c>
      <c r="AW163" s="246">
        <f>AW150*Décisions!BA79</f>
        <v>4.5831157091259964</v>
      </c>
    </row>
    <row r="164" spans="1:50" ht="21" customHeight="1" thickBot="1" x14ac:dyDescent="0.3">
      <c r="A164" s="15"/>
      <c r="B164" s="56" t="s">
        <v>31</v>
      </c>
      <c r="C164" s="247">
        <f>C151*Décisions!I48</f>
        <v>0</v>
      </c>
      <c r="D164" s="248">
        <f>D151*Décisions!I64</f>
        <v>3.2820800489068027</v>
      </c>
      <c r="E164" s="249">
        <f>E151*Décisions!I80</f>
        <v>3.9352959398388858</v>
      </c>
      <c r="L164" s="15"/>
      <c r="M164" s="56" t="s">
        <v>31</v>
      </c>
      <c r="N164" s="247">
        <f>N151*Décisions!T48</f>
        <v>0</v>
      </c>
      <c r="O164" s="248">
        <f>O151*Décisions!T64</f>
        <v>1.6184000241160394</v>
      </c>
      <c r="P164" s="249">
        <f>P151*Décisions!T80</f>
        <v>6.854400102138519</v>
      </c>
      <c r="W164" s="15"/>
      <c r="X164" s="56" t="s">
        <v>31</v>
      </c>
      <c r="Y164" s="247">
        <f>Y151*Décisions!AE48</f>
        <v>2.373600035369396</v>
      </c>
      <c r="Z164" s="248">
        <f>Z151*Décisions!AE64</f>
        <v>3.3810000503808264</v>
      </c>
      <c r="AA164" s="249">
        <f>AA151*Décisions!AE80</f>
        <v>3.9330000586062677</v>
      </c>
      <c r="AH164" s="15"/>
      <c r="AI164" s="56" t="s">
        <v>31</v>
      </c>
      <c r="AJ164" s="247">
        <f>AJ151*Décisions!AP48</f>
        <v>2.0020000298321246</v>
      </c>
      <c r="AK164" s="248">
        <f>AK151*Décisions!AP64</f>
        <v>1.1520000171661378</v>
      </c>
      <c r="AL164" s="249">
        <f>AL151*Décisions!AP80</f>
        <v>2.851200042486191</v>
      </c>
      <c r="AR164" s="24"/>
      <c r="AS164" s="15"/>
      <c r="AT164" s="56" t="s">
        <v>31</v>
      </c>
      <c r="AU164" s="247">
        <f>AU151*Décisions!BA48</f>
        <v>2.0700000308454034</v>
      </c>
      <c r="AV164" s="248">
        <f>AV151*Décisions!BA64</f>
        <v>3.1500000469386578</v>
      </c>
      <c r="AW164" s="249">
        <f>AW151*Décisions!BA80</f>
        <v>4.5831157091259964</v>
      </c>
    </row>
    <row r="165" spans="1:50" ht="21" customHeight="1" x14ac:dyDescent="0.25">
      <c r="A165" s="12" t="s">
        <v>6</v>
      </c>
      <c r="B165" s="54" t="s">
        <v>7</v>
      </c>
      <c r="C165" s="244">
        <f>C152*Décisions!I49</f>
        <v>0</v>
      </c>
      <c r="D165" s="245">
        <f>D152*Décisions!I65</f>
        <v>1.4345767760932446</v>
      </c>
      <c r="E165" s="246">
        <f>E152*Décisions!I81</f>
        <v>1.2307800489068033</v>
      </c>
      <c r="L165" s="12" t="s">
        <v>6</v>
      </c>
      <c r="M165" s="54" t="s">
        <v>7</v>
      </c>
      <c r="N165" s="244">
        <f>N152*Décisions!T49</f>
        <v>0</v>
      </c>
      <c r="O165" s="245">
        <f>O152*Décisions!T65</f>
        <v>2.0230000301450493</v>
      </c>
      <c r="P165" s="246">
        <f>P152*Décisions!T81</f>
        <v>10.281600408554077</v>
      </c>
      <c r="W165" s="12" t="s">
        <v>6</v>
      </c>
      <c r="X165" s="54" t="s">
        <v>7</v>
      </c>
      <c r="Y165" s="244">
        <f>Y152*Décisions!AE49</f>
        <v>0</v>
      </c>
      <c r="Z165" s="245">
        <f>Z152*Décisions!AE65</f>
        <v>4.2262500629760327</v>
      </c>
      <c r="AA165" s="246">
        <f>AA152*Décisions!AE81</f>
        <v>23.598000937700274</v>
      </c>
      <c r="AH165" s="12" t="s">
        <v>6</v>
      </c>
      <c r="AI165" s="54" t="s">
        <v>7</v>
      </c>
      <c r="AJ165" s="244">
        <f>AJ152*Décisions!AP49</f>
        <v>1.2512500186450779</v>
      </c>
      <c r="AK165" s="245">
        <f>AK152*Décisions!AP65</f>
        <v>2.8800000429153441</v>
      </c>
      <c r="AL165" s="246">
        <f>AL152*Décisions!AP81</f>
        <v>8.5536003398895257</v>
      </c>
      <c r="AR165" s="24"/>
      <c r="AS165" s="12" t="s">
        <v>6</v>
      </c>
      <c r="AT165" s="54" t="s">
        <v>7</v>
      </c>
      <c r="AU165" s="244">
        <f>AU152*Décisions!BA49</f>
        <v>2.5875000385567541</v>
      </c>
      <c r="AV165" s="245">
        <f>AV152*Décisions!BA65</f>
        <v>3.9375000586733222</v>
      </c>
      <c r="AW165" s="246">
        <f>AW152*Décisions!BA81</f>
        <v>22.260000000000005</v>
      </c>
    </row>
    <row r="166" spans="1:50" ht="21" customHeight="1" x14ac:dyDescent="0.25">
      <c r="A166" s="17"/>
      <c r="B166" s="57" t="s">
        <v>8</v>
      </c>
      <c r="C166" s="250">
        <f>C153*Décisions!I50</f>
        <v>2.7681600412487977</v>
      </c>
      <c r="D166" s="125">
        <f>D153*Décisions!I66</f>
        <v>2.8691535521864893</v>
      </c>
      <c r="E166" s="251">
        <f>E153*Décisions!I82</f>
        <v>6.3968557931184762</v>
      </c>
      <c r="L166" s="17"/>
      <c r="M166" s="57" t="s">
        <v>8</v>
      </c>
      <c r="N166" s="250">
        <f>N153*Décisions!T50</f>
        <v>2.162400032222271</v>
      </c>
      <c r="O166" s="125">
        <f>O153*Décisions!T66</f>
        <v>3.2368000482320789</v>
      </c>
      <c r="P166" s="251">
        <f>P153*Décisions!T82</f>
        <v>2.5704000383019445</v>
      </c>
      <c r="W166" s="17"/>
      <c r="X166" s="57" t="s">
        <v>8</v>
      </c>
      <c r="Y166" s="250">
        <f>Y153*Décisions!AE50</f>
        <v>1.780200026527047</v>
      </c>
      <c r="Z166" s="125">
        <f>Z153*Décisions!AE66</f>
        <v>5.0715002015233042</v>
      </c>
      <c r="AA166" s="251">
        <f>AA153*Décisions!AE82</f>
        <v>2.9497500439547006</v>
      </c>
      <c r="AH166" s="17"/>
      <c r="AI166" s="57" t="s">
        <v>8</v>
      </c>
      <c r="AJ166" s="250">
        <f>AJ153*Décisions!AP50</f>
        <v>1.5015000223740935</v>
      </c>
      <c r="AK166" s="125">
        <f>AK153*Décisions!AP66</f>
        <v>3.4560001373291018</v>
      </c>
      <c r="AL166" s="251">
        <f>AL153*Décisions!AP82</f>
        <v>3.2076001274585724</v>
      </c>
      <c r="AR166" s="24"/>
      <c r="AS166" s="17"/>
      <c r="AT166" s="57" t="s">
        <v>8</v>
      </c>
      <c r="AU166" s="250">
        <f>AU153*Décisions!BA50</f>
        <v>0.77625001156702622</v>
      </c>
      <c r="AV166" s="125">
        <f>AV153*Décisions!BA66</f>
        <v>1.5750000234693289</v>
      </c>
      <c r="AW166" s="251">
        <f>AW153*Décisions!BA82</f>
        <v>3.4373367818444969</v>
      </c>
    </row>
    <row r="167" spans="1:50" ht="21" customHeight="1" thickBot="1" x14ac:dyDescent="0.3">
      <c r="A167" s="15"/>
      <c r="B167" s="56" t="s">
        <v>157</v>
      </c>
      <c r="C167" s="247">
        <f>C154*Décisions!I51</f>
        <v>0</v>
      </c>
      <c r="D167" s="248">
        <f>D154*Décisions!I67</f>
        <v>4.1026000611335034</v>
      </c>
      <c r="E167" s="249">
        <f>E154*Décisions!I83</f>
        <v>4.9231200733602041</v>
      </c>
      <c r="L167" s="15"/>
      <c r="M167" s="56" t="s">
        <v>157</v>
      </c>
      <c r="N167" s="247">
        <f>N154*Décisions!T51</f>
        <v>1.4416000214815141</v>
      </c>
      <c r="O167" s="248">
        <f>O154*Décisions!T67</f>
        <v>1.6184000241160394</v>
      </c>
      <c r="P167" s="249">
        <f>P154*Décisions!T83</f>
        <v>1.7136000255346298</v>
      </c>
      <c r="W167" s="15"/>
      <c r="X167" s="56" t="s">
        <v>157</v>
      </c>
      <c r="Y167" s="247">
        <f>Y154*Décisions!AE51</f>
        <v>1.186800017684698</v>
      </c>
      <c r="Z167" s="248">
        <f>Z154*Décisions!AE67</f>
        <v>1.6905000251904132</v>
      </c>
      <c r="AA167" s="249">
        <f>AA154*Décisions!AE83</f>
        <v>0.98325001465156692</v>
      </c>
      <c r="AH167" s="15"/>
      <c r="AI167" s="56" t="s">
        <v>157</v>
      </c>
      <c r="AJ167" s="247">
        <f>AJ154*Décisions!AP51</f>
        <v>1.5015000596642496</v>
      </c>
      <c r="AK167" s="248">
        <f>AK154*Décisions!AP67</f>
        <v>1.1520000171661378</v>
      </c>
      <c r="AL167" s="249">
        <f>AL154*Décisions!AP83</f>
        <v>1.4256000212430955</v>
      </c>
      <c r="AR167" s="24"/>
      <c r="AS167" s="15"/>
      <c r="AT167" s="56" t="s">
        <v>157</v>
      </c>
      <c r="AU167" s="247">
        <f>AU154*Décisions!BA51</f>
        <v>1.0350000154227017</v>
      </c>
      <c r="AV167" s="248">
        <f>AV154*Décisions!BA67</f>
        <v>0.78750001173466444</v>
      </c>
      <c r="AW167" s="249">
        <f>AW154*Décisions!BA83</f>
        <v>1.1785577550530435</v>
      </c>
    </row>
    <row r="168" spans="1:50" ht="21" customHeight="1" x14ac:dyDescent="0.25">
      <c r="A168" s="12" t="s">
        <v>9</v>
      </c>
      <c r="B168" s="54" t="s">
        <v>32</v>
      </c>
      <c r="C168" s="244">
        <f>C155*Décisions!I52</f>
        <v>0</v>
      </c>
      <c r="D168" s="245">
        <f>D155*Décisions!I68</f>
        <v>0</v>
      </c>
      <c r="E168" s="246">
        <f>E155*Décisions!I84</f>
        <v>0</v>
      </c>
      <c r="L168" s="12" t="s">
        <v>9</v>
      </c>
      <c r="M168" s="54" t="s">
        <v>32</v>
      </c>
      <c r="N168" s="244">
        <f>N155*Décisions!T52</f>
        <v>0</v>
      </c>
      <c r="O168" s="245">
        <f>O155*Décisions!T68</f>
        <v>4.0460000602900985</v>
      </c>
      <c r="P168" s="246">
        <f>P155*Décisions!T84</f>
        <v>0</v>
      </c>
      <c r="W168" s="12" t="s">
        <v>9</v>
      </c>
      <c r="X168" s="54" t="s">
        <v>32</v>
      </c>
      <c r="Y168" s="244">
        <f>Y155*Décisions!AE52</f>
        <v>0</v>
      </c>
      <c r="Z168" s="245">
        <f>Z155*Décisions!AE68</f>
        <v>4.2262500629760327</v>
      </c>
      <c r="AA168" s="246">
        <f>AA155*Décisions!AE84</f>
        <v>5.8995002344250684</v>
      </c>
      <c r="AH168" s="12" t="s">
        <v>9</v>
      </c>
      <c r="AI168" s="54" t="s">
        <v>32</v>
      </c>
      <c r="AJ168" s="244">
        <f>AJ155*Décisions!AP52</f>
        <v>1.0010000149160623</v>
      </c>
      <c r="AK168" s="245">
        <f>AK155*Décisions!AP68</f>
        <v>4.320000171661377</v>
      </c>
      <c r="AL168" s="246">
        <f>AL155*Décisions!AP84</f>
        <v>4.2768001699447629</v>
      </c>
      <c r="AR168" s="24"/>
      <c r="AS168" s="12" t="s">
        <v>9</v>
      </c>
      <c r="AT168" s="54" t="s">
        <v>32</v>
      </c>
      <c r="AU168" s="244">
        <f>AU155*Décisions!BA52</f>
        <v>2.0700000308454034</v>
      </c>
      <c r="AV168" s="245">
        <f>AV155*Décisions!BA68</f>
        <v>7.8750001173466444</v>
      </c>
      <c r="AW168" s="246">
        <f>AW155*Décisions!BA84</f>
        <v>6.8091159081459054</v>
      </c>
    </row>
    <row r="169" spans="1:50" ht="21" customHeight="1" thickBot="1" x14ac:dyDescent="0.3">
      <c r="A169" s="15"/>
      <c r="B169" s="56" t="s">
        <v>10</v>
      </c>
      <c r="C169" s="247">
        <f>C156*Décisions!I53</f>
        <v>0</v>
      </c>
      <c r="D169" s="248">
        <f>D156*Décisions!I69</f>
        <v>3.2820800489068027</v>
      </c>
      <c r="E169" s="249">
        <f>E156*Décisions!I85</f>
        <v>0</v>
      </c>
      <c r="L169" s="15"/>
      <c r="M169" s="56" t="s">
        <v>10</v>
      </c>
      <c r="N169" s="247">
        <f>N156*Décisions!T53</f>
        <v>0</v>
      </c>
      <c r="O169" s="248">
        <f>O156*Décisions!T69</f>
        <v>4.0460000602900985</v>
      </c>
      <c r="P169" s="249">
        <f>P156*Décisions!T85</f>
        <v>8.5680001276731481</v>
      </c>
      <c r="W169" s="15"/>
      <c r="X169" s="56" t="s">
        <v>10</v>
      </c>
      <c r="Y169" s="247">
        <f>Y156*Décisions!AE53</f>
        <v>0</v>
      </c>
      <c r="Z169" s="248">
        <f>Z156*Décisions!AE69</f>
        <v>4.2262500629760327</v>
      </c>
      <c r="AA169" s="249">
        <f>AA156*Décisions!AE85</f>
        <v>4.9162500732578343</v>
      </c>
      <c r="AH169" s="15"/>
      <c r="AI169" s="56" t="s">
        <v>10</v>
      </c>
      <c r="AJ169" s="247">
        <f>AJ156*Décisions!AP53</f>
        <v>0</v>
      </c>
      <c r="AK169" s="248">
        <f>AK156*Décisions!AP69</f>
        <v>2.8800000429153441</v>
      </c>
      <c r="AL169" s="249">
        <f>AL156*Décisions!AP85</f>
        <v>3.5640000531077387</v>
      </c>
      <c r="AR169" s="24"/>
      <c r="AS169" s="15"/>
      <c r="AT169" s="56" t="s">
        <v>10</v>
      </c>
      <c r="AU169" s="247">
        <f>AU156*Décisions!BA53</f>
        <v>1.0350000154227017</v>
      </c>
      <c r="AV169" s="248">
        <f>AV156*Décisions!BA69</f>
        <v>3.9375000586733222</v>
      </c>
      <c r="AW169" s="249">
        <f>AW156*Décisions!BA85</f>
        <v>5.7288946364074951</v>
      </c>
    </row>
    <row r="170" spans="1:50" ht="21" customHeight="1" x14ac:dyDescent="0.25">
      <c r="A170" s="12" t="s">
        <v>11</v>
      </c>
      <c r="B170" s="54" t="s">
        <v>33</v>
      </c>
      <c r="C170" s="244">
        <f>C157*Décisions!I54</f>
        <v>6.1187103542327872</v>
      </c>
      <c r="D170" s="245">
        <f>D157*Décisions!I70</f>
        <v>2.8691535521864893</v>
      </c>
      <c r="E170" s="246">
        <f>E157*Décisions!I86</f>
        <v>6.3968557931184762</v>
      </c>
      <c r="L170" s="12" t="s">
        <v>11</v>
      </c>
      <c r="M170" s="54" t="s">
        <v>33</v>
      </c>
      <c r="N170" s="244">
        <f>N157*Décisions!T54</f>
        <v>5.7664000859260565</v>
      </c>
      <c r="O170" s="245">
        <f>O157*Décisions!T70</f>
        <v>2.4276000964641575</v>
      </c>
      <c r="P170" s="246">
        <f>P157*Décisions!T86</f>
        <v>1.7136000255346298</v>
      </c>
      <c r="W170" s="12" t="s">
        <v>11</v>
      </c>
      <c r="X170" s="54" t="s">
        <v>33</v>
      </c>
      <c r="Y170" s="244">
        <f>Y157*Décisions!AE54</f>
        <v>2.373600035369396</v>
      </c>
      <c r="Z170" s="245">
        <f>Z157*Décisions!AE70</f>
        <v>1.6905000251904132</v>
      </c>
      <c r="AA170" s="246">
        <f>AA157*Décisions!AE86</f>
        <v>0.98325001465156692</v>
      </c>
      <c r="AH170" s="12" t="s">
        <v>11</v>
      </c>
      <c r="AI170" s="54" t="s">
        <v>33</v>
      </c>
      <c r="AJ170" s="244">
        <f>AJ157*Décisions!AP54</f>
        <v>2.0020000298321246</v>
      </c>
      <c r="AK170" s="245">
        <f>AK157*Décisions!AP70</f>
        <v>1.7280000686645509</v>
      </c>
      <c r="AL170" s="246">
        <f>AL157*Décisions!AP86</f>
        <v>1.4256000212430955</v>
      </c>
      <c r="AR170" s="24"/>
      <c r="AS170" s="12" t="s">
        <v>11</v>
      </c>
      <c r="AT170" s="54" t="s">
        <v>33</v>
      </c>
      <c r="AU170" s="244">
        <f>AU157*Décisions!BA54</f>
        <v>2.0700000308454034</v>
      </c>
      <c r="AV170" s="245">
        <f>AV157*Décisions!BA70</f>
        <v>1.5750000234693289</v>
      </c>
      <c r="AW170" s="246">
        <f>AW157*Décisions!BA86</f>
        <v>1.1785577550530435</v>
      </c>
    </row>
    <row r="171" spans="1:50" ht="21" customHeight="1" x14ac:dyDescent="0.25">
      <c r="A171" s="17"/>
      <c r="B171" s="57" t="s">
        <v>34</v>
      </c>
      <c r="C171" s="250">
        <f>C158*Décisions!I55</f>
        <v>16.608959560012813</v>
      </c>
      <c r="D171" s="125">
        <f>D158*Décisions!I71</f>
        <v>8.2052001222670068</v>
      </c>
      <c r="E171" s="251">
        <f>E158*Décisions!I87</f>
        <v>5.247061253118515</v>
      </c>
      <c r="L171" s="17"/>
      <c r="M171" s="57" t="s">
        <v>34</v>
      </c>
      <c r="N171" s="250">
        <f>N158*Décisions!T55</f>
        <v>1.802</v>
      </c>
      <c r="O171" s="125">
        <f>O158*Décisions!T71</f>
        <v>1.2138000482320788</v>
      </c>
      <c r="P171" s="251">
        <f>P158*Décisions!T87</f>
        <v>0.85680001276731488</v>
      </c>
      <c r="W171" s="17"/>
      <c r="X171" s="57" t="s">
        <v>34</v>
      </c>
      <c r="Y171" s="250">
        <f>Y158*Décisions!AE55</f>
        <v>1.186800017684698</v>
      </c>
      <c r="Z171" s="125">
        <f>Z158*Décisions!AE71</f>
        <v>0.8452500125952066</v>
      </c>
      <c r="AA171" s="251">
        <f>AA158*Décisions!AE87</f>
        <v>0.49162500732578346</v>
      </c>
      <c r="AH171" s="17"/>
      <c r="AI171" s="57" t="s">
        <v>34</v>
      </c>
      <c r="AJ171" s="250">
        <f>AJ158*Décisions!AP55</f>
        <v>0.7507500298321248</v>
      </c>
      <c r="AK171" s="125">
        <f>AK158*Décisions!AP71</f>
        <v>0.28800000429153444</v>
      </c>
      <c r="AL171" s="251">
        <f>AL158*Décisions!AP87</f>
        <v>0.35640000531077387</v>
      </c>
      <c r="AR171" s="24"/>
      <c r="AS171" s="17"/>
      <c r="AT171" s="57" t="s">
        <v>34</v>
      </c>
      <c r="AU171" s="250">
        <f>AU158*Décisions!BA55</f>
        <v>0.51750000771135085</v>
      </c>
      <c r="AV171" s="125">
        <f>AV158*Décisions!BA71</f>
        <v>1.1812500469386578</v>
      </c>
      <c r="AW171" s="251">
        <f>AW158*Décisions!BA87</f>
        <v>0.58927887752652175</v>
      </c>
    </row>
    <row r="172" spans="1:50" ht="21" customHeight="1" thickBot="1" x14ac:dyDescent="0.3">
      <c r="A172" s="15"/>
      <c r="B172" s="56" t="s">
        <v>12</v>
      </c>
      <c r="C172" s="247">
        <f>C159*Décisions!I56</f>
        <v>0</v>
      </c>
      <c r="D172" s="248">
        <f>D159*Décisions!I72</f>
        <v>0</v>
      </c>
      <c r="E172" s="249">
        <f>E159*Décisions!I88</f>
        <v>0</v>
      </c>
      <c r="L172" s="15"/>
      <c r="M172" s="56" t="s">
        <v>12</v>
      </c>
      <c r="N172" s="247">
        <f>N159*Décisions!T56</f>
        <v>0</v>
      </c>
      <c r="O172" s="248">
        <f>O159*Décisions!T72</f>
        <v>0</v>
      </c>
      <c r="P172" s="249">
        <f>P159*Décisions!T88</f>
        <v>0</v>
      </c>
      <c r="W172" s="15"/>
      <c r="X172" s="56" t="s">
        <v>12</v>
      </c>
      <c r="Y172" s="247">
        <f>Y159*Décisions!AE56</f>
        <v>2.6703001061081881</v>
      </c>
      <c r="Z172" s="248">
        <f>Z159*Décisions!AE72</f>
        <v>0</v>
      </c>
      <c r="AA172" s="249">
        <f>AA159*Décisions!AE88</f>
        <v>3.9330000586062677</v>
      </c>
      <c r="AH172" s="15"/>
      <c r="AI172" s="56" t="s">
        <v>12</v>
      </c>
      <c r="AJ172" s="247">
        <f>AJ159*Décisions!AP56</f>
        <v>1.5015000223740935</v>
      </c>
      <c r="AK172" s="248">
        <f>AK159*Décisions!AP72</f>
        <v>1.7280000257492063</v>
      </c>
      <c r="AL172" s="249">
        <f>AL159*Décisions!AP88</f>
        <v>1.4256000212430955</v>
      </c>
      <c r="AR172" s="24"/>
      <c r="AS172" s="15"/>
      <c r="AT172" s="56" t="s">
        <v>12</v>
      </c>
      <c r="AU172" s="247">
        <f>AU159*Décisions!BA56</f>
        <v>1.5525000231340524</v>
      </c>
      <c r="AV172" s="248">
        <f>AV159*Décisions!BA72</f>
        <v>1.1812500176019967</v>
      </c>
      <c r="AW172" s="249">
        <f>AW159*Décisions!BA88</f>
        <v>4.5831157091259964</v>
      </c>
    </row>
    <row r="173" spans="1:50" ht="21" customHeight="1" x14ac:dyDescent="0.25">
      <c r="B173" s="1" t="s">
        <v>255</v>
      </c>
      <c r="C173" s="136">
        <f>SUM(C163:C172)/C10</f>
        <v>0.14815583266317844</v>
      </c>
      <c r="D173" s="136">
        <f>SUM(D163:D172)/D10</f>
        <v>0.17619313187897206</v>
      </c>
      <c r="E173" s="136">
        <f>SUM(E163:E172)/E10</f>
        <v>0.21141549870371817</v>
      </c>
      <c r="F173" s="135">
        <f>SUM(C163:E172)/F10</f>
        <v>0.17737502086025095</v>
      </c>
      <c r="M173" s="1" t="s">
        <v>255</v>
      </c>
      <c r="N173" s="136">
        <f>SUM(N163:N172)/N10</f>
        <v>0.10000000186264515</v>
      </c>
      <c r="O173" s="136">
        <f>SUM(O163:O172)/O10</f>
        <v>0.1450000027194619</v>
      </c>
      <c r="P173" s="136">
        <f>SUM(P163:P172)/P10</f>
        <v>0.20000000447034835</v>
      </c>
      <c r="Q173" s="135">
        <f>SUM(N163:P172)/Q10</f>
        <v>0.15115384924307762</v>
      </c>
      <c r="R173" s="135"/>
      <c r="S173" s="135"/>
      <c r="T173" s="135"/>
      <c r="U173" s="135"/>
      <c r="X173" s="1" t="s">
        <v>255</v>
      </c>
      <c r="Y173" s="136">
        <f>SUM(Y163:Y172)/Y10</f>
        <v>0.12000000290572643</v>
      </c>
      <c r="Z173" s="136">
        <f>SUM(Z163:Z172)/Z10</f>
        <v>0.16500000357627867</v>
      </c>
      <c r="AA173" s="136">
        <f>SUM(AA163:AA172)/AA10</f>
        <v>0.26250000763684511</v>
      </c>
      <c r="AB173" s="135">
        <f>SUM(Y163:AA172)/AB10</f>
        <v>0.19355769736819667</v>
      </c>
      <c r="AC173" s="135"/>
      <c r="AD173" s="135"/>
      <c r="AE173" s="135"/>
      <c r="AF173" s="135"/>
      <c r="AI173" s="1" t="s">
        <v>255</v>
      </c>
      <c r="AJ173" s="136">
        <f>SUM(AJ163:AJ172)/AJ10</f>
        <v>0.13000000249594451</v>
      </c>
      <c r="AK173" s="136">
        <f>SUM(AK163:AK172)/AK10</f>
        <v>0.17500000465661286</v>
      </c>
      <c r="AL173" s="136">
        <f>SUM(AL163:AL172)/AL10</f>
        <v>0.20000000577419996</v>
      </c>
      <c r="AM173" s="135">
        <f>SUM(AJ163:AL172)/AM10</f>
        <v>0.17237188176788626</v>
      </c>
      <c r="AN173" s="135"/>
      <c r="AO173" s="135"/>
      <c r="AP173" s="135"/>
      <c r="AQ173" s="135"/>
      <c r="AR173" s="24"/>
      <c r="AT173" s="1" t="s">
        <v>255</v>
      </c>
      <c r="AU173" s="136">
        <f>SUM(AU163:AU172)/AU10</f>
        <v>0.14750000219792128</v>
      </c>
      <c r="AV173" s="136">
        <f>SUM(AV163:AV172)/AV10</f>
        <v>0.17000000271946192</v>
      </c>
      <c r="AW173" s="136">
        <f>SUM(AW163:AW172)/AW10</f>
        <v>0.24677039012312893</v>
      </c>
      <c r="AX173" s="135">
        <f>SUM(AU163:AW172)/AX10</f>
        <v>0.20052179383211044</v>
      </c>
    </row>
    <row r="174" spans="1:50" ht="21" customHeight="1" x14ac:dyDescent="0.25">
      <c r="AR174" s="24"/>
    </row>
    <row r="175" spans="1:50" ht="21" customHeight="1" thickBot="1" x14ac:dyDescent="0.3">
      <c r="B175" s="36" t="s">
        <v>244</v>
      </c>
      <c r="C175" s="44" t="str">
        <f>C149</f>
        <v>junior</v>
      </c>
      <c r="D175" s="75" t="str">
        <f>D149</f>
        <v>senior</v>
      </c>
      <c r="E175" s="75" t="str">
        <f>E149</f>
        <v>premium</v>
      </c>
      <c r="M175" s="36" t="s">
        <v>244</v>
      </c>
      <c r="N175" s="223" t="str">
        <f>Constantes!$Q$9</f>
        <v>junior</v>
      </c>
      <c r="O175" s="223" t="str">
        <f>Constantes!$R$9</f>
        <v>senior</v>
      </c>
      <c r="P175" s="223" t="str">
        <f>Constantes!$S$9</f>
        <v>premium</v>
      </c>
      <c r="X175" s="36" t="s">
        <v>244</v>
      </c>
      <c r="Y175" s="286" t="str">
        <f>Constantes!$Q$9</f>
        <v>junior</v>
      </c>
      <c r="Z175" s="286" t="str">
        <f>Constantes!$R$9</f>
        <v>senior</v>
      </c>
      <c r="AA175" s="286" t="str">
        <f>Constantes!$S$9</f>
        <v>premium</v>
      </c>
      <c r="AI175" s="36" t="s">
        <v>244</v>
      </c>
      <c r="AJ175" s="286" t="str">
        <f>Constantes!$Q$9</f>
        <v>junior</v>
      </c>
      <c r="AK175" s="286" t="str">
        <f>Constantes!$R$9</f>
        <v>senior</v>
      </c>
      <c r="AL175" s="286" t="str">
        <f>Constantes!$S$9</f>
        <v>premium</v>
      </c>
      <c r="AR175" s="24"/>
      <c r="AT175" s="36" t="s">
        <v>244</v>
      </c>
      <c r="AU175" s="287" t="str">
        <f>Constantes!$Q$9</f>
        <v>junior</v>
      </c>
      <c r="AV175" s="287" t="str">
        <f>Constantes!$R$9</f>
        <v>senior</v>
      </c>
      <c r="AW175" s="287" t="str">
        <f>Constantes!$S$9</f>
        <v>premium</v>
      </c>
    </row>
    <row r="176" spans="1:50" ht="21" customHeight="1" x14ac:dyDescent="0.25">
      <c r="A176" s="12" t="s">
        <v>4</v>
      </c>
      <c r="B176" s="54" t="s">
        <v>5</v>
      </c>
      <c r="C176" s="244">
        <f>C150*(1-Décisions!I47)</f>
        <v>35.063360522484771</v>
      </c>
      <c r="D176" s="245">
        <f>D150*(1-Décisions!I63)</f>
        <v>11.476614208745957</v>
      </c>
      <c r="E176" s="246">
        <f>E150*(1-Décisions!I79)</f>
        <v>9.8462401467204081</v>
      </c>
      <c r="L176" s="12" t="s">
        <v>4</v>
      </c>
      <c r="M176" s="54" t="s">
        <v>5</v>
      </c>
      <c r="N176" s="244">
        <f>N150*(1-Décisions!T47)</f>
        <v>18.380400730371473</v>
      </c>
      <c r="O176" s="245">
        <f>O150*(1-Décisions!T63)</f>
        <v>29.131200434088711</v>
      </c>
      <c r="P176" s="246">
        <f>P150*(1-Décisions!T79)</f>
        <v>6.854400102138519</v>
      </c>
      <c r="W176" s="12" t="s">
        <v>4</v>
      </c>
      <c r="X176" s="54" t="s">
        <v>5</v>
      </c>
      <c r="Y176" s="244">
        <f>Y150*(1-Décisions!AE47)</f>
        <v>15.131700601279734</v>
      </c>
      <c r="Z176" s="245">
        <f>Z150*(1-Décisions!AE63)</f>
        <v>22.82175090685487</v>
      </c>
      <c r="AA176" s="246">
        <f>AA150*(1-Décisions!AE79)</f>
        <v>15.732000234425071</v>
      </c>
      <c r="AH176" s="12" t="s">
        <v>4</v>
      </c>
      <c r="AI176" s="54" t="s">
        <v>5</v>
      </c>
      <c r="AJ176" s="244">
        <f>AJ150*(1-Décisions!AP47)</f>
        <v>8.5085001267865294</v>
      </c>
      <c r="AK176" s="245">
        <f>AK150*(1-Décisions!AP63)</f>
        <v>5.1840000772476191</v>
      </c>
      <c r="AL176" s="246">
        <f>AL150*(1-Décisions!AP79)</f>
        <v>5.7024000849723819</v>
      </c>
      <c r="AR176" s="24"/>
      <c r="AS176" s="12" t="s">
        <v>4</v>
      </c>
      <c r="AT176" s="54" t="s">
        <v>5</v>
      </c>
      <c r="AU176" s="244">
        <f>AU150*(1-Décisions!BA47)</f>
        <v>8.7975001310929635</v>
      </c>
      <c r="AV176" s="245">
        <f>AV150*(1-Décisions!BA63)</f>
        <v>14.17500021122396</v>
      </c>
      <c r="AW176" s="246">
        <f>AW150*(1-Décisions!BA79)</f>
        <v>18.332462836503986</v>
      </c>
    </row>
    <row r="177" spans="1:50" ht="21" customHeight="1" thickBot="1" x14ac:dyDescent="0.3">
      <c r="A177" s="15"/>
      <c r="B177" s="56" t="s">
        <v>31</v>
      </c>
      <c r="C177" s="247">
        <f>C151*(1-Décisions!I48)</f>
        <v>0</v>
      </c>
      <c r="D177" s="248">
        <f>D151*(1-Décisions!I64)</f>
        <v>4.9231200733602041</v>
      </c>
      <c r="E177" s="249">
        <f>E151*(1-Décisions!I80)</f>
        <v>9.1823571929574008</v>
      </c>
      <c r="L177" s="15"/>
      <c r="M177" s="56" t="s">
        <v>31</v>
      </c>
      <c r="N177" s="247">
        <f>N151*(1-Décisions!T48)</f>
        <v>0</v>
      </c>
      <c r="O177" s="248">
        <f>O151*(1-Décisions!T64)</f>
        <v>6.4736000964641578</v>
      </c>
      <c r="P177" s="249">
        <f>P151*(1-Décisions!T80)</f>
        <v>27.417600408554076</v>
      </c>
      <c r="W177" s="15"/>
      <c r="X177" s="56" t="s">
        <v>31</v>
      </c>
      <c r="Y177" s="247">
        <f>Y151*(1-Décisions!AE48)</f>
        <v>9.494400141477584</v>
      </c>
      <c r="Z177" s="248">
        <f>Z151*(1-Décisions!AE64)</f>
        <v>13.524000201523306</v>
      </c>
      <c r="AA177" s="249">
        <f>AA151*(1-Décisions!AE80)</f>
        <v>15.732000234425071</v>
      </c>
      <c r="AH177" s="15"/>
      <c r="AI177" s="56" t="s">
        <v>31</v>
      </c>
      <c r="AJ177" s="247">
        <f>AJ151*(1-Décisions!AP48)</f>
        <v>8.0080001193284982</v>
      </c>
      <c r="AK177" s="248">
        <f>AK151*(1-Décisions!AP64)</f>
        <v>4.608000068664551</v>
      </c>
      <c r="AL177" s="249">
        <f>AL151*(1-Décisions!AP80)</f>
        <v>11.404800169944764</v>
      </c>
      <c r="AR177" s="24"/>
      <c r="AS177" s="15"/>
      <c r="AT177" s="56" t="s">
        <v>31</v>
      </c>
      <c r="AU177" s="247">
        <f>AU151*(1-Décisions!BA48)</f>
        <v>8.2800001233816136</v>
      </c>
      <c r="AV177" s="248">
        <f>AV151*(1-Décisions!BA64)</f>
        <v>12.600000187754631</v>
      </c>
      <c r="AW177" s="249">
        <f>AW151*(1-Décisions!BA80)</f>
        <v>18.332462836503986</v>
      </c>
    </row>
    <row r="178" spans="1:50" ht="21" customHeight="1" x14ac:dyDescent="0.25">
      <c r="A178" s="12" t="s">
        <v>6</v>
      </c>
      <c r="B178" s="54" t="s">
        <v>7</v>
      </c>
      <c r="C178" s="244">
        <f>C152*(1-Décisions!I49)</f>
        <v>0</v>
      </c>
      <c r="D178" s="245">
        <f>D152*(1-Décisions!I65)</f>
        <v>12.9111909848392</v>
      </c>
      <c r="E178" s="246">
        <f>E152*(1-Décisions!I81)</f>
        <v>23.384820929229257</v>
      </c>
      <c r="L178" s="12" t="s">
        <v>6</v>
      </c>
      <c r="M178" s="54" t="s">
        <v>7</v>
      </c>
      <c r="N178" s="244">
        <f>N152*(1-Décisions!T49)</f>
        <v>0</v>
      </c>
      <c r="O178" s="245">
        <f>O152*(1-Décisions!T65)</f>
        <v>6.0690000904351482</v>
      </c>
      <c r="P178" s="246">
        <f>P152*(1-Décisions!T81)</f>
        <v>15.422400612831115</v>
      </c>
      <c r="W178" s="12" t="s">
        <v>6</v>
      </c>
      <c r="X178" s="54" t="s">
        <v>7</v>
      </c>
      <c r="Y178" s="244">
        <f>Y152*(1-Décisions!AE49)</f>
        <v>0</v>
      </c>
      <c r="Z178" s="245">
        <f>Z152*(1-Décisions!AE65)</f>
        <v>12.678750188928099</v>
      </c>
      <c r="AA178" s="246">
        <f>AA152*(1-Décisions!AE81)</f>
        <v>35.397001406550409</v>
      </c>
      <c r="AH178" s="12" t="s">
        <v>6</v>
      </c>
      <c r="AI178" s="54" t="s">
        <v>7</v>
      </c>
      <c r="AJ178" s="244">
        <f>AJ152*(1-Décisions!AP49)</f>
        <v>3.7537500559352335</v>
      </c>
      <c r="AK178" s="245">
        <f>AK152*(1-Décisions!AP65)</f>
        <v>8.6400001287460313</v>
      </c>
      <c r="AL178" s="246">
        <f>AL152*(1-Décisions!AP81)</f>
        <v>12.830400509834289</v>
      </c>
      <c r="AR178" s="24"/>
      <c r="AS178" s="12" t="s">
        <v>6</v>
      </c>
      <c r="AT178" s="54" t="s">
        <v>7</v>
      </c>
      <c r="AU178" s="244">
        <f>AU152*(1-Décisions!BA49)</f>
        <v>7.762500115670262</v>
      </c>
      <c r="AV178" s="245">
        <f>AV152*(1-Décisions!BA65)</f>
        <v>11.812500176019967</v>
      </c>
      <c r="AW178" s="246">
        <f>AW152*(1-Décisions!BA81)</f>
        <v>33.39</v>
      </c>
    </row>
    <row r="179" spans="1:50" ht="21" customHeight="1" x14ac:dyDescent="0.25">
      <c r="A179" s="17"/>
      <c r="B179" s="57" t="s">
        <v>8</v>
      </c>
      <c r="C179" s="250">
        <f>C153*(1-Décisions!I50)</f>
        <v>15.686240233743188</v>
      </c>
      <c r="D179" s="125">
        <f>D153*(1-Décisions!I66)</f>
        <v>11.476614208745957</v>
      </c>
      <c r="E179" s="251">
        <f>E153*(1-Décisions!I82)</f>
        <v>14.925996850609776</v>
      </c>
      <c r="L179" s="17"/>
      <c r="M179" s="57" t="s">
        <v>8</v>
      </c>
      <c r="N179" s="250">
        <f>N153*(1-Décisions!T50)</f>
        <v>12.253600182592869</v>
      </c>
      <c r="O179" s="125">
        <f>O153*(1-Décisions!T66)</f>
        <v>12.947200192928316</v>
      </c>
      <c r="P179" s="251">
        <f>P153*(1-Décisions!T82)</f>
        <v>14.565600217044352</v>
      </c>
      <c r="W179" s="17"/>
      <c r="X179" s="57" t="s">
        <v>8</v>
      </c>
      <c r="Y179" s="250">
        <f>Y153*(1-Décisions!AE50)</f>
        <v>10.087800150319932</v>
      </c>
      <c r="Z179" s="125">
        <f>Z153*(1-Décisions!AE66)</f>
        <v>20.286000806093217</v>
      </c>
      <c r="AA179" s="251">
        <f>AA153*(1-Décisions!AE82)</f>
        <v>16.715250249076636</v>
      </c>
      <c r="AH179" s="17"/>
      <c r="AI179" s="57" t="s">
        <v>8</v>
      </c>
      <c r="AJ179" s="250">
        <f>AJ153*(1-Décisions!AP50)</f>
        <v>8.5085001267865294</v>
      </c>
      <c r="AK179" s="125">
        <f>AK153*(1-Décisions!AP66)</f>
        <v>13.824000549316407</v>
      </c>
      <c r="AL179" s="251">
        <f>AL153*(1-Décisions!AP82)</f>
        <v>18.176400722265242</v>
      </c>
      <c r="AR179" s="24"/>
      <c r="AS179" s="17"/>
      <c r="AT179" s="57" t="s">
        <v>8</v>
      </c>
      <c r="AU179" s="250">
        <f>AU153*(1-Décisions!BA50)</f>
        <v>4.3987500655464817</v>
      </c>
      <c r="AV179" s="125">
        <f>AV153*(1-Décisions!BA66)</f>
        <v>6.3000000938773155</v>
      </c>
      <c r="AW179" s="251">
        <f>AW153*(1-Décisions!BA82)</f>
        <v>19.478241763785483</v>
      </c>
    </row>
    <row r="180" spans="1:50" ht="21" customHeight="1" thickBot="1" x14ac:dyDescent="0.3">
      <c r="A180" s="15"/>
      <c r="B180" s="56" t="s">
        <v>157</v>
      </c>
      <c r="C180" s="247">
        <f>C154*(1-Décisions!I51)</f>
        <v>0</v>
      </c>
      <c r="D180" s="248">
        <f>D154*(1-Décisions!I67)</f>
        <v>12.307800183400509</v>
      </c>
      <c r="E180" s="249">
        <f>E154*(1-Décisions!I83)</f>
        <v>11.48728017117381</v>
      </c>
      <c r="L180" s="15"/>
      <c r="M180" s="56" t="s">
        <v>157</v>
      </c>
      <c r="N180" s="247">
        <f>N154*(1-Décisions!T51)</f>
        <v>12.974400193333626</v>
      </c>
      <c r="O180" s="248">
        <f>O154*(1-Décisions!T67)</f>
        <v>14.565600217044356</v>
      </c>
      <c r="P180" s="249">
        <f>P154*(1-Décisions!T83)</f>
        <v>15.422400229811666</v>
      </c>
      <c r="W180" s="15"/>
      <c r="X180" s="56" t="s">
        <v>157</v>
      </c>
      <c r="Y180" s="247">
        <f>Y154*(1-Décisions!AE51)</f>
        <v>10.681200159162282</v>
      </c>
      <c r="Z180" s="248">
        <f>Z154*(1-Décisions!AE67)</f>
        <v>15.214500226713717</v>
      </c>
      <c r="AA180" s="249">
        <f>AA154*(1-Décisions!AE83)</f>
        <v>8.8492501318641015</v>
      </c>
      <c r="AH180" s="15"/>
      <c r="AI180" s="56" t="s">
        <v>157</v>
      </c>
      <c r="AJ180" s="247">
        <f>AJ154*(1-Décisions!AP51)</f>
        <v>13.513500536978245</v>
      </c>
      <c r="AK180" s="248">
        <f>AK154*(1-Décisions!AP67)</f>
        <v>10.368000154495238</v>
      </c>
      <c r="AL180" s="249">
        <f>AL154*(1-Décisions!AP83)</f>
        <v>12.830400191187859</v>
      </c>
      <c r="AR180" s="24"/>
      <c r="AS180" s="15"/>
      <c r="AT180" s="56" t="s">
        <v>157</v>
      </c>
      <c r="AU180" s="247">
        <f>AU154*(1-Décisions!BA51)</f>
        <v>9.3150001388043151</v>
      </c>
      <c r="AV180" s="248">
        <f>AV154*(1-Décisions!BA67)</f>
        <v>7.08750010561198</v>
      </c>
      <c r="AW180" s="249">
        <f>AW154*(1-Décisions!BA83)</f>
        <v>10.607019795477392</v>
      </c>
    </row>
    <row r="181" spans="1:50" ht="21" customHeight="1" x14ac:dyDescent="0.25">
      <c r="A181" s="12" t="s">
        <v>9</v>
      </c>
      <c r="B181" s="54" t="s">
        <v>32</v>
      </c>
      <c r="C181" s="244">
        <f>C155*(1-Décisions!I52)</f>
        <v>0</v>
      </c>
      <c r="D181" s="245">
        <f>D155*(1-Décisions!I68)</f>
        <v>16.410400244534014</v>
      </c>
      <c r="E181" s="246">
        <f>E155*(1-Décisions!I84)</f>
        <v>0</v>
      </c>
      <c r="L181" s="12" t="s">
        <v>9</v>
      </c>
      <c r="M181" s="54" t="s">
        <v>32</v>
      </c>
      <c r="N181" s="244">
        <f>N155*(1-Décisions!T52)</f>
        <v>0</v>
      </c>
      <c r="O181" s="245">
        <f>O155*(1-Décisions!T68)</f>
        <v>12.138000180870296</v>
      </c>
      <c r="P181" s="246">
        <f>P155*(1-Décisions!T84)</f>
        <v>0</v>
      </c>
      <c r="W181" s="12" t="s">
        <v>9</v>
      </c>
      <c r="X181" s="54" t="s">
        <v>32</v>
      </c>
      <c r="Y181" s="244">
        <f>Y155*(1-Décisions!AE52)</f>
        <v>0</v>
      </c>
      <c r="Z181" s="245">
        <f>Z155*(1-Décisions!AE68)</f>
        <v>12.678750188928099</v>
      </c>
      <c r="AA181" s="246">
        <f>AA155*(1-Décisions!AE84)</f>
        <v>23.598000937700274</v>
      </c>
      <c r="AH181" s="12" t="s">
        <v>9</v>
      </c>
      <c r="AI181" s="54" t="s">
        <v>32</v>
      </c>
      <c r="AJ181" s="244">
        <f>AJ155*(1-Décisions!AP52)</f>
        <v>4.0040000596642491</v>
      </c>
      <c r="AK181" s="245">
        <f>AK155*(1-Décisions!AP68)</f>
        <v>12.960000514984131</v>
      </c>
      <c r="AL181" s="246">
        <f>AL155*(1-Décisions!AP84)</f>
        <v>17.107200679779051</v>
      </c>
      <c r="AR181" s="24"/>
      <c r="AS181" s="12" t="s">
        <v>9</v>
      </c>
      <c r="AT181" s="54" t="s">
        <v>32</v>
      </c>
      <c r="AU181" s="244">
        <f>AU155*(1-Décisions!BA52)</f>
        <v>8.2800001233816136</v>
      </c>
      <c r="AV181" s="245">
        <f>AV155*(1-Décisions!BA68)</f>
        <v>23.625000352039933</v>
      </c>
      <c r="AW181" s="246">
        <f>AW155*(1-Décisions!BA84)</f>
        <v>27.236463632583622</v>
      </c>
    </row>
    <row r="182" spans="1:50" ht="21" customHeight="1" thickBot="1" x14ac:dyDescent="0.3">
      <c r="A182" s="15"/>
      <c r="B182" s="56" t="s">
        <v>10</v>
      </c>
      <c r="C182" s="247">
        <f>C156*(1-Décisions!I53)</f>
        <v>0</v>
      </c>
      <c r="D182" s="248">
        <f>D156*(1-Décisions!I69)</f>
        <v>13.128320195627211</v>
      </c>
      <c r="E182" s="249">
        <f>E156*(1-Décisions!I85)</f>
        <v>21.322852643728254</v>
      </c>
      <c r="L182" s="15"/>
      <c r="M182" s="56" t="s">
        <v>10</v>
      </c>
      <c r="N182" s="247">
        <f>N156*(1-Décisions!T53)</f>
        <v>0</v>
      </c>
      <c r="O182" s="248">
        <f>O156*(1-Décisions!T69)</f>
        <v>12.138000180870296</v>
      </c>
      <c r="P182" s="249">
        <f>P156*(1-Décisions!T85)</f>
        <v>25.704000383019444</v>
      </c>
      <c r="W182" s="15"/>
      <c r="X182" s="56" t="s">
        <v>10</v>
      </c>
      <c r="Y182" s="247">
        <f>Y156*(1-Décisions!AE53)</f>
        <v>0</v>
      </c>
      <c r="Z182" s="248">
        <f>Z156*(1-Décisions!AE69)</f>
        <v>12.678750188928099</v>
      </c>
      <c r="AA182" s="249">
        <f>AA156*(1-Décisions!AE85)</f>
        <v>14.748750219773502</v>
      </c>
      <c r="AH182" s="15"/>
      <c r="AI182" s="56" t="s">
        <v>10</v>
      </c>
      <c r="AJ182" s="247">
        <f>AJ156*(1-Décisions!AP53)</f>
        <v>0</v>
      </c>
      <c r="AK182" s="248">
        <f>AK156*(1-Décisions!AP69)</f>
        <v>8.6400001287460313</v>
      </c>
      <c r="AL182" s="249">
        <f>AL156*(1-Décisions!AP85)</f>
        <v>10.692000159323216</v>
      </c>
      <c r="AR182" s="24"/>
      <c r="AS182" s="15"/>
      <c r="AT182" s="56" t="s">
        <v>10</v>
      </c>
      <c r="AU182" s="247">
        <f>AU156*(1-Décisions!BA53)</f>
        <v>4.1400000616908068</v>
      </c>
      <c r="AV182" s="248">
        <f>AV156*(1-Décisions!BA69)</f>
        <v>11.812500176019967</v>
      </c>
      <c r="AW182" s="249">
        <f>AW156*(1-Décisions!BA85)</f>
        <v>17.186683909222484</v>
      </c>
    </row>
    <row r="183" spans="1:50" ht="21" customHeight="1" x14ac:dyDescent="0.25">
      <c r="A183" s="12" t="s">
        <v>11</v>
      </c>
      <c r="B183" s="54" t="s">
        <v>33</v>
      </c>
      <c r="C183" s="244">
        <f>C157*(1-Décisions!I54)</f>
        <v>24.474841416931149</v>
      </c>
      <c r="D183" s="245">
        <f>D157*(1-Décisions!I70)</f>
        <v>11.476614208745957</v>
      </c>
      <c r="E183" s="246">
        <f>E157*(1-Décisions!I86)</f>
        <v>14.925996850609776</v>
      </c>
      <c r="L183" s="12" t="s">
        <v>11</v>
      </c>
      <c r="M183" s="54" t="s">
        <v>33</v>
      </c>
      <c r="N183" s="244">
        <f>N157*(1-Décisions!T54)</f>
        <v>51.897600773334503</v>
      </c>
      <c r="O183" s="245">
        <f>O157*(1-Décisions!T70)</f>
        <v>21.848400868177414</v>
      </c>
      <c r="P183" s="246">
        <f>P157*(1-Décisions!T86)</f>
        <v>15.422400229811666</v>
      </c>
      <c r="W183" s="12" t="s">
        <v>11</v>
      </c>
      <c r="X183" s="54" t="s">
        <v>33</v>
      </c>
      <c r="Y183" s="244">
        <f>Y157*(1-Décisions!AE54)</f>
        <v>21.362400318324564</v>
      </c>
      <c r="Z183" s="245">
        <f>Z157*(1-Décisions!AE70)</f>
        <v>15.214500226713717</v>
      </c>
      <c r="AA183" s="246">
        <f>AA157*(1-Décisions!AE86)</f>
        <v>8.8492501318641015</v>
      </c>
      <c r="AH183" s="12" t="s">
        <v>11</v>
      </c>
      <c r="AI183" s="54" t="s">
        <v>33</v>
      </c>
      <c r="AJ183" s="244">
        <f>AJ157*(1-Décisions!AP54)</f>
        <v>18.018000268489121</v>
      </c>
      <c r="AK183" s="245">
        <f>AK157*(1-Décisions!AP70)</f>
        <v>15.552000617980957</v>
      </c>
      <c r="AL183" s="246">
        <f>AL157*(1-Décisions!AP86)</f>
        <v>12.830400191187859</v>
      </c>
      <c r="AR183" s="24"/>
      <c r="AS183" s="12" t="s">
        <v>11</v>
      </c>
      <c r="AT183" s="54" t="s">
        <v>33</v>
      </c>
      <c r="AU183" s="244">
        <f>AU157*(1-Décisions!BA54)</f>
        <v>18.63000027760863</v>
      </c>
      <c r="AV183" s="245">
        <f>AV157*(1-Décisions!BA70)</f>
        <v>14.17500021122396</v>
      </c>
      <c r="AW183" s="246">
        <f>AW157*(1-Décisions!BA86)</f>
        <v>10.607019795477392</v>
      </c>
    </row>
    <row r="184" spans="1:50" ht="21" customHeight="1" x14ac:dyDescent="0.25">
      <c r="A184" s="17"/>
      <c r="B184" s="57" t="s">
        <v>34</v>
      </c>
      <c r="C184" s="250">
        <f>C158*(1-Décisions!I55)</f>
        <v>66.435838240051254</v>
      </c>
      <c r="D184" s="125">
        <f>D158*(1-Décisions!I71)</f>
        <v>24.615600366801019</v>
      </c>
      <c r="E184" s="251">
        <f>E158*(1-Décisions!I87)</f>
        <v>7.8705918796777716</v>
      </c>
      <c r="L184" s="17"/>
      <c r="M184" s="57" t="s">
        <v>34</v>
      </c>
      <c r="N184" s="250">
        <f>N158*(1-Décisions!T55)</f>
        <v>34.238</v>
      </c>
      <c r="O184" s="125">
        <f>O158*(1-Décisions!T71)</f>
        <v>23.062200916409491</v>
      </c>
      <c r="P184" s="251">
        <f>P158*(1-Décisions!T87)</f>
        <v>16.27920024257898</v>
      </c>
      <c r="W184" s="17"/>
      <c r="X184" s="57" t="s">
        <v>34</v>
      </c>
      <c r="Y184" s="250">
        <f>Y158*(1-Décisions!AE55)</f>
        <v>22.54920033600926</v>
      </c>
      <c r="Z184" s="125">
        <f>Z158*(1-Décisions!AE71)</f>
        <v>16.059750239308922</v>
      </c>
      <c r="AA184" s="251">
        <f>AA158*(1-Décisions!AE87)</f>
        <v>9.340875139189885</v>
      </c>
      <c r="AH184" s="17"/>
      <c r="AI184" s="57" t="s">
        <v>34</v>
      </c>
      <c r="AJ184" s="250">
        <f>AJ158*(1-Décisions!AP55)</f>
        <v>14.264250566810368</v>
      </c>
      <c r="AK184" s="125">
        <f>AK158*(1-Décisions!AP71)</f>
        <v>5.4720000815391536</v>
      </c>
      <c r="AL184" s="251">
        <f>AL158*(1-Décisions!AP87)</f>
        <v>6.7716001009047035</v>
      </c>
      <c r="AR184" s="24"/>
      <c r="AS184" s="17"/>
      <c r="AT184" s="57" t="s">
        <v>34</v>
      </c>
      <c r="AU184" s="250">
        <f>AU158*(1-Décisions!BA55)</f>
        <v>9.832500146515665</v>
      </c>
      <c r="AV184" s="125">
        <f>AV158*(1-Décisions!BA71)</f>
        <v>22.443750891834497</v>
      </c>
      <c r="AW184" s="251">
        <f>AW158*(1-Décisions!BA87)</f>
        <v>11.196298673003913</v>
      </c>
    </row>
    <row r="185" spans="1:50" ht="21" customHeight="1" thickBot="1" x14ac:dyDescent="0.3">
      <c r="A185" s="15"/>
      <c r="B185" s="56" t="s">
        <v>12</v>
      </c>
      <c r="C185" s="247">
        <f>C159*(1-Décisions!I56)</f>
        <v>0</v>
      </c>
      <c r="D185" s="248">
        <f>D159*(1-Décisions!I72)</f>
        <v>0</v>
      </c>
      <c r="E185" s="249">
        <f>E159*(1-Décisions!I88)</f>
        <v>0</v>
      </c>
      <c r="L185" s="15"/>
      <c r="M185" s="56" t="s">
        <v>12</v>
      </c>
      <c r="N185" s="247">
        <f>N159*(1-Décisions!T56)</f>
        <v>0</v>
      </c>
      <c r="O185" s="248">
        <f>O159*(1-Décisions!T72)</f>
        <v>0</v>
      </c>
      <c r="P185" s="249">
        <f>P159*(1-Décisions!T88)</f>
        <v>0</v>
      </c>
      <c r="W185" s="15"/>
      <c r="X185" s="56" t="s">
        <v>12</v>
      </c>
      <c r="Y185" s="247">
        <f>Y159*(1-Décisions!AE56)</f>
        <v>15.131700601279734</v>
      </c>
      <c r="Z185" s="248">
        <f>Z159*(1-Décisions!AE72)</f>
        <v>0</v>
      </c>
      <c r="AA185" s="249">
        <f>AA159*(1-Décisions!AE88)</f>
        <v>15.732000234425071</v>
      </c>
      <c r="AH185" s="15"/>
      <c r="AI185" s="56" t="s">
        <v>12</v>
      </c>
      <c r="AJ185" s="247">
        <f>AJ159*(1-Décisions!AP56)</f>
        <v>8.5085001267865294</v>
      </c>
      <c r="AK185" s="248">
        <f>AK159*(1-Décisions!AP72)</f>
        <v>9.7920001459121693</v>
      </c>
      <c r="AL185" s="249">
        <f>AL159*(1-Décisions!AP88)</f>
        <v>5.7024000849723819</v>
      </c>
      <c r="AR185" s="24"/>
      <c r="AS185" s="15"/>
      <c r="AT185" s="56" t="s">
        <v>12</v>
      </c>
      <c r="AU185" s="247">
        <f>AU159*(1-Décisions!BA56)</f>
        <v>8.7975001310929635</v>
      </c>
      <c r="AV185" s="248">
        <f>AV159*(1-Décisions!BA72)</f>
        <v>6.6937500997446477</v>
      </c>
      <c r="AW185" s="249">
        <f>AW159*(1-Décisions!BA88)</f>
        <v>18.332462836503986</v>
      </c>
    </row>
    <row r="186" spans="1:50" ht="21" customHeight="1" x14ac:dyDescent="0.25">
      <c r="AR186" s="24"/>
    </row>
    <row r="187" spans="1:50" ht="21" customHeight="1" x14ac:dyDescent="0.25">
      <c r="B187" s="1" t="s">
        <v>235</v>
      </c>
      <c r="C187" s="128">
        <f ca="1">OFFSET(Constantes!$C$111,Décisions!I$4-1,0)</f>
        <v>0</v>
      </c>
      <c r="M187" s="1" t="s">
        <v>235</v>
      </c>
      <c r="N187" s="128">
        <f ca="1">OFFSET(Constantes!$C$111,Décisions!T$4-1,0)</f>
        <v>0</v>
      </c>
      <c r="X187" s="1" t="s">
        <v>235</v>
      </c>
      <c r="Y187" s="128">
        <f ca="1">OFFSET(Constantes!$C$111,Décisions!AE$4-1,0)</f>
        <v>0.05</v>
      </c>
      <c r="AI187" s="1" t="s">
        <v>235</v>
      </c>
      <c r="AJ187" s="128">
        <f ca="1">OFFSET(Constantes!$C$111,Décisions!AP$4-1,0)</f>
        <v>0.05</v>
      </c>
      <c r="AT187" s="1" t="s">
        <v>235</v>
      </c>
      <c r="AU187" s="128">
        <f ca="1">OFFSET(Constantes!$C$111,Décisions!BA$4-1,0)</f>
        <v>0.05</v>
      </c>
    </row>
    <row r="188" spans="1:50" ht="21" customHeight="1" x14ac:dyDescent="0.25">
      <c r="B188" s="1"/>
      <c r="C188" s="108"/>
      <c r="M188" s="1"/>
      <c r="N188" s="108"/>
      <c r="X188" s="1"/>
      <c r="Y188" s="108"/>
      <c r="AI188" s="1"/>
      <c r="AJ188" s="108"/>
      <c r="AT188" s="1"/>
      <c r="AU188" s="108"/>
    </row>
    <row r="189" spans="1:50" ht="21" customHeight="1" thickBot="1" x14ac:dyDescent="0.3">
      <c r="B189" s="36" t="s">
        <v>184</v>
      </c>
      <c r="C189" s="75">
        <f>C201</f>
        <v>0</v>
      </c>
      <c r="D189" s="75">
        <f>D201</f>
        <v>0</v>
      </c>
      <c r="E189" s="75">
        <f>E201</f>
        <v>0</v>
      </c>
      <c r="M189" s="36" t="s">
        <v>184</v>
      </c>
      <c r="N189" s="223" t="str">
        <f>Constantes!$Q$9</f>
        <v>junior</v>
      </c>
      <c r="O189" s="223" t="str">
        <f>Constantes!$R$9</f>
        <v>senior</v>
      </c>
      <c r="P189" s="223" t="str">
        <f>Constantes!$S$9</f>
        <v>premium</v>
      </c>
      <c r="X189" s="36" t="s">
        <v>184</v>
      </c>
      <c r="Y189" s="286" t="str">
        <f>Constantes!$Q$9</f>
        <v>junior</v>
      </c>
      <c r="Z189" s="286" t="str">
        <f>Constantes!$R$9</f>
        <v>senior</v>
      </c>
      <c r="AA189" s="286" t="str">
        <f>Constantes!$S$9</f>
        <v>premium</v>
      </c>
      <c r="AI189" s="36" t="s">
        <v>184</v>
      </c>
      <c r="AJ189" s="286" t="str">
        <f>Constantes!$Q$9</f>
        <v>junior</v>
      </c>
      <c r="AK189" s="286" t="str">
        <f>Constantes!$R$9</f>
        <v>senior</v>
      </c>
      <c r="AL189" s="286" t="str">
        <f>Constantes!$S$9</f>
        <v>premium</v>
      </c>
      <c r="AT189" s="36" t="s">
        <v>184</v>
      </c>
      <c r="AU189" s="287" t="str">
        <f>Constantes!$Q$9</f>
        <v>junior</v>
      </c>
      <c r="AV189" s="287" t="str">
        <f>Constantes!$R$9</f>
        <v>senior</v>
      </c>
      <c r="AW189" s="287" t="str">
        <f>Constantes!$S$9</f>
        <v>premium</v>
      </c>
    </row>
    <row r="190" spans="1:50" ht="21" customHeight="1" x14ac:dyDescent="0.25">
      <c r="A190" s="12" t="s">
        <v>4</v>
      </c>
      <c r="B190" s="54" t="s">
        <v>5</v>
      </c>
      <c r="C190" s="252">
        <f ca="1">ROUNDDOWN(C176/(Constantes!$C10*(1+$C$187)),0)</f>
        <v>70</v>
      </c>
      <c r="D190" s="253">
        <f ca="1">ROUNDDOWN(D176/(Constantes!$C10*(1+$C$187)),0)</f>
        <v>22</v>
      </c>
      <c r="E190" s="257">
        <f ca="1">ROUNDDOWN(E176/(Constantes!$C10*(1+$C$187)),0)</f>
        <v>19</v>
      </c>
      <c r="F190" s="342">
        <f ca="1">SUM(C190:E190)</f>
        <v>111</v>
      </c>
      <c r="L190" s="12" t="s">
        <v>4</v>
      </c>
      <c r="M190" s="54" t="s">
        <v>5</v>
      </c>
      <c r="N190" s="252">
        <f ca="1">ROUNDDOWN(N176/(Constantes!$C10*(1+$N$187)),0)</f>
        <v>36</v>
      </c>
      <c r="O190" s="253">
        <f ca="1">ROUNDDOWN(O176/(Constantes!$C10*(1+$N$187)),0)</f>
        <v>58</v>
      </c>
      <c r="P190" s="257">
        <f ca="1">ROUNDDOWN(P176/(Constantes!$C10*(1+$N$187)),0)</f>
        <v>13</v>
      </c>
      <c r="Q190" s="342">
        <f ca="1">SUM(N190:P190)</f>
        <v>107</v>
      </c>
      <c r="R190" s="189"/>
      <c r="S190" s="189"/>
      <c r="T190" s="189"/>
      <c r="U190" s="189"/>
      <c r="W190" s="12" t="s">
        <v>4</v>
      </c>
      <c r="X190" s="54" t="s">
        <v>5</v>
      </c>
      <c r="Y190" s="252">
        <f ca="1">ROUNDDOWN(Y176/(Constantes!$C10*(1+$Y$187)),0)</f>
        <v>28</v>
      </c>
      <c r="Z190" s="253">
        <f ca="1">ROUNDDOWN(Z176/(Constantes!$C10*(1+$Y$187)),0)</f>
        <v>43</v>
      </c>
      <c r="AA190" s="257">
        <f ca="1">ROUNDDOWN(AA176/(Constantes!$C10*(1+$Y$187)),0)</f>
        <v>29</v>
      </c>
      <c r="AB190" s="342">
        <f ca="1">SUM(Y190:AA190)</f>
        <v>100</v>
      </c>
      <c r="AC190" s="189"/>
      <c r="AD190" s="189"/>
      <c r="AE190" s="189"/>
      <c r="AF190" s="189"/>
      <c r="AH190" s="12" t="s">
        <v>4</v>
      </c>
      <c r="AI190" s="54" t="s">
        <v>5</v>
      </c>
      <c r="AJ190" s="252">
        <f ca="1">ROUNDDOWN(AJ176/(Constantes!$C10*(1+$AJ$187)),0)</f>
        <v>16</v>
      </c>
      <c r="AK190" s="253">
        <f ca="1">ROUNDDOWN(AK176/(Constantes!$C10*(1+$AJ$187)),0)</f>
        <v>9</v>
      </c>
      <c r="AL190" s="257">
        <f ca="1">ROUNDDOWN(AL176/(Constantes!$C10*(1+$AJ$187)),0)</f>
        <v>10</v>
      </c>
      <c r="AM190" s="342">
        <f ca="1">SUM(AJ190:AL190)</f>
        <v>35</v>
      </c>
      <c r="AN190" s="189"/>
      <c r="AO190" s="189"/>
      <c r="AP190" s="189"/>
      <c r="AQ190" s="189"/>
      <c r="AS190" s="12" t="s">
        <v>4</v>
      </c>
      <c r="AT190" s="54" t="s">
        <v>5</v>
      </c>
      <c r="AU190" s="252">
        <f ca="1">ROUNDDOWN(AU176/(Constantes!$C10*(1+$AU$187)),0)</f>
        <v>16</v>
      </c>
      <c r="AV190" s="253">
        <f ca="1">ROUNDDOWN(AV176/(Constantes!$C10*(1+$AU$187)),0)</f>
        <v>27</v>
      </c>
      <c r="AW190" s="257">
        <f ca="1">ROUNDDOWN(AW176/(Constantes!$C10*(1+$AU$187)),0)</f>
        <v>34</v>
      </c>
      <c r="AX190" s="342">
        <f ca="1">SUM(AU190:AW190)</f>
        <v>77</v>
      </c>
    </row>
    <row r="191" spans="1:50" ht="21" customHeight="1" thickBot="1" x14ac:dyDescent="0.3">
      <c r="A191" s="15"/>
      <c r="B191" s="56" t="s">
        <v>31</v>
      </c>
      <c r="C191" s="254">
        <f ca="1">ROUNDDOWN(C177/(Constantes!$C11*(1+$C$187)),0)</f>
        <v>0</v>
      </c>
      <c r="D191" s="255">
        <f ca="1">ROUNDDOWN(D177/(Constantes!$C11*(1+$C$187)),0)</f>
        <v>6</v>
      </c>
      <c r="E191" s="258">
        <f ca="1">ROUNDDOWN(E177/(Constantes!$C11*(1+$C$187)),0)</f>
        <v>12</v>
      </c>
      <c r="F191" s="343">
        <f t="shared" ref="F191:F199" ca="1" si="22">SUM(C191:E191)</f>
        <v>18</v>
      </c>
      <c r="L191" s="15"/>
      <c r="M191" s="56" t="s">
        <v>31</v>
      </c>
      <c r="N191" s="254">
        <f ca="1">ROUNDDOWN(N177/(Constantes!$C11*(1+$N$187)),0)</f>
        <v>0</v>
      </c>
      <c r="O191" s="255">
        <f ca="1">ROUNDDOWN(O177/(Constantes!$C11*(1+$N$187)),0)</f>
        <v>8</v>
      </c>
      <c r="P191" s="258">
        <f ca="1">ROUNDDOWN(P177/(Constantes!$C11*(1+$N$187)),0)</f>
        <v>36</v>
      </c>
      <c r="Q191" s="343">
        <f t="shared" ref="Q191:Q199" ca="1" si="23">SUM(N191:P191)</f>
        <v>44</v>
      </c>
      <c r="R191" s="189"/>
      <c r="S191" s="189"/>
      <c r="T191" s="189"/>
      <c r="U191" s="189"/>
      <c r="W191" s="15"/>
      <c r="X191" s="56" t="s">
        <v>31</v>
      </c>
      <c r="Y191" s="254">
        <f ca="1">ROUNDDOWN(Y177/(Constantes!$C11*(1+$Y$187)),0)</f>
        <v>12</v>
      </c>
      <c r="Z191" s="255">
        <f ca="1">ROUNDDOWN(Z177/(Constantes!$C11*(1+$Y$187)),0)</f>
        <v>17</v>
      </c>
      <c r="AA191" s="258">
        <f ca="1">ROUNDDOWN(AA177/(Constantes!$C11*(1+$Y$187)),0)</f>
        <v>19</v>
      </c>
      <c r="AB191" s="343">
        <f t="shared" ref="AB191:AB199" ca="1" si="24">SUM(Y191:AA191)</f>
        <v>48</v>
      </c>
      <c r="AC191" s="189"/>
      <c r="AD191" s="189"/>
      <c r="AE191" s="189"/>
      <c r="AF191" s="189"/>
      <c r="AH191" s="15"/>
      <c r="AI191" s="56" t="s">
        <v>31</v>
      </c>
      <c r="AJ191" s="254">
        <f ca="1">ROUNDDOWN(AJ177/(Constantes!$C11*(1+$AJ$187)),0)</f>
        <v>10</v>
      </c>
      <c r="AK191" s="255">
        <f ca="1">ROUNDDOWN(AK177/(Constantes!$C11*(1+$AJ$187)),0)</f>
        <v>5</v>
      </c>
      <c r="AL191" s="258">
        <f ca="1">ROUNDDOWN(AL177/(Constantes!$C11*(1+$AJ$187)),0)</f>
        <v>14</v>
      </c>
      <c r="AM191" s="343">
        <f t="shared" ref="AM191:AM199" ca="1" si="25">SUM(AJ191:AL191)</f>
        <v>29</v>
      </c>
      <c r="AN191" s="189"/>
      <c r="AO191" s="189"/>
      <c r="AP191" s="189"/>
      <c r="AQ191" s="189"/>
      <c r="AS191" s="15"/>
      <c r="AT191" s="56" t="s">
        <v>31</v>
      </c>
      <c r="AU191" s="254">
        <f ca="1">ROUNDDOWN(AU177/(Constantes!$C11*(1+$AU$187)),0)</f>
        <v>10</v>
      </c>
      <c r="AV191" s="255">
        <f ca="1">ROUNDDOWN(AV177/(Constantes!$C11*(1+$AU$187)),0)</f>
        <v>16</v>
      </c>
      <c r="AW191" s="258">
        <f ca="1">ROUNDDOWN(AW177/(Constantes!$C11*(1+$AU$187)),0)</f>
        <v>23</v>
      </c>
      <c r="AX191" s="343">
        <f t="shared" ref="AX191:AX199" ca="1" si="26">SUM(AU191:AW191)</f>
        <v>49</v>
      </c>
    </row>
    <row r="192" spans="1:50" ht="21" customHeight="1" x14ac:dyDescent="0.25">
      <c r="A192" s="12" t="s">
        <v>6</v>
      </c>
      <c r="B192" s="54" t="s">
        <v>7</v>
      </c>
      <c r="C192" s="252">
        <f ca="1">ROUNDDOWN(C178/(Constantes!$C12*(1+$C$187)),0)</f>
        <v>0</v>
      </c>
      <c r="D192" s="253">
        <f ca="1">ROUNDDOWN(D178/(Constantes!$C12*(1+$C$187)),0)</f>
        <v>8</v>
      </c>
      <c r="E192" s="257">
        <f ca="1">ROUNDDOWN(E178/(Constantes!$C12*(1+$C$187)),0)</f>
        <v>15</v>
      </c>
      <c r="F192" s="342">
        <f t="shared" ca="1" si="22"/>
        <v>23</v>
      </c>
      <c r="L192" s="12" t="s">
        <v>6</v>
      </c>
      <c r="M192" s="54" t="s">
        <v>7</v>
      </c>
      <c r="N192" s="252">
        <f ca="1">ROUNDDOWN(N178/(Constantes!$C12*(1+$N$187)),0)</f>
        <v>0</v>
      </c>
      <c r="O192" s="253">
        <f ca="1">ROUNDDOWN(O178/(Constantes!$C12*(1+$N$187)),0)</f>
        <v>4</v>
      </c>
      <c r="P192" s="257">
        <f ca="1">ROUNDDOWN(P178/(Constantes!$C12*(1+$N$187)),0)</f>
        <v>10</v>
      </c>
      <c r="Q192" s="342">
        <f t="shared" ca="1" si="23"/>
        <v>14</v>
      </c>
      <c r="R192" s="189"/>
      <c r="S192" s="189"/>
      <c r="T192" s="189"/>
      <c r="U192" s="189"/>
      <c r="W192" s="12" t="s">
        <v>6</v>
      </c>
      <c r="X192" s="54" t="s">
        <v>7</v>
      </c>
      <c r="Y192" s="252">
        <f ca="1">ROUNDDOWN(Y178/(Constantes!$C12*(1+$Y$187)),0)</f>
        <v>0</v>
      </c>
      <c r="Z192" s="253">
        <f ca="1">ROUNDDOWN(Z178/(Constantes!$C12*(1+$Y$187)),0)</f>
        <v>8</v>
      </c>
      <c r="AA192" s="257">
        <f ca="1">ROUNDDOWN(AA178/(Constantes!$C12*(1+$Y$187)),0)</f>
        <v>22</v>
      </c>
      <c r="AB192" s="342">
        <f t="shared" ca="1" si="24"/>
        <v>30</v>
      </c>
      <c r="AC192" s="189"/>
      <c r="AD192" s="189"/>
      <c r="AE192" s="189"/>
      <c r="AF192" s="189"/>
      <c r="AH192" s="12" t="s">
        <v>6</v>
      </c>
      <c r="AI192" s="54" t="s">
        <v>7</v>
      </c>
      <c r="AJ192" s="252">
        <f ca="1">ROUNDDOWN(AJ178/(Constantes!$C12*(1+$AJ$187)),0)</f>
        <v>2</v>
      </c>
      <c r="AK192" s="253">
        <f ca="1">ROUNDDOWN(AK178/(Constantes!$C12*(1+$AJ$187)),0)</f>
        <v>5</v>
      </c>
      <c r="AL192" s="257">
        <f ca="1">ROUNDDOWN(AL178/(Constantes!$C12*(1+$AJ$187)),0)</f>
        <v>8</v>
      </c>
      <c r="AM192" s="342">
        <f t="shared" ca="1" si="25"/>
        <v>15</v>
      </c>
      <c r="AN192" s="189"/>
      <c r="AO192" s="189"/>
      <c r="AP192" s="189"/>
      <c r="AQ192" s="189"/>
      <c r="AS192" s="12" t="s">
        <v>6</v>
      </c>
      <c r="AT192" s="54" t="s">
        <v>7</v>
      </c>
      <c r="AU192" s="252">
        <f ca="1">ROUNDDOWN(AU178/(Constantes!$C12*(1+$AU$187)),0)</f>
        <v>4</v>
      </c>
      <c r="AV192" s="253">
        <f ca="1">ROUNDDOWN(AV178/(Constantes!$C12*(1+$AU$187)),0)</f>
        <v>7</v>
      </c>
      <c r="AW192" s="257">
        <f ca="1">ROUNDDOWN(AW178/(Constantes!$C12*(1+$AU$187)),0)</f>
        <v>21</v>
      </c>
      <c r="AX192" s="342">
        <f t="shared" ca="1" si="26"/>
        <v>32</v>
      </c>
    </row>
    <row r="193" spans="1:50" ht="21" customHeight="1" x14ac:dyDescent="0.25">
      <c r="A193" s="17"/>
      <c r="B193" s="57" t="s">
        <v>8</v>
      </c>
      <c r="C193" s="256">
        <f ca="1">ROUNDDOWN(C179/(Constantes!$C13*(1+$C$187)),0)</f>
        <v>20</v>
      </c>
      <c r="D193" s="126">
        <f ca="1">ROUNDDOWN(D179/(Constantes!$C13*(1+$C$187)),0)</f>
        <v>15</v>
      </c>
      <c r="E193" s="259">
        <f ca="1">ROUNDDOWN(E179/(Constantes!$C13*(1+$C$187)),0)</f>
        <v>19</v>
      </c>
      <c r="F193" s="344">
        <f t="shared" ca="1" si="22"/>
        <v>54</v>
      </c>
      <c r="L193" s="17"/>
      <c r="M193" s="57" t="s">
        <v>8</v>
      </c>
      <c r="N193" s="256">
        <f ca="1">ROUNDDOWN(N179/(Constantes!$C13*(1+$N$187)),0)</f>
        <v>16</v>
      </c>
      <c r="O193" s="126">
        <f ca="1">ROUNDDOWN(O179/(Constantes!$C13*(1+$N$187)),0)</f>
        <v>17</v>
      </c>
      <c r="P193" s="259">
        <f ca="1">ROUNDDOWN(P179/(Constantes!$C13*(1+$N$187)),0)</f>
        <v>19</v>
      </c>
      <c r="Q193" s="344">
        <f t="shared" ca="1" si="23"/>
        <v>52</v>
      </c>
      <c r="R193" s="189"/>
      <c r="S193" s="189"/>
      <c r="T193" s="189"/>
      <c r="U193" s="189"/>
      <c r="W193" s="17"/>
      <c r="X193" s="57" t="s">
        <v>8</v>
      </c>
      <c r="Y193" s="256">
        <f ca="1">ROUNDDOWN(Y179/(Constantes!$C13*(1+$Y$187)),0)</f>
        <v>12</v>
      </c>
      <c r="Z193" s="126">
        <f ca="1">ROUNDDOWN(Z179/(Constantes!$C13*(1+$Y$187)),0)</f>
        <v>25</v>
      </c>
      <c r="AA193" s="259">
        <f ca="1">ROUNDDOWN(AA179/(Constantes!$C13*(1+$Y$187)),0)</f>
        <v>21</v>
      </c>
      <c r="AB193" s="344">
        <f t="shared" ca="1" si="24"/>
        <v>58</v>
      </c>
      <c r="AC193" s="189"/>
      <c r="AD193" s="189"/>
      <c r="AE193" s="189"/>
      <c r="AF193" s="189"/>
      <c r="AH193" s="17"/>
      <c r="AI193" s="57" t="s">
        <v>8</v>
      </c>
      <c r="AJ193" s="256">
        <f ca="1">ROUNDDOWN(AJ179/(Constantes!$C13*(1+$AJ$187)),0)</f>
        <v>10</v>
      </c>
      <c r="AK193" s="126">
        <f ca="1">ROUNDDOWN(AK179/(Constantes!$C13*(1+$AJ$187)),0)</f>
        <v>17</v>
      </c>
      <c r="AL193" s="259">
        <f ca="1">ROUNDDOWN(AL179/(Constantes!$C13*(1+$AJ$187)),0)</f>
        <v>23</v>
      </c>
      <c r="AM193" s="344">
        <f t="shared" ca="1" si="25"/>
        <v>50</v>
      </c>
      <c r="AN193" s="189"/>
      <c r="AO193" s="189"/>
      <c r="AP193" s="189"/>
      <c r="AQ193" s="189"/>
      <c r="AS193" s="17"/>
      <c r="AT193" s="57" t="s">
        <v>8</v>
      </c>
      <c r="AU193" s="256">
        <f ca="1">ROUNDDOWN(AU179/(Constantes!$C13*(1+$AU$187)),0)</f>
        <v>5</v>
      </c>
      <c r="AV193" s="126">
        <f ca="1">ROUNDDOWN(AV179/(Constantes!$C13*(1+$AU$187)),0)</f>
        <v>8</v>
      </c>
      <c r="AW193" s="259">
        <f ca="1">ROUNDDOWN(AW179/(Constantes!$C13*(1+$AU$187)),0)</f>
        <v>24</v>
      </c>
      <c r="AX193" s="344">
        <f t="shared" ca="1" si="26"/>
        <v>37</v>
      </c>
    </row>
    <row r="194" spans="1:50" ht="21" customHeight="1" thickBot="1" x14ac:dyDescent="0.3">
      <c r="A194" s="15"/>
      <c r="B194" s="56" t="s">
        <v>157</v>
      </c>
      <c r="C194" s="254">
        <f ca="1">ROUNDDOWN(C180/(Constantes!$C14*(1+$C$187)),0)</f>
        <v>0</v>
      </c>
      <c r="D194" s="255">
        <f ca="1">ROUNDDOWN(D180/(Constantes!$C14*(1+$C$187)),0)</f>
        <v>24</v>
      </c>
      <c r="E194" s="258">
        <f ca="1">ROUNDDOWN(E180/(Constantes!$C14*(1+$C$187)),0)</f>
        <v>22</v>
      </c>
      <c r="F194" s="343">
        <f t="shared" ca="1" si="22"/>
        <v>46</v>
      </c>
      <c r="L194" s="15"/>
      <c r="M194" s="56" t="s">
        <v>157</v>
      </c>
      <c r="N194" s="254">
        <f ca="1">ROUNDDOWN(N180/(Constantes!$C14*(1+$N$187)),0)</f>
        <v>25</v>
      </c>
      <c r="O194" s="255">
        <f ca="1">ROUNDDOWN(O180/(Constantes!$C14*(1+$N$187)),0)</f>
        <v>29</v>
      </c>
      <c r="P194" s="258">
        <f ca="1">ROUNDDOWN(P180/(Constantes!$C14*(1+$N$187)),0)</f>
        <v>30</v>
      </c>
      <c r="Q194" s="343">
        <f t="shared" ca="1" si="23"/>
        <v>84</v>
      </c>
      <c r="R194" s="189"/>
      <c r="S194" s="189"/>
      <c r="T194" s="189"/>
      <c r="U194" s="189"/>
      <c r="W194" s="15"/>
      <c r="X194" s="56" t="s">
        <v>157</v>
      </c>
      <c r="Y194" s="254">
        <f ca="1">ROUNDDOWN(Y180/(Constantes!$C14*(1+$Y$187)),0)</f>
        <v>20</v>
      </c>
      <c r="Z194" s="255">
        <f ca="1">ROUNDDOWN(Z180/(Constantes!$C14*(1+$Y$187)),0)</f>
        <v>28</v>
      </c>
      <c r="AA194" s="258">
        <f ca="1">ROUNDDOWN(AA180/(Constantes!$C14*(1+$Y$187)),0)</f>
        <v>16</v>
      </c>
      <c r="AB194" s="343">
        <f t="shared" ca="1" si="24"/>
        <v>64</v>
      </c>
      <c r="AC194" s="189"/>
      <c r="AD194" s="189"/>
      <c r="AE194" s="189"/>
      <c r="AF194" s="189"/>
      <c r="AH194" s="15"/>
      <c r="AI194" s="56" t="s">
        <v>157</v>
      </c>
      <c r="AJ194" s="254">
        <f ca="1">ROUNDDOWN(AJ180/(Constantes!$C14*(1+$AJ$187)),0)</f>
        <v>25</v>
      </c>
      <c r="AK194" s="255">
        <f ca="1">ROUNDDOWN(AK180/(Constantes!$C14*(1+$AJ$187)),0)</f>
        <v>19</v>
      </c>
      <c r="AL194" s="258">
        <f ca="1">ROUNDDOWN(AL180/(Constantes!$C14*(1+$AJ$187)),0)</f>
        <v>24</v>
      </c>
      <c r="AM194" s="343">
        <f t="shared" ca="1" si="25"/>
        <v>68</v>
      </c>
      <c r="AN194" s="189"/>
      <c r="AO194" s="189"/>
      <c r="AP194" s="189"/>
      <c r="AQ194" s="189"/>
      <c r="AS194" s="15"/>
      <c r="AT194" s="56" t="s">
        <v>157</v>
      </c>
      <c r="AU194" s="254">
        <f ca="1">ROUNDDOWN(AU180/(Constantes!$C14*(1+$AU$187)),0)</f>
        <v>17</v>
      </c>
      <c r="AV194" s="255">
        <f ca="1">ROUNDDOWN(AV180/(Constantes!$C14*(1+$AU$187)),0)</f>
        <v>13</v>
      </c>
      <c r="AW194" s="258">
        <f ca="1">ROUNDDOWN(AW180/(Constantes!$C14*(1+$AU$187)),0)</f>
        <v>20</v>
      </c>
      <c r="AX194" s="343">
        <f t="shared" ca="1" si="26"/>
        <v>50</v>
      </c>
    </row>
    <row r="195" spans="1:50" ht="21" customHeight="1" x14ac:dyDescent="0.25">
      <c r="A195" s="12" t="s">
        <v>9</v>
      </c>
      <c r="B195" s="54" t="s">
        <v>32</v>
      </c>
      <c r="C195" s="252">
        <f ca="1">ROUNDDOWN(C181/(Constantes!$C15*(1+$C$187)),0)</f>
        <v>0</v>
      </c>
      <c r="D195" s="253">
        <f ca="1">ROUNDDOWN(D181/(Constantes!$C15*(1+$C$187)),0)</f>
        <v>21</v>
      </c>
      <c r="E195" s="257">
        <f ca="1">ROUNDDOWN(E181/(Constantes!$C15*(1+$C$187)),0)</f>
        <v>0</v>
      </c>
      <c r="F195" s="342">
        <f t="shared" ca="1" si="22"/>
        <v>21</v>
      </c>
      <c r="L195" s="12" t="s">
        <v>9</v>
      </c>
      <c r="M195" s="54" t="s">
        <v>32</v>
      </c>
      <c r="N195" s="252">
        <f ca="1">ROUNDDOWN(N181/(Constantes!$C15*(1+$N$187)),0)</f>
        <v>0</v>
      </c>
      <c r="O195" s="253">
        <f ca="1">ROUNDDOWN(O181/(Constantes!$C15*(1+$N$187)),0)</f>
        <v>16</v>
      </c>
      <c r="P195" s="257">
        <f ca="1">ROUNDDOWN(P181/(Constantes!$C15*(1+$N$187)),0)</f>
        <v>0</v>
      </c>
      <c r="Q195" s="342">
        <f t="shared" ca="1" si="23"/>
        <v>16</v>
      </c>
      <c r="R195" s="189"/>
      <c r="S195" s="189"/>
      <c r="T195" s="189"/>
      <c r="U195" s="189"/>
      <c r="W195" s="12" t="s">
        <v>9</v>
      </c>
      <c r="X195" s="54" t="s">
        <v>32</v>
      </c>
      <c r="Y195" s="252">
        <f ca="1">ROUNDDOWN(Y181/(Constantes!$C15*(1+$Y$187)),0)</f>
        <v>0</v>
      </c>
      <c r="Z195" s="253">
        <f ca="1">ROUNDDOWN(Z181/(Constantes!$C15*(1+$Y$187)),0)</f>
        <v>16</v>
      </c>
      <c r="AA195" s="257">
        <f ca="1">ROUNDDOWN(AA181/(Constantes!$C15*(1+$Y$187)),0)</f>
        <v>29</v>
      </c>
      <c r="AB195" s="342">
        <f t="shared" ca="1" si="24"/>
        <v>45</v>
      </c>
      <c r="AC195" s="189"/>
      <c r="AD195" s="189"/>
      <c r="AE195" s="189"/>
      <c r="AF195" s="189"/>
      <c r="AH195" s="12" t="s">
        <v>9</v>
      </c>
      <c r="AI195" s="54" t="s">
        <v>32</v>
      </c>
      <c r="AJ195" s="252">
        <f ca="1">ROUNDDOWN(AJ181/(Constantes!$C15*(1+$AJ$187)),0)</f>
        <v>5</v>
      </c>
      <c r="AK195" s="253">
        <f ca="1">ROUNDDOWN(AK181/(Constantes!$C15*(1+$AJ$187)),0)</f>
        <v>16</v>
      </c>
      <c r="AL195" s="257">
        <f ca="1">ROUNDDOWN(AL181/(Constantes!$C15*(1+$AJ$187)),0)</f>
        <v>21</v>
      </c>
      <c r="AM195" s="342">
        <f t="shared" ca="1" si="25"/>
        <v>42</v>
      </c>
      <c r="AN195" s="189"/>
      <c r="AO195" s="189"/>
      <c r="AP195" s="189"/>
      <c r="AQ195" s="189"/>
      <c r="AS195" s="12" t="s">
        <v>9</v>
      </c>
      <c r="AT195" s="54" t="s">
        <v>32</v>
      </c>
      <c r="AU195" s="252">
        <f ca="1">ROUNDDOWN(AU181/(Constantes!$C15*(1+$AU$187)),0)</f>
        <v>10</v>
      </c>
      <c r="AV195" s="253">
        <f ca="1">ROUNDDOWN(AV181/(Constantes!$C15*(1+$AU$187)),0)</f>
        <v>30</v>
      </c>
      <c r="AW195" s="257">
        <f ca="1">ROUNDDOWN(AW181/(Constantes!$C15*(1+$AU$187)),0)</f>
        <v>34</v>
      </c>
      <c r="AX195" s="342">
        <f t="shared" ca="1" si="26"/>
        <v>74</v>
      </c>
    </row>
    <row r="196" spans="1:50" ht="21" customHeight="1" thickBot="1" x14ac:dyDescent="0.3">
      <c r="A196" s="15"/>
      <c r="B196" s="56" t="s">
        <v>10</v>
      </c>
      <c r="C196" s="254">
        <f ca="1">ROUNDDOWN(C182/(Constantes!$C16*(1+$C$187)),0)</f>
        <v>0</v>
      </c>
      <c r="D196" s="255">
        <f ca="1">ROUNDDOWN(D182/(Constantes!$C16*(1+$C$187)),0)</f>
        <v>17</v>
      </c>
      <c r="E196" s="258">
        <f ca="1">ROUNDDOWN(E182/(Constantes!$C16*(1+$C$187)),0)</f>
        <v>28</v>
      </c>
      <c r="F196" s="343">
        <f t="shared" ca="1" si="22"/>
        <v>45</v>
      </c>
      <c r="L196" s="15"/>
      <c r="M196" s="56" t="s">
        <v>10</v>
      </c>
      <c r="N196" s="254">
        <f ca="1">ROUNDDOWN(N182/(Constantes!$C16*(1+$N$187)),0)</f>
        <v>0</v>
      </c>
      <c r="O196" s="255">
        <f ca="1">ROUNDDOWN(O182/(Constantes!$C16*(1+$N$187)),0)</f>
        <v>16</v>
      </c>
      <c r="P196" s="258">
        <f ca="1">ROUNDDOWN(P182/(Constantes!$C16*(1+$N$187)),0)</f>
        <v>34</v>
      </c>
      <c r="Q196" s="343">
        <f t="shared" ca="1" si="23"/>
        <v>50</v>
      </c>
      <c r="R196" s="189"/>
      <c r="S196" s="189"/>
      <c r="T196" s="189"/>
      <c r="U196" s="189"/>
      <c r="W196" s="15"/>
      <c r="X196" s="56" t="s">
        <v>10</v>
      </c>
      <c r="Y196" s="254">
        <f ca="1">ROUNDDOWN(Y182/(Constantes!$C16*(1+$Y$187)),0)</f>
        <v>0</v>
      </c>
      <c r="Z196" s="255">
        <f ca="1">ROUNDDOWN(Z182/(Constantes!$C16*(1+$Y$187)),0)</f>
        <v>16</v>
      </c>
      <c r="AA196" s="258">
        <f ca="1">ROUNDDOWN(AA182/(Constantes!$C16*(1+$Y$187)),0)</f>
        <v>18</v>
      </c>
      <c r="AB196" s="343">
        <f t="shared" ca="1" si="24"/>
        <v>34</v>
      </c>
      <c r="AC196" s="189"/>
      <c r="AD196" s="189"/>
      <c r="AE196" s="189"/>
      <c r="AF196" s="189"/>
      <c r="AH196" s="15"/>
      <c r="AI196" s="56" t="s">
        <v>10</v>
      </c>
      <c r="AJ196" s="254">
        <f ca="1">ROUNDDOWN(AJ182/(Constantes!$C16*(1+$AJ$187)),0)</f>
        <v>0</v>
      </c>
      <c r="AK196" s="255">
        <f ca="1">ROUNDDOWN(AK182/(Constantes!$C16*(1+$AJ$187)),0)</f>
        <v>10</v>
      </c>
      <c r="AL196" s="258">
        <f ca="1">ROUNDDOWN(AL182/(Constantes!$C16*(1+$AJ$187)),0)</f>
        <v>13</v>
      </c>
      <c r="AM196" s="343">
        <f t="shared" ca="1" si="25"/>
        <v>23</v>
      </c>
      <c r="AN196" s="189"/>
      <c r="AO196" s="189"/>
      <c r="AP196" s="189"/>
      <c r="AQ196" s="189"/>
      <c r="AS196" s="15"/>
      <c r="AT196" s="56" t="s">
        <v>10</v>
      </c>
      <c r="AU196" s="254">
        <f ca="1">ROUNDDOWN(AU182/(Constantes!$C16*(1+$AU$187)),0)</f>
        <v>5</v>
      </c>
      <c r="AV196" s="255">
        <f ca="1">ROUNDDOWN(AV182/(Constantes!$C16*(1+$AU$187)),0)</f>
        <v>15</v>
      </c>
      <c r="AW196" s="258">
        <f ca="1">ROUNDDOWN(AW182/(Constantes!$C16*(1+$AU$187)),0)</f>
        <v>21</v>
      </c>
      <c r="AX196" s="343">
        <f t="shared" ca="1" si="26"/>
        <v>41</v>
      </c>
    </row>
    <row r="197" spans="1:50" ht="21" customHeight="1" x14ac:dyDescent="0.25">
      <c r="A197" s="12" t="s">
        <v>11</v>
      </c>
      <c r="B197" s="54" t="s">
        <v>33</v>
      </c>
      <c r="C197" s="252">
        <f ca="1">ROUNDDOWN(C183/(Constantes!$C17*(1+$C$187)),0)</f>
        <v>48</v>
      </c>
      <c r="D197" s="253">
        <f ca="1">ROUNDDOWN(D183/(Constantes!$C17*(1+$C$187)),0)</f>
        <v>22</v>
      </c>
      <c r="E197" s="257">
        <f ca="1">ROUNDDOWN(E183/(Constantes!$C17*(1+$C$187)),0)</f>
        <v>29</v>
      </c>
      <c r="F197" s="342">
        <f t="shared" ca="1" si="22"/>
        <v>99</v>
      </c>
      <c r="L197" s="12" t="s">
        <v>11</v>
      </c>
      <c r="M197" s="54" t="s">
        <v>33</v>
      </c>
      <c r="N197" s="252">
        <f ca="1">ROUNDDOWN(N183/(Constantes!$C17*(1+$N$187)),0)</f>
        <v>103</v>
      </c>
      <c r="O197" s="253">
        <f ca="1">ROUNDDOWN(O183/(Constantes!$C17*(1+$N$187)),0)</f>
        <v>43</v>
      </c>
      <c r="P197" s="257">
        <f ca="1">ROUNDDOWN(P183/(Constantes!$C17*(1+$N$187)),0)</f>
        <v>30</v>
      </c>
      <c r="Q197" s="342">
        <f t="shared" ca="1" si="23"/>
        <v>176</v>
      </c>
      <c r="R197" s="189"/>
      <c r="S197" s="189"/>
      <c r="T197" s="189"/>
      <c r="U197" s="189"/>
      <c r="W197" s="12" t="s">
        <v>11</v>
      </c>
      <c r="X197" s="54" t="s">
        <v>33</v>
      </c>
      <c r="Y197" s="252">
        <f ca="1">ROUNDDOWN(Y183/(Constantes!$C17*(1+$Y$187)),0)</f>
        <v>40</v>
      </c>
      <c r="Z197" s="253">
        <f ca="1">ROUNDDOWN(Z183/(Constantes!$C17*(1+$Y$187)),0)</f>
        <v>28</v>
      </c>
      <c r="AA197" s="257">
        <f ca="1">ROUNDDOWN(AA183/(Constantes!$C17*(1+$Y$187)),0)</f>
        <v>16</v>
      </c>
      <c r="AB197" s="342">
        <f t="shared" ca="1" si="24"/>
        <v>84</v>
      </c>
      <c r="AC197" s="189"/>
      <c r="AD197" s="189"/>
      <c r="AE197" s="189"/>
      <c r="AF197" s="189"/>
      <c r="AH197" s="12" t="s">
        <v>11</v>
      </c>
      <c r="AI197" s="54" t="s">
        <v>33</v>
      </c>
      <c r="AJ197" s="252">
        <f ca="1">ROUNDDOWN(AJ183/(Constantes!$C17*(1+$AJ$187)),0)</f>
        <v>34</v>
      </c>
      <c r="AK197" s="253">
        <f ca="1">ROUNDDOWN(AK183/(Constantes!$C17*(1+$AJ$187)),0)</f>
        <v>29</v>
      </c>
      <c r="AL197" s="257">
        <f ca="1">ROUNDDOWN(AL183/(Constantes!$C17*(1+$AJ$187)),0)</f>
        <v>24</v>
      </c>
      <c r="AM197" s="342">
        <f t="shared" ca="1" si="25"/>
        <v>87</v>
      </c>
      <c r="AN197" s="189"/>
      <c r="AO197" s="189"/>
      <c r="AP197" s="189"/>
      <c r="AQ197" s="189"/>
      <c r="AS197" s="12" t="s">
        <v>11</v>
      </c>
      <c r="AT197" s="54" t="s">
        <v>33</v>
      </c>
      <c r="AU197" s="252">
        <f ca="1">ROUNDDOWN(AU183/(Constantes!$C17*(1+$AU$187)),0)</f>
        <v>35</v>
      </c>
      <c r="AV197" s="253">
        <f ca="1">ROUNDDOWN(AV183/(Constantes!$C17*(1+$AU$187)),0)</f>
        <v>27</v>
      </c>
      <c r="AW197" s="257">
        <f ca="1">ROUNDDOWN(AW183/(Constantes!$C17*(1+$AU$187)),0)</f>
        <v>20</v>
      </c>
      <c r="AX197" s="342">
        <f t="shared" ca="1" si="26"/>
        <v>82</v>
      </c>
    </row>
    <row r="198" spans="1:50" ht="21" customHeight="1" x14ac:dyDescent="0.25">
      <c r="A198" s="17"/>
      <c r="B198" s="57" t="s">
        <v>34</v>
      </c>
      <c r="C198" s="256">
        <f ca="1">ROUNDDOWN(C184/(Constantes!$C18*(1+$C$187)),0)</f>
        <v>66</v>
      </c>
      <c r="D198" s="126">
        <f ca="1">ROUNDDOWN(D184/(Constantes!$C18*(1+$C$187)),0)</f>
        <v>24</v>
      </c>
      <c r="E198" s="259">
        <f ca="1">ROUNDDOWN(E184/(Constantes!$C18*(1+$C$187)),0)</f>
        <v>7</v>
      </c>
      <c r="F198" s="344">
        <f t="shared" ca="1" si="22"/>
        <v>97</v>
      </c>
      <c r="L198" s="17"/>
      <c r="M198" s="57" t="s">
        <v>34</v>
      </c>
      <c r="N198" s="256">
        <f ca="1">ROUNDDOWN(N184/(Constantes!$C18*(1+$N$187)),0)</f>
        <v>34</v>
      </c>
      <c r="O198" s="126">
        <f ca="1">ROUNDDOWN(O184/(Constantes!$C18*(1+$N$187)),0)</f>
        <v>23</v>
      </c>
      <c r="P198" s="259">
        <f ca="1">ROUNDDOWN(P184/(Constantes!$C18*(1+$N$187)),0)</f>
        <v>16</v>
      </c>
      <c r="Q198" s="344">
        <f t="shared" ca="1" si="23"/>
        <v>73</v>
      </c>
      <c r="R198" s="189"/>
      <c r="S198" s="189"/>
      <c r="T198" s="189"/>
      <c r="U198" s="189"/>
      <c r="W198" s="17"/>
      <c r="X198" s="57" t="s">
        <v>34</v>
      </c>
      <c r="Y198" s="256">
        <f ca="1">ROUNDDOWN(Y184/(Constantes!$C18*(1+$Y$187)),0)</f>
        <v>21</v>
      </c>
      <c r="Z198" s="126">
        <f ca="1">ROUNDDOWN(Z184/(Constantes!$C18*(1+$Y$187)),0)</f>
        <v>15</v>
      </c>
      <c r="AA198" s="259">
        <f ca="1">ROUNDDOWN(AA184/(Constantes!$C18*(1+$Y$187)),0)</f>
        <v>8</v>
      </c>
      <c r="AB198" s="344">
        <f t="shared" ca="1" si="24"/>
        <v>44</v>
      </c>
      <c r="AC198" s="189"/>
      <c r="AD198" s="189"/>
      <c r="AE198" s="189"/>
      <c r="AF198" s="189"/>
      <c r="AH198" s="17"/>
      <c r="AI198" s="57" t="s">
        <v>34</v>
      </c>
      <c r="AJ198" s="256">
        <f ca="1">ROUNDDOWN(AJ184/(Constantes!$C18*(1+$AJ$187)),0)</f>
        <v>13</v>
      </c>
      <c r="AK198" s="126">
        <f ca="1">ROUNDDOWN(AK184/(Constantes!$C18*(1+$AJ$187)),0)</f>
        <v>5</v>
      </c>
      <c r="AL198" s="259">
        <f ca="1">ROUNDDOWN(AL184/(Constantes!$C18*(1+$AJ$187)),0)</f>
        <v>6</v>
      </c>
      <c r="AM198" s="344">
        <f t="shared" ca="1" si="25"/>
        <v>24</v>
      </c>
      <c r="AN198" s="189"/>
      <c r="AO198" s="189"/>
      <c r="AP198" s="189"/>
      <c r="AQ198" s="189"/>
      <c r="AS198" s="17"/>
      <c r="AT198" s="57" t="s">
        <v>34</v>
      </c>
      <c r="AU198" s="256">
        <f ca="1">ROUNDDOWN(AU184/(Constantes!$C18*(1+$AU$187)),0)</f>
        <v>9</v>
      </c>
      <c r="AV198" s="126">
        <f ca="1">ROUNDDOWN(AV184/(Constantes!$C18*(1+$AU$187)),0)</f>
        <v>21</v>
      </c>
      <c r="AW198" s="259">
        <f ca="1">ROUNDDOWN(AW184/(Constantes!$C18*(1+$AU$187)),0)</f>
        <v>10</v>
      </c>
      <c r="AX198" s="344">
        <f t="shared" ca="1" si="26"/>
        <v>40</v>
      </c>
    </row>
    <row r="199" spans="1:50" ht="21" customHeight="1" thickBot="1" x14ac:dyDescent="0.3">
      <c r="A199" s="15"/>
      <c r="B199" s="56" t="s">
        <v>12</v>
      </c>
      <c r="C199" s="254">
        <f ca="1">ROUNDDOWN(C185/(Constantes!$C19*(1+$C$187)),0)</f>
        <v>0</v>
      </c>
      <c r="D199" s="255">
        <f ca="1">ROUNDDOWN(D185/(Constantes!$C19*(1+$C$187)),0)</f>
        <v>0</v>
      </c>
      <c r="E199" s="258">
        <f ca="1">ROUNDDOWN(E185/(Constantes!$C19*(1+$C$187)),0)</f>
        <v>0</v>
      </c>
      <c r="F199" s="343">
        <f t="shared" ca="1" si="22"/>
        <v>0</v>
      </c>
      <c r="L199" s="15"/>
      <c r="M199" s="56" t="s">
        <v>12</v>
      </c>
      <c r="N199" s="254">
        <f ca="1">ROUNDDOWN(N185/(Constantes!$C19*(1+$N$187)),0)</f>
        <v>0</v>
      </c>
      <c r="O199" s="255">
        <f ca="1">ROUNDDOWN(O185/(Constantes!$C19*(1+$N$187)),0)</f>
        <v>0</v>
      </c>
      <c r="P199" s="258">
        <f ca="1">ROUNDDOWN(P185/(Constantes!$C19*(1+$N$187)),0)</f>
        <v>0</v>
      </c>
      <c r="Q199" s="343">
        <f t="shared" ca="1" si="23"/>
        <v>0</v>
      </c>
      <c r="R199" s="189"/>
      <c r="S199" s="189"/>
      <c r="T199" s="189"/>
      <c r="U199" s="189"/>
      <c r="W199" s="15"/>
      <c r="X199" s="56" t="s">
        <v>12</v>
      </c>
      <c r="Y199" s="254">
        <f ca="1">ROUNDDOWN(Y185/(Constantes!$C19*(1+$Y$187)),0)</f>
        <v>28</v>
      </c>
      <c r="Z199" s="255">
        <f ca="1">ROUNDDOWN(Z185/(Constantes!$C19*(1+$Y$187)),0)</f>
        <v>0</v>
      </c>
      <c r="AA199" s="258">
        <f ca="1">ROUNDDOWN(AA185/(Constantes!$C19*(1+$Y$187)),0)</f>
        <v>29</v>
      </c>
      <c r="AB199" s="343">
        <f t="shared" ca="1" si="24"/>
        <v>57</v>
      </c>
      <c r="AC199" s="189"/>
      <c r="AD199" s="189"/>
      <c r="AE199" s="189"/>
      <c r="AF199" s="189"/>
      <c r="AH199" s="15"/>
      <c r="AI199" s="56" t="s">
        <v>12</v>
      </c>
      <c r="AJ199" s="254">
        <f ca="1">ROUNDDOWN(AJ185/(Constantes!$C19*(1+$AJ$187)),0)</f>
        <v>16</v>
      </c>
      <c r="AK199" s="255">
        <f ca="1">ROUNDDOWN(AK185/(Constantes!$C19*(1+$AJ$187)),0)</f>
        <v>18</v>
      </c>
      <c r="AL199" s="258">
        <f ca="1">ROUNDDOWN(AL185/(Constantes!$C19*(1+$AJ$187)),0)</f>
        <v>10</v>
      </c>
      <c r="AM199" s="343">
        <f t="shared" ca="1" si="25"/>
        <v>44</v>
      </c>
      <c r="AN199" s="189"/>
      <c r="AO199" s="189"/>
      <c r="AP199" s="189"/>
      <c r="AQ199" s="189"/>
      <c r="AS199" s="15"/>
      <c r="AT199" s="56" t="s">
        <v>12</v>
      </c>
      <c r="AU199" s="254">
        <f ca="1">ROUNDDOWN(AU185/(Constantes!$C19*(1+$AU$187)),0)</f>
        <v>16</v>
      </c>
      <c r="AV199" s="255">
        <f ca="1">ROUNDDOWN(AV185/(Constantes!$C19*(1+$AU$187)),0)</f>
        <v>12</v>
      </c>
      <c r="AW199" s="258">
        <f ca="1">ROUNDDOWN(AW185/(Constantes!$C19*(1+$AU$187)),0)</f>
        <v>34</v>
      </c>
      <c r="AX199" s="343">
        <f t="shared" ca="1" si="26"/>
        <v>62</v>
      </c>
    </row>
    <row r="200" spans="1:50" ht="21" customHeight="1" x14ac:dyDescent="0.25"/>
    <row r="201" spans="1:50" ht="21" customHeight="1" x14ac:dyDescent="0.25">
      <c r="B201" s="36" t="s">
        <v>51</v>
      </c>
      <c r="M201" s="36" t="s">
        <v>51</v>
      </c>
      <c r="X201" s="36" t="s">
        <v>51</v>
      </c>
      <c r="AI201" s="36" t="s">
        <v>51</v>
      </c>
      <c r="AR201" s="24"/>
      <c r="AT201" s="36" t="s">
        <v>51</v>
      </c>
    </row>
    <row r="202" spans="1:50" ht="21" customHeight="1" x14ac:dyDescent="0.25">
      <c r="C202" s="75" t="str">
        <f>C222</f>
        <v>junior</v>
      </c>
      <c r="D202" s="75" t="str">
        <f>D222</f>
        <v>senior</v>
      </c>
      <c r="E202" s="75" t="str">
        <f>E222</f>
        <v>premium</v>
      </c>
      <c r="N202" s="221" t="str">
        <f>N222</f>
        <v>junior</v>
      </c>
      <c r="O202" s="221" t="str">
        <f>O222</f>
        <v>senior</v>
      </c>
      <c r="P202" s="221" t="str">
        <f>P222</f>
        <v>premium</v>
      </c>
      <c r="Y202" s="286" t="str">
        <f>Y222</f>
        <v>junior</v>
      </c>
      <c r="Z202" s="286" t="str">
        <f>Z222</f>
        <v>senior</v>
      </c>
      <c r="AA202" s="286" t="str">
        <f>AA222</f>
        <v>premium</v>
      </c>
      <c r="AJ202" s="286" t="str">
        <f>AJ222</f>
        <v>junior</v>
      </c>
      <c r="AK202" s="286" t="str">
        <f>AK222</f>
        <v>senior</v>
      </c>
      <c r="AL202" s="286" t="str">
        <f>AL222</f>
        <v>premium</v>
      </c>
      <c r="AU202" s="287" t="str">
        <f>AU222</f>
        <v>junior</v>
      </c>
      <c r="AV202" s="287" t="str">
        <f>AV222</f>
        <v>senior</v>
      </c>
      <c r="AW202" s="287" t="str">
        <f>AW222</f>
        <v>premium</v>
      </c>
    </row>
    <row r="203" spans="1:50" ht="21" customHeight="1" x14ac:dyDescent="0.25">
      <c r="B203" s="1" t="s">
        <v>237</v>
      </c>
      <c r="C203" s="332">
        <f ca="1">IF(C53&lt;=Constantes!$H$27,Constantes!$H$31,IF(C53&lt;Constantes!$H$28,_xlfn.FORECAST.LINEAR(C53,Constantes!$H$31:$H$32,Constantes!$H$27:$H$28),IF(C53&lt;Constantes!$H$29,_xlfn.FORECAST.LINEAR(C53,Constantes!$H$32:$H$33,Constantes!$H$28:$H$29),Constantes!$H$33)))</f>
        <v>8.1999999999999962E-2</v>
      </c>
      <c r="D203" s="349">
        <f ca="1">IF(D53&lt;=Constantes!$I$27,Constantes!$I$31,IF(D53&lt;Constantes!$I$28,_xlfn.FORECAST.LINEAR(D53,Constantes!$I$31:$I$32,Constantes!$I$27:$I$28),IF(D53&lt;Constantes!$I$29,_xlfn.FORECAST.LINEAR(D53,Constantes!$I$32:$I$33,Constantes!$I$28:$I$29),Constantes!$I$33)))</f>
        <v>3.2499999999999751E-3</v>
      </c>
      <c r="E203" s="349">
        <f ca="1">IF(E53&lt;=Constantes!$J$27,Constantes!$J$31,IF(E53&lt;Constantes!$J$28,_xlfn.FORECAST.LINEAR(E53,Constantes!$J$31:$J$32,Constantes!$J$27:$J$28),IF(E53&lt;Constantes!$J$29,_xlfn.FORECAST.LINEAR(E53,Constantes!$J$32:$J$33,Constantes!$J$28:$J$29),Constantes!$J$33)))</f>
        <v>1.4099999999999946E-2</v>
      </c>
      <c r="M203" s="1" t="s">
        <v>237</v>
      </c>
      <c r="N203" s="332">
        <f ca="1">IF(N53&lt;=Constantes!$H$27,Constantes!$H$31,IF(N53&lt;Constantes!$H$28,_xlfn.FORECAST.LINEAR(N53,Constantes!$H$31:$H$32,Constantes!$H$27:$H$28),IF(N53&lt;Constantes!$H$29,_xlfn.FORECAST.LINEAR(N53,Constantes!$H$32:$H$33,Constantes!$H$28:$H$29),Constantes!$H$33)))</f>
        <v>0.1</v>
      </c>
      <c r="O203" s="349">
        <f ca="1">IF(O53&lt;=Constantes!$I$27,Constantes!$I$31,IF(O53&lt;Constantes!$I$28,_xlfn.FORECAST.LINEAR(O53,Constantes!$I$31:$I$32,Constantes!$I$27:$I$28),IF(O53&lt;Constantes!$I$29,_xlfn.FORECAST.LINEAR(O53,Constantes!$I$32:$I$33,Constantes!$I$28:$I$29),Constantes!$I$33)))</f>
        <v>1.0083333333333305E-2</v>
      </c>
      <c r="P203" s="349">
        <f ca="1">IF(P53&lt;=Constantes!$J$27,Constantes!$J$31,IF(P53&lt;Constantes!$J$28,_xlfn.FORECAST.LINEAR(P53,Constantes!$J$31:$J$32,Constantes!$J$27:$J$28),IF(P53&lt;Constantes!$J$29,_xlfn.FORECAST.LINEAR(P53,Constantes!$J$32:$J$33,Constantes!$J$28:$J$29),Constantes!$J$33)))</f>
        <v>-8.4000000000000463E-3</v>
      </c>
      <c r="X203" s="1" t="s">
        <v>237</v>
      </c>
      <c r="Y203" s="332">
        <f ca="1">IF(Y53&lt;=Constantes!$H$27,Constantes!$H$31,IF(Y53&lt;Constantes!$H$28,_xlfn.FORECAST.LINEAR(Y53,Constantes!$H$31:$H$32,Constantes!$H$27:$H$28),IF(Y53&lt;Constantes!$H$29,_xlfn.FORECAST.LINEAR(Y53,Constantes!$H$32:$H$33,Constantes!$H$28:$H$29),Constantes!$H$33)))</f>
        <v>8.8666666666666616E-2</v>
      </c>
      <c r="Z203" s="349">
        <f ca="1">IF(Z53&lt;=Constantes!$I$27,Constantes!$I$31,IF(Z53&lt;Constantes!$I$28,_xlfn.FORECAST.LINEAR(Z53,Constantes!$I$31:$I$32,Constantes!$I$27:$I$28),IF(Z53&lt;Constantes!$I$29,_xlfn.FORECAST.LINEAR(Z53,Constantes!$I$32:$I$33,Constantes!$I$28:$I$29),Constantes!$I$33)))</f>
        <v>3.0833333333332991E-3</v>
      </c>
      <c r="AA203" s="349">
        <f ca="1">IF(AA53&lt;=Constantes!$J$27,Constantes!$J$31,IF(AA53&lt;Constantes!$J$28,_xlfn.FORECAST.LINEAR(AA53,Constantes!$J$31:$J$32,Constantes!$J$27:$J$28),IF(AA53&lt;Constantes!$J$29,_xlfn.FORECAST.LINEAR(AA53,Constantes!$J$32:$J$33,Constantes!$J$28:$J$29),Constantes!$J$33)))</f>
        <v>-2.7150000000000035E-2</v>
      </c>
      <c r="AI203" s="1" t="s">
        <v>237</v>
      </c>
      <c r="AJ203" s="332">
        <f ca="1">IF(AJ53&lt;=Constantes!$H$27,Constantes!$H$31,IF(AJ53&lt;Constantes!$H$28,_xlfn.FORECAST.LINEAR(AJ53,Constantes!$H$31:$H$32,Constantes!$H$27:$H$28),IF(AJ53&lt;Constantes!$H$29,_xlfn.FORECAST.LINEAR(AJ53,Constantes!$H$32:$H$33,Constantes!$H$28:$H$29),Constantes!$H$33)))</f>
        <v>8.8666666666666616E-2</v>
      </c>
      <c r="AK203" s="349">
        <f ca="1">IF(AK53&lt;=Constantes!$I$27,Constantes!$I$31,IF(AK53&lt;Constantes!$I$28,_xlfn.FORECAST.LINEAR(AK53,Constantes!$I$31:$I$32,Constantes!$I$27:$I$28),IF(AK53&lt;Constantes!$I$29,_xlfn.FORECAST.LINEAR(AK53,Constantes!$I$32:$I$33,Constantes!$I$28:$I$29),Constantes!$I$33)))</f>
        <v>-2.625000000000044E-3</v>
      </c>
      <c r="AL203" s="349">
        <f ca="1">IF(AL53&lt;=Constantes!$J$27,Constantes!$J$31,IF(AL53&lt;Constantes!$J$28,_xlfn.FORECAST.LINEAR(AL53,Constantes!$J$31:$J$32,Constantes!$J$27:$J$28),IF(AL53&lt;Constantes!$J$29,_xlfn.FORECAST.LINEAR(AL53,Constantes!$J$32:$J$33,Constantes!$J$28:$J$29),Constantes!$J$33)))</f>
        <v>-3.7150000000000044E-2</v>
      </c>
      <c r="AT203" s="1" t="s">
        <v>237</v>
      </c>
      <c r="AU203" s="332">
        <f ca="1">IF(AU53&lt;=Constantes!$H$27,Constantes!$H$31,IF(AU53&lt;Constantes!$H$28,_xlfn.FORECAST.LINEAR(AU53,Constantes!$H$31:$H$32,Constantes!$H$27:$H$28),IF(AU53&lt;Constantes!$H$29,_xlfn.FORECAST.LINEAR(AU53,Constantes!$H$32:$H$33,Constantes!$H$28:$H$29),Constantes!$H$33)))</f>
        <v>7.0333333333333303E-2</v>
      </c>
      <c r="AV203" s="349">
        <f ca="1">IF(AV53&lt;=Constantes!$I$27,Constantes!$I$31,IF(AV53&lt;Constantes!$I$28,_xlfn.FORECAST.LINEAR(AV53,Constantes!$I$31:$I$32,Constantes!$I$27:$I$28),IF(AV53&lt;Constantes!$I$29,_xlfn.FORECAST.LINEAR(AV53,Constantes!$I$32:$I$33,Constantes!$I$28:$I$29),Constantes!$I$33)))</f>
        <v>-9.37500000000005E-3</v>
      </c>
      <c r="AW203" s="349">
        <f ca="1">IF(AW53&lt;=Constantes!$J$27,Constantes!$J$31,IF(AW53&lt;Constantes!$J$28,_xlfn.FORECAST.LINEAR(AW53,Constantes!$J$31:$J$32,Constantes!$J$27:$J$28),IF(AW53&lt;Constantes!$J$29,_xlfn.FORECAST.LINEAR(AW53,Constantes!$J$32:$J$33,Constantes!$J$28:$J$29),Constantes!$J$33)))</f>
        <v>-3.5900000000000043E-2</v>
      </c>
    </row>
    <row r="204" spans="1:50" ht="21" customHeight="1" x14ac:dyDescent="0.25">
      <c r="A204" s="345" t="s">
        <v>336</v>
      </c>
      <c r="B204" s="1" t="s">
        <v>273</v>
      </c>
      <c r="C204" s="139">
        <f>Décisions!C103</f>
        <v>0</v>
      </c>
      <c r="D204" s="139">
        <f>Décisions!D103</f>
        <v>0</v>
      </c>
      <c r="E204" s="139">
        <f>Décisions!E103</f>
        <v>0</v>
      </c>
      <c r="F204" s="139">
        <f>Décisions!F103</f>
        <v>0</v>
      </c>
      <c r="M204" s="1" t="s">
        <v>273</v>
      </c>
      <c r="N204" s="139">
        <f>Décisions!C115</f>
        <v>0.05</v>
      </c>
      <c r="O204" s="139">
        <f>Décisions!D115</f>
        <v>0</v>
      </c>
      <c r="P204" s="139">
        <f>Décisions!E115</f>
        <v>0</v>
      </c>
      <c r="Q204" s="139">
        <f>Décisions!F115</f>
        <v>0</v>
      </c>
      <c r="R204" s="708"/>
      <c r="S204" s="708"/>
      <c r="T204" s="708"/>
      <c r="U204" s="708"/>
      <c r="X204" s="1" t="s">
        <v>273</v>
      </c>
      <c r="Y204" s="139">
        <f>Décisions!C127</f>
        <v>0</v>
      </c>
      <c r="Z204" s="139">
        <f>Décisions!D127</f>
        <v>0</v>
      </c>
      <c r="AA204" s="139">
        <f>Décisions!E127</f>
        <v>0.08</v>
      </c>
      <c r="AB204" s="139">
        <f>Décisions!F127</f>
        <v>0</v>
      </c>
      <c r="AC204" s="708"/>
      <c r="AD204" s="708"/>
      <c r="AE204" s="708"/>
      <c r="AF204" s="708"/>
      <c r="AI204" s="1" t="s">
        <v>273</v>
      </c>
      <c r="AJ204" s="139">
        <f>Décisions!C139</f>
        <v>0</v>
      </c>
      <c r="AK204" s="139">
        <f>Décisions!D139</f>
        <v>0</v>
      </c>
      <c r="AL204" s="139">
        <f>Décisions!E139</f>
        <v>0</v>
      </c>
      <c r="AM204" s="139">
        <f>Décisions!F139</f>
        <v>0.08</v>
      </c>
      <c r="AN204" s="708"/>
      <c r="AO204" s="708"/>
      <c r="AP204" s="708"/>
      <c r="AQ204" s="708"/>
      <c r="AT204" s="1" t="s">
        <v>273</v>
      </c>
      <c r="AU204" s="139">
        <f>Décisions!C151</f>
        <v>0</v>
      </c>
      <c r="AV204" s="139">
        <f>Décisions!D151</f>
        <v>0</v>
      </c>
      <c r="AW204" s="139">
        <f>Décisions!E151</f>
        <v>0.05</v>
      </c>
      <c r="AX204" s="139">
        <f>Décisions!F151</f>
        <v>0</v>
      </c>
    </row>
    <row r="205" spans="1:50" ht="21" customHeight="1" x14ac:dyDescent="0.25">
      <c r="B205" s="1" t="s">
        <v>245</v>
      </c>
      <c r="C205" s="139">
        <f>IF(Décisions!I24&lt;&gt;0,Constantes!$E$58,0)</f>
        <v>0</v>
      </c>
      <c r="D205" s="49" t="s">
        <v>339</v>
      </c>
      <c r="E205" s="49"/>
      <c r="M205" s="1" t="s">
        <v>245</v>
      </c>
      <c r="N205" s="139">
        <f>IF(Décisions!T24&lt;&gt;0,Constantes!$E$58,0)</f>
        <v>0.1</v>
      </c>
      <c r="O205" s="49" t="s">
        <v>339</v>
      </c>
      <c r="P205" s="49"/>
      <c r="X205" s="1" t="s">
        <v>245</v>
      </c>
      <c r="Y205" s="139">
        <f>IF(Décisions!AE24&lt;&gt;0,Constantes!$E$58,0)</f>
        <v>0</v>
      </c>
      <c r="Z205" s="49" t="s">
        <v>339</v>
      </c>
      <c r="AA205" s="49"/>
      <c r="AI205" s="1" t="s">
        <v>245</v>
      </c>
      <c r="AJ205" s="139">
        <f>IF(Décisions!AP24&lt;&gt;0,Constantes!$E$58,0)</f>
        <v>0</v>
      </c>
      <c r="AK205" s="49" t="s">
        <v>339</v>
      </c>
      <c r="AT205" s="1" t="s">
        <v>245</v>
      </c>
      <c r="AU205" s="139">
        <f>IF(Décisions!BA24&lt;&gt;0,Constantes!$E$58,0)</f>
        <v>0</v>
      </c>
      <c r="AV205" s="49" t="s">
        <v>339</v>
      </c>
    </row>
    <row r="206" spans="1:50" ht="21" customHeight="1" x14ac:dyDescent="0.25">
      <c r="B206" s="31" t="s">
        <v>424</v>
      </c>
      <c r="C206" s="139">
        <f>IF(Décisions!F10&lt;=Constantes!$F$99,Constantes!$I$99,IF(Décisions!F10&lt;Constantes!$G$99,_xlfn.FORECAST.LINEAR(Décisions!F10,Constantes!$I$99:$J$99,Constantes!$F$99:$G$99),IF(Décisions!F10&lt;Constantes!$H$99,_xlfn.FORECAST.LINEAR(Décisions!F10,Constantes!$J$99:$K$99,Constantes!$G$99:$H$99),Constantes!$K$99)))</f>
        <v>0</v>
      </c>
      <c r="D206" s="49"/>
      <c r="E206" s="49"/>
      <c r="M206" s="31" t="s">
        <v>424</v>
      </c>
      <c r="N206" s="139">
        <f>IF(Décisions!Q10&lt;=Constantes!$F$99,Constantes!$I$99,IF(Décisions!Q10&lt;Constantes!$G$99,_xlfn.FORECAST.LINEAR(Décisions!Q10,Constantes!$I$99:$J$99,Constantes!$F$99:$G$99),IF(Décisions!Q10&lt;Constantes!$H$99,_xlfn.FORECAST.LINEAR(Décisions!Q10,Constantes!$J$99:$K$99,Constantes!$G$99:$H$99),Constantes!$K$99)))</f>
        <v>0</v>
      </c>
      <c r="O206" s="49"/>
      <c r="P206" s="49"/>
      <c r="X206" s="31" t="s">
        <v>424</v>
      </c>
      <c r="Y206" s="139">
        <f>IF(Décisions!AB10&lt;=Constantes!$F$99,Constantes!$I$99,IF(Décisions!AB10&lt;Constantes!$G$99,_xlfn.FORECAST.LINEAR(Décisions!AB10,Constantes!$I$99:$J$99,Constantes!$F$99:$G$99),IF(Décisions!AB10&lt;Constantes!$H$99,_xlfn.FORECAST.LINEAR(Décisions!AB10,Constantes!$J$99:$K$99,Constantes!$G$99:$H$99),Constantes!$K$99)))</f>
        <v>0</v>
      </c>
      <c r="Z206" s="49"/>
      <c r="AA206" s="49"/>
      <c r="AI206" s="31" t="s">
        <v>424</v>
      </c>
      <c r="AJ206" s="139">
        <f>IF(Décisions!AM10&lt;=Constantes!$F$99,Constantes!$I$99,IF(Décisions!AM10&lt;Constantes!$G$99,_xlfn.FORECAST.LINEAR(Décisions!AM10,Constantes!$I$99:$J$99,Constantes!$F$99:$G$99),IF(Décisions!AM10&lt;Constantes!$H$99,_xlfn.FORECAST.LINEAR(Décisions!AM10,Constantes!$J$99:$K$99,Constantes!$G$99:$H$99),Constantes!$K$99)))</f>
        <v>0</v>
      </c>
      <c r="AK206" s="49"/>
      <c r="AT206" s="31" t="s">
        <v>424</v>
      </c>
      <c r="AU206" s="139">
        <f>IF(Décisions!AX10&lt;=Constantes!$F$99,Constantes!$I$99,IF(Décisions!AX10&lt;Constantes!$G$99,_xlfn.FORECAST.LINEAR(Décisions!AX10,Constantes!$I$99:$J$99,Constantes!$F$99:$G$99),IF(Décisions!AX10&lt;Constantes!$H$99,_xlfn.FORECAST.LINEAR(Décisions!AX10,Constantes!$J$99:$K$99,Constantes!$G$99:$H$99),Constantes!$K$99)))</f>
        <v>0</v>
      </c>
      <c r="AV206" s="49"/>
    </row>
    <row r="207" spans="1:50" ht="21" customHeight="1" x14ac:dyDescent="0.25">
      <c r="B207" s="1"/>
      <c r="M207" s="1"/>
      <c r="X207" s="1"/>
      <c r="AI207" s="1"/>
      <c r="AT207" s="1"/>
    </row>
    <row r="208" spans="1:50" ht="21" customHeight="1" x14ac:dyDescent="0.25">
      <c r="B208" s="36" t="s">
        <v>254</v>
      </c>
      <c r="M208" s="36" t="s">
        <v>254</v>
      </c>
      <c r="X208" s="36" t="s">
        <v>254</v>
      </c>
      <c r="AI208" s="36" t="s">
        <v>254</v>
      </c>
      <c r="AT208" s="36" t="s">
        <v>254</v>
      </c>
    </row>
    <row r="209" spans="1:49" ht="21" customHeight="1" thickBot="1" x14ac:dyDescent="0.3">
      <c r="B209" s="1"/>
      <c r="C209" s="75" t="str">
        <f>C202</f>
        <v>junior</v>
      </c>
      <c r="D209" s="75" t="str">
        <f>D202</f>
        <v>senior</v>
      </c>
      <c r="E209" s="75" t="str">
        <f>E202</f>
        <v>premium</v>
      </c>
      <c r="M209" s="1"/>
      <c r="N209" s="221" t="str">
        <f>N202</f>
        <v>junior</v>
      </c>
      <c r="O209" s="221" t="str">
        <f>O202</f>
        <v>senior</v>
      </c>
      <c r="P209" s="221" t="str">
        <f>P202</f>
        <v>premium</v>
      </c>
      <c r="X209" s="1"/>
      <c r="Y209" s="286" t="str">
        <f>Y202</f>
        <v>junior</v>
      </c>
      <c r="Z209" s="286" t="str">
        <f>Z202</f>
        <v>senior</v>
      </c>
      <c r="AA209" s="286" t="str">
        <f>AA202</f>
        <v>premium</v>
      </c>
      <c r="AI209" s="1"/>
      <c r="AJ209" s="286" t="str">
        <f>AJ202</f>
        <v>junior</v>
      </c>
      <c r="AK209" s="286" t="str">
        <f>AK202</f>
        <v>senior</v>
      </c>
      <c r="AL209" s="286" t="str">
        <f>AL202</f>
        <v>premium</v>
      </c>
      <c r="AT209" s="1"/>
      <c r="AU209" s="287" t="str">
        <f>AU202</f>
        <v>junior</v>
      </c>
      <c r="AV209" s="287" t="str">
        <f>AV202</f>
        <v>senior</v>
      </c>
      <c r="AW209" s="287" t="str">
        <f>AW202</f>
        <v>premium</v>
      </c>
    </row>
    <row r="210" spans="1:49" ht="21" customHeight="1" x14ac:dyDescent="0.25">
      <c r="A210" s="12" t="s">
        <v>4</v>
      </c>
      <c r="B210" s="54" t="s">
        <v>5</v>
      </c>
      <c r="C210" s="332">
        <f>IF(Décisions!D47&lt;&gt;0,IF(Décisions!I47&lt;=Constantes!$E10,Constantes!$G10,IF(Décisions!I47&lt;Constantes!$F10,_xlfn.FORECAST.LINEAR(Décisions!I47,Constantes!$H10:$I10,Constantes!$E10:$F10),Constantes!$J10)),0)</f>
        <v>0.15</v>
      </c>
      <c r="D210" s="332">
        <f>IF(Décisions!D63&lt;&gt;0,IF(Décisions!I63&lt;=Constantes!$E10,Constantes!$G10,IF(Décisions!I63&lt;Constantes!$F10,_xlfn.FORECAST.LINEAR(Décisions!I63,Constantes!$H10:$I10,Constantes!$E10:$F10),Constantes!$J10)),0)</f>
        <v>0.05</v>
      </c>
      <c r="E210" s="332">
        <f>IF(Décisions!D79&lt;&gt;0,IF(Décisions!I79&lt;=Constantes!$E10,Constantes!$G10,IF(Décisions!I79&lt;Constantes!$F10,_xlfn.FORECAST.LINEAR(Décisions!I79,Constantes!$H10:$I10,Constantes!$E10:$F10),Constantes!$J10)),0)</f>
        <v>0.05</v>
      </c>
      <c r="L210" s="12" t="s">
        <v>4</v>
      </c>
      <c r="M210" s="54" t="s">
        <v>5</v>
      </c>
      <c r="N210" s="332">
        <f>IF(Décisions!D47&lt;&gt;0,IF(Décisions!T47&lt;=Constantes!$E10,Constantes!$G10,IF(Décisions!T47&lt;Constantes!$F10,_xlfn.FORECAST.LINEAR(Décisions!T47,Constantes!$H10:$I10,Constantes!$E10:$F10),Constantes!$J10)),0)</f>
        <v>0.05</v>
      </c>
      <c r="O210" s="332">
        <f>IF(Décisions!O63&lt;&gt;0,IF(Décisions!T63&lt;=Constantes!$E10,Constantes!$G10,IF(Décisions!T63&lt;Constantes!$F10,_xlfn.FORECAST.LINEAR(Décisions!T63,Constantes!$H10:$I10,Constantes!$E10:$F10),Constantes!$J10)),0)</f>
        <v>0.05</v>
      </c>
      <c r="P210" s="332">
        <f>IF(Décisions!O79&lt;&gt;0,IF(Décisions!T79&lt;=Constantes!$E10,Constantes!$G10,IF(Décisions!T79&lt;Constantes!$F10,_xlfn.FORECAST.LINEAR(Décisions!T79,Constantes!$H10:$I10,Constantes!$E10:$F10),Constantes!$J10)),0)</f>
        <v>0.05</v>
      </c>
      <c r="W210" s="12" t="s">
        <v>4</v>
      </c>
      <c r="X210" s="54" t="s">
        <v>5</v>
      </c>
      <c r="Y210" s="332">
        <f>IF(Décisions!Z47&lt;&gt;0,IF(Décisions!AE47&lt;=Constantes!$E10,Constantes!$G10,IF(Décisions!AE47&lt;Constantes!$F10,_xlfn.FORECAST.LINEAR(Décisions!AE47,Constantes!$H10:$I10,Constantes!$E10:$F10),Constantes!$J10)),0)</f>
        <v>0.05</v>
      </c>
      <c r="Z210" s="332">
        <f>IF(Décisions!Z63&lt;&gt;0,IF(Décisions!AE63&lt;=Constantes!$E10,Constantes!$G10,IF(Décisions!AE63&lt;Constantes!$F10,_xlfn.FORECAST.LINEAR(Décisions!AE63,Constantes!$H10:$I10,Constantes!$E10:$F10),Constantes!$J10)),0)</f>
        <v>0.05</v>
      </c>
      <c r="AA210" s="332">
        <f>IF(Décisions!Z79&lt;&gt;0,IF(Décisions!AE79&lt;=Constantes!$E10,Constantes!$G10,IF(Décisions!AE79&lt;Constantes!$F10,_xlfn.FORECAST.LINEAR(Décisions!AE79,Constantes!$H10:$I10,Constantes!$E10:$F10),Constantes!$J10)),0)</f>
        <v>0.05</v>
      </c>
      <c r="AH210" s="12" t="s">
        <v>4</v>
      </c>
      <c r="AI210" s="54" t="s">
        <v>5</v>
      </c>
      <c r="AJ210" s="332">
        <f>IF(Décisions!AK47&lt;&gt;0,IF(Décisions!AP47&lt;=Constantes!$E10,Constantes!$G10,IF(Décisions!AP47&lt;Constantes!$F10,_xlfn.FORECAST.LINEAR(Décisions!AP47,Constantes!$H10:$I10,Constantes!$E10:$F10),Constantes!$J10)),0)</f>
        <v>0.05</v>
      </c>
      <c r="AK210" s="332">
        <f>IF(Décisions!AK63&lt;&gt;0,IF(Décisions!AP63&lt;=Constantes!$E10,Constantes!$G10,IF(Décisions!AP63&lt;Constantes!$F10,_xlfn.FORECAST.LINEAR(Décisions!AP63,Constantes!$H10:$I10,Constantes!$E10:$F10),Constantes!$J10)),0)</f>
        <v>0.05</v>
      </c>
      <c r="AL210" s="332">
        <f>IF(Décisions!AK79&lt;&gt;0,IF(Décisions!AP79&lt;=Constantes!$E10,Constantes!$G10,IF(Décisions!AP79&lt;Constantes!$F10,_xlfn.FORECAST.LINEAR(Décisions!AP79,Constantes!$H10:$I10,Constantes!$E10:$F10),Constantes!$J10)),0)</f>
        <v>0.05</v>
      </c>
      <c r="AS210" s="12" t="s">
        <v>4</v>
      </c>
      <c r="AT210" s="54" t="s">
        <v>5</v>
      </c>
      <c r="AU210" s="332">
        <f>IF(Décisions!AV47&lt;&gt;0,IF(Décisions!BA47&lt;=Constantes!$E10,Constantes!$G10,IF(Décisions!BA47&lt;Constantes!$F10,_xlfn.FORECAST.LINEAR(Décisions!BA47,Constantes!$H10:$I10,Constantes!$E10:$F10),Constantes!$J10)),0)</f>
        <v>0.05</v>
      </c>
      <c r="AV210" s="332">
        <f>IF(Décisions!AV63&lt;&gt;0,IF(Décisions!BA63&lt;=Constantes!$E10,Constantes!$G10,IF(Décisions!BA63&lt;Constantes!$F10,_xlfn.FORECAST.LINEAR(Décisions!BA63,Constantes!$H10:$I10,Constantes!$E10:$F10),Constantes!$J10)),0)</f>
        <v>0.05</v>
      </c>
      <c r="AW210" s="332">
        <f>IF(Décisions!AV79&lt;&gt;0,IF(Décisions!BA79&lt;=Constantes!$E10,Constantes!$G10,IF(Décisions!BA79&lt;Constantes!$F10,_xlfn.FORECAST.LINEAR(Décisions!BA79,Constantes!$H10:$I10,Constantes!$E10:$F10),Constantes!$J10)),0)</f>
        <v>0.05</v>
      </c>
    </row>
    <row r="211" spans="1:49" ht="21" customHeight="1" thickBot="1" x14ac:dyDescent="0.3">
      <c r="A211" s="15"/>
      <c r="B211" s="56" t="s">
        <v>31</v>
      </c>
      <c r="C211" s="332">
        <f>IF(Décisions!D48&lt;&gt;0,IF(Décisions!I48&lt;=Constantes!$E11,Constantes!$G11,IF(Décisions!I48&lt;Constantes!$F11,_xlfn.FORECAST.LINEAR(Décisions!I48,Constantes!$H11:$I11,Constantes!$E11:$F11),Constantes!$J11)),0)</f>
        <v>0</v>
      </c>
      <c r="D211" s="332">
        <f>IF(Décisions!D64&lt;&gt;0,IF(Décisions!I64&lt;=Constantes!$E11,Constantes!$G11,IF(Décisions!I64&lt;Constantes!$F11,_xlfn.FORECAST.LINEAR(Décisions!I64,Constantes!$H11:$I11,Constantes!$E11:$F11),Constantes!$J11)),0)</f>
        <v>0.05</v>
      </c>
      <c r="E211" s="332">
        <f>IF(Décisions!D80&lt;&gt;0,IF(Décisions!I80&lt;=Constantes!$E11,Constantes!$G11,IF(Décisions!I80&lt;Constantes!$F11,_xlfn.FORECAST.LINEAR(Décisions!I80,Constantes!$H11:$I11,Constantes!$E11:$F11),Constantes!$J11)),0)</f>
        <v>0.05</v>
      </c>
      <c r="L211" s="15"/>
      <c r="M211" s="56" t="s">
        <v>31</v>
      </c>
      <c r="N211" s="332">
        <f>IF(Décisions!D48&lt;&gt;0,IF(Décisions!T48&lt;=Constantes!$E11,Constantes!$G11,IF(Décisions!T48&lt;Constantes!$F11,_xlfn.FORECAST.LINEAR(Décisions!T48,Constantes!$H11:$I11,Constantes!$E11:$F11),Constantes!$J11)),0)</f>
        <v>0</v>
      </c>
      <c r="O211" s="332">
        <f>IF(Décisions!O64&lt;&gt;0,IF(Décisions!T64&lt;=Constantes!$E11,Constantes!$G11,IF(Décisions!T64&lt;Constantes!$F11,_xlfn.FORECAST.LINEAR(Décisions!T64,Constantes!$H11:$I11,Constantes!$E11:$F11),Constantes!$J11)),0)</f>
        <v>0.05</v>
      </c>
      <c r="P211" s="332">
        <f>IF(Décisions!O80&lt;&gt;0,IF(Décisions!T80&lt;=Constantes!$E11,Constantes!$G11,IF(Décisions!T80&lt;Constantes!$F11,_xlfn.FORECAST.LINEAR(Décisions!T80,Constantes!$H11:$I11,Constantes!$E11:$F11),Constantes!$J11)),0)</f>
        <v>0.05</v>
      </c>
      <c r="W211" s="15"/>
      <c r="X211" s="56" t="s">
        <v>31</v>
      </c>
      <c r="Y211" s="332">
        <f>IF(Décisions!Z48&lt;&gt;0,IF(Décisions!AE48&lt;=Constantes!$E11,Constantes!$G11,IF(Décisions!AE48&lt;Constantes!$F11,_xlfn.FORECAST.LINEAR(Décisions!AE48,Constantes!$H11:$I11,Constantes!$E11:$F11),Constantes!$J11)),0)</f>
        <v>0.05</v>
      </c>
      <c r="Z211" s="332">
        <f>IF(Décisions!Z64&lt;&gt;0,IF(Décisions!AE64&lt;=Constantes!$E11,Constantes!$G11,IF(Décisions!AE64&lt;Constantes!$F11,_xlfn.FORECAST.LINEAR(Décisions!AE64,Constantes!$H11:$I11,Constantes!$E11:$F11),Constantes!$J11)),0)</f>
        <v>0.05</v>
      </c>
      <c r="AA211" s="332">
        <f>IF(Décisions!Z80&lt;&gt;0,IF(Décisions!AE80&lt;=Constantes!$E11,Constantes!$G11,IF(Décisions!AE80&lt;Constantes!$F11,_xlfn.FORECAST.LINEAR(Décisions!AE80,Constantes!$H11:$I11,Constantes!$E11:$F11),Constantes!$J11)),0)</f>
        <v>0.05</v>
      </c>
      <c r="AH211" s="15"/>
      <c r="AI211" s="56" t="s">
        <v>31</v>
      </c>
      <c r="AJ211" s="332">
        <f>IF(Décisions!AK48&lt;&gt;0,IF(Décisions!AP48&lt;=Constantes!$E11,Constantes!$G11,IF(Décisions!AP48&lt;Constantes!$F11,_xlfn.FORECAST.LINEAR(Décisions!AP48,Constantes!$H11:$I11,Constantes!$E11:$F11),Constantes!$J11)),0)</f>
        <v>0.05</v>
      </c>
      <c r="AK211" s="332">
        <f>IF(Décisions!AK64&lt;&gt;0,IF(Décisions!AP64&lt;=Constantes!$E11,Constantes!$G11,IF(Décisions!AP64&lt;Constantes!$F11,_xlfn.FORECAST.LINEAR(Décisions!AP64,Constantes!$H11:$I11,Constantes!$E11:$F11),Constantes!$J11)),0)</f>
        <v>0.05</v>
      </c>
      <c r="AL211" s="332">
        <f>IF(Décisions!AK80&lt;&gt;0,IF(Décisions!AP80&lt;=Constantes!$E11,Constantes!$G11,IF(Décisions!AP80&lt;Constantes!$F11,_xlfn.FORECAST.LINEAR(Décisions!AP80,Constantes!$H11:$I11,Constantes!$E11:$F11),Constantes!$J11)),0)</f>
        <v>0.05</v>
      </c>
      <c r="AS211" s="15"/>
      <c r="AT211" s="56" t="s">
        <v>31</v>
      </c>
      <c r="AU211" s="332">
        <f>IF(Décisions!AV48&lt;&gt;0,IF(Décisions!BA48&lt;=Constantes!$E11,Constantes!$G11,IF(Décisions!BA48&lt;Constantes!$F11,_xlfn.FORECAST.LINEAR(Décisions!BA48,Constantes!$H11:$I11,Constantes!$E11:$F11),Constantes!$J11)),0)</f>
        <v>0.05</v>
      </c>
      <c r="AV211" s="332">
        <f>IF(Décisions!AV64&lt;&gt;0,IF(Décisions!BA64&lt;=Constantes!$E11,Constantes!$G11,IF(Décisions!BA64&lt;Constantes!$F11,_xlfn.FORECAST.LINEAR(Décisions!BA64,Constantes!$H11:$I11,Constantes!$E11:$F11),Constantes!$J11)),0)</f>
        <v>0.05</v>
      </c>
      <c r="AW211" s="332">
        <f>IF(Décisions!AV80&lt;&gt;0,IF(Décisions!BA80&lt;=Constantes!$E11,Constantes!$G11,IF(Décisions!BA80&lt;Constantes!$F11,_xlfn.FORECAST.LINEAR(Décisions!BA80,Constantes!$H11:$I11,Constantes!$E11:$F11),Constantes!$J11)),0)</f>
        <v>0.05</v>
      </c>
    </row>
    <row r="212" spans="1:49" ht="21" customHeight="1" x14ac:dyDescent="0.25">
      <c r="A212" s="12" t="s">
        <v>6</v>
      </c>
      <c r="B212" s="54" t="s">
        <v>7</v>
      </c>
      <c r="C212" s="332">
        <f>IF(Décisions!D49&lt;&gt;0,IF(Décisions!I49&lt;=Constantes!$E12,Constantes!$G12,IF(Décisions!I49&lt;Constantes!$F12,_xlfn.FORECAST.LINEAR(Décisions!I49,Constantes!$H12:$I12,Constantes!$E12:$F12),Constantes!$J12)),0)</f>
        <v>0</v>
      </c>
      <c r="D212" s="332">
        <f>IF(Décisions!D65&lt;&gt;0,IF(Décisions!I65&lt;=Constantes!$E12,Constantes!$G12,IF(Décisions!I65&lt;Constantes!$F12,_xlfn.FORECAST.LINEAR(Décisions!I65,Constantes!$H12:$I12,Constantes!$E12:$F12),Constantes!$J12)),0)</f>
        <v>0.4</v>
      </c>
      <c r="E212" s="332">
        <f>IF(Décisions!D81&lt;&gt;0,IF(Décisions!I81&lt;=Constantes!$E12,Constantes!$G12,IF(Décisions!I81&lt;Constantes!$F12,_xlfn.FORECAST.LINEAR(Décisions!I81,Constantes!$H12:$I12,Constantes!$E12:$F12),Constantes!$J12)),0)</f>
        <v>0.4</v>
      </c>
      <c r="L212" s="12" t="s">
        <v>6</v>
      </c>
      <c r="M212" s="54" t="s">
        <v>7</v>
      </c>
      <c r="N212" s="332">
        <f>IF(Décisions!D49&lt;&gt;0,IF(Décisions!T49&lt;=Constantes!$E12,Constantes!$G12,IF(Décisions!T49&lt;Constantes!$F12,_xlfn.FORECAST.LINEAR(Décisions!T49,Constantes!$H12:$I12,Constantes!$E12:$F12),Constantes!$J12)),0)</f>
        <v>0</v>
      </c>
      <c r="O212" s="332">
        <f>IF(Décisions!O65&lt;&gt;0,IF(Décisions!T65&lt;=Constantes!$E12,Constantes!$G12,IF(Décisions!T65&lt;Constantes!$F12,_xlfn.FORECAST.LINEAR(Décisions!T65,Constantes!$H12:$I12,Constantes!$E12:$F12),Constantes!$J12)),0)</f>
        <v>7.0000000000000007E-2</v>
      </c>
      <c r="P212" s="332">
        <f>IF(Décisions!O81&lt;&gt;0,IF(Décisions!T81&lt;=Constantes!$E12,Constantes!$G12,IF(Décisions!T81&lt;Constantes!$F12,_xlfn.FORECAST.LINEAR(Décisions!T81,Constantes!$H12:$I12,Constantes!$E12:$F12),Constantes!$J12)),0)</f>
        <v>7.0000000000000007E-2</v>
      </c>
      <c r="W212" s="12" t="s">
        <v>6</v>
      </c>
      <c r="X212" s="54" t="s">
        <v>7</v>
      </c>
      <c r="Y212" s="332">
        <f>IF(Décisions!Z49&lt;&gt;0,IF(Décisions!AE49&lt;=Constantes!$E12,Constantes!$G12,IF(Décisions!AE49&lt;Constantes!$F12,_xlfn.FORECAST.LINEAR(Décisions!AE49,Constantes!$H12:$I12,Constantes!$E12:$F12),Constantes!$J12)),0)</f>
        <v>0</v>
      </c>
      <c r="Z212" s="332">
        <f>IF(Décisions!Z65&lt;&gt;0,IF(Décisions!AE65&lt;=Constantes!$E12,Constantes!$G12,IF(Décisions!AE65&lt;Constantes!$F12,_xlfn.FORECAST.LINEAR(Décisions!AE65,Constantes!$H12:$I12,Constantes!$E12:$F12),Constantes!$J12)),0)</f>
        <v>7.0000000000000007E-2</v>
      </c>
      <c r="AA212" s="332">
        <f>IF(Décisions!Z81&lt;&gt;0,IF(Décisions!AE81&lt;=Constantes!$E12,Constantes!$G12,IF(Décisions!AE81&lt;Constantes!$F12,_xlfn.FORECAST.LINEAR(Décisions!AE81,Constantes!$H12:$I12,Constantes!$E12:$F12),Constantes!$J12)),0)</f>
        <v>7.0000000000000007E-2</v>
      </c>
      <c r="AH212" s="12" t="s">
        <v>6</v>
      </c>
      <c r="AI212" s="54" t="s">
        <v>7</v>
      </c>
      <c r="AJ212" s="332">
        <f>IF(Décisions!AK49&lt;&gt;0,IF(Décisions!AP49&lt;=Constantes!$E12,Constantes!$G12,IF(Décisions!AP49&lt;Constantes!$F12,_xlfn.FORECAST.LINEAR(Décisions!AP49,Constantes!$H12:$I12,Constantes!$E12:$F12),Constantes!$J12)),0)</f>
        <v>7.0000000000000007E-2</v>
      </c>
      <c r="AK212" s="332">
        <f>IF(Décisions!AK65&lt;&gt;0,IF(Décisions!AP65&lt;=Constantes!$E12,Constantes!$G12,IF(Décisions!AP65&lt;Constantes!$F12,_xlfn.FORECAST.LINEAR(Décisions!AP65,Constantes!$H12:$I12,Constantes!$E12:$F12),Constantes!$J12)),0)</f>
        <v>7.0000000000000007E-2</v>
      </c>
      <c r="AL212" s="332">
        <f>IF(Décisions!AK81&lt;&gt;0,IF(Décisions!AP81&lt;=Constantes!$E12,Constantes!$G12,IF(Décisions!AP81&lt;Constantes!$F12,_xlfn.FORECAST.LINEAR(Décisions!AP81,Constantes!$H12:$I12,Constantes!$E12:$F12),Constantes!$J12)),0)</f>
        <v>7.0000000000000007E-2</v>
      </c>
      <c r="AS212" s="12" t="s">
        <v>6</v>
      </c>
      <c r="AT212" s="54" t="s">
        <v>7</v>
      </c>
      <c r="AU212" s="332">
        <f>IF(Décisions!AV49&lt;&gt;0,IF(Décisions!BA49&lt;=Constantes!$E12,Constantes!$G12,IF(Décisions!BA49&lt;Constantes!$F12,_xlfn.FORECAST.LINEAR(Décisions!BA49,Constantes!$H12:$I12,Constantes!$E12:$F12),Constantes!$J12)),0)</f>
        <v>7.0000000000000007E-2</v>
      </c>
      <c r="AV212" s="332">
        <f>IF(Décisions!AV65&lt;&gt;0,IF(Décisions!BA65&lt;=Constantes!$E12,Constantes!$G12,IF(Décisions!BA65&lt;Constantes!$F12,_xlfn.FORECAST.LINEAR(Décisions!BA65,Constantes!$H12:$I12,Constantes!$E12:$F12),Constantes!$J12)),0)</f>
        <v>7.0000000000000007E-2</v>
      </c>
      <c r="AW212" s="332">
        <f>IF(Décisions!AV81&lt;&gt;0,IF(Décisions!BA81&lt;=Constantes!$E12,Constantes!$G12,IF(Décisions!BA81&lt;Constantes!$F12,_xlfn.FORECAST.LINEAR(Décisions!BA81,Constantes!$H12:$I12,Constantes!$E12:$F12),Constantes!$J12)),0)</f>
        <v>7.0000000000000007E-2</v>
      </c>
    </row>
    <row r="213" spans="1:49" ht="21" customHeight="1" x14ac:dyDescent="0.25">
      <c r="A213" s="17"/>
      <c r="B213" s="57" t="s">
        <v>8</v>
      </c>
      <c r="C213" s="332">
        <f>IF(Décisions!D50&lt;&gt;0,IF(Décisions!I50&lt;=Constantes!$E13,Constantes!$G13,IF(Décisions!I50&lt;Constantes!$F13,_xlfn.FORECAST.LINEAR(Décisions!I50,Constantes!$H13:$I13,Constantes!$E13:$F13),Constantes!$J13)),0)</f>
        <v>0.05</v>
      </c>
      <c r="D213" s="332">
        <f>IF(Décisions!D66&lt;&gt;0,IF(Décisions!I66&lt;=Constantes!$E13,Constantes!$G13,IF(Décisions!I66&lt;Constantes!$F13,_xlfn.FORECAST.LINEAR(Décisions!I66,Constantes!$H13:$I13,Constantes!$E13:$F13),Constantes!$J13)),0)</f>
        <v>0.05</v>
      </c>
      <c r="E213" s="332">
        <f>IF(Décisions!D82&lt;&gt;0,IF(Décisions!I82&lt;=Constantes!$E13,Constantes!$G13,IF(Décisions!I82&lt;Constantes!$F13,_xlfn.FORECAST.LINEAR(Décisions!I82,Constantes!$H13:$I13,Constantes!$E13:$F13),Constantes!$J13)),0)</f>
        <v>0.05</v>
      </c>
      <c r="L213" s="17"/>
      <c r="M213" s="57" t="s">
        <v>8</v>
      </c>
      <c r="N213" s="332">
        <f>IF(Décisions!D50&lt;&gt;0,IF(Décisions!T50&lt;=Constantes!$E13,Constantes!$G13,IF(Décisions!T50&lt;Constantes!$F13,_xlfn.FORECAST.LINEAR(Décisions!T50,Constantes!$H13:$I13,Constantes!$E13:$F13),Constantes!$J13)),0)</f>
        <v>0.05</v>
      </c>
      <c r="O213" s="332">
        <f>IF(Décisions!O66&lt;&gt;0,IF(Décisions!T66&lt;=Constantes!$E13,Constantes!$G13,IF(Décisions!T66&lt;Constantes!$F13,_xlfn.FORECAST.LINEAR(Décisions!T66,Constantes!$H13:$I13,Constantes!$E13:$F13),Constantes!$J13)),0)</f>
        <v>0.05</v>
      </c>
      <c r="P213" s="332">
        <f>IF(Décisions!O82&lt;&gt;0,IF(Décisions!T82&lt;=Constantes!$E13,Constantes!$G13,IF(Décisions!T82&lt;Constantes!$F13,_xlfn.FORECAST.LINEAR(Décisions!T82,Constantes!$H13:$I13,Constantes!$E13:$F13),Constantes!$J13)),0)</f>
        <v>0.05</v>
      </c>
      <c r="W213" s="17"/>
      <c r="X213" s="57" t="s">
        <v>8</v>
      </c>
      <c r="Y213" s="332">
        <f>IF(Décisions!Z50&lt;&gt;0,IF(Décisions!AE50&lt;=Constantes!$E13,Constantes!$G13,IF(Décisions!AE50&lt;Constantes!$F13,_xlfn.FORECAST.LINEAR(Décisions!AE50,Constantes!$H13:$I13,Constantes!$E13:$F13),Constantes!$J13)),0)</f>
        <v>0.05</v>
      </c>
      <c r="Z213" s="332">
        <f>IF(Décisions!Z66&lt;&gt;0,IF(Décisions!AE66&lt;=Constantes!$E13,Constantes!$G13,IF(Décisions!AE66&lt;Constantes!$F13,_xlfn.FORECAST.LINEAR(Décisions!AE66,Constantes!$H13:$I13,Constantes!$E13:$F13),Constantes!$J13)),0)</f>
        <v>0.05</v>
      </c>
      <c r="AA213" s="332">
        <f>IF(Décisions!Z82&lt;&gt;0,IF(Décisions!AE82&lt;=Constantes!$E13,Constantes!$G13,IF(Décisions!AE82&lt;Constantes!$F13,_xlfn.FORECAST.LINEAR(Décisions!AE82,Constantes!$H13:$I13,Constantes!$E13:$F13),Constantes!$J13)),0)</f>
        <v>0.05</v>
      </c>
      <c r="AH213" s="17"/>
      <c r="AI213" s="57" t="s">
        <v>8</v>
      </c>
      <c r="AJ213" s="332">
        <f>IF(Décisions!AK50&lt;&gt;0,IF(Décisions!AP50&lt;=Constantes!$E13,Constantes!$G13,IF(Décisions!AP50&lt;Constantes!$F13,_xlfn.FORECAST.LINEAR(Décisions!AP50,Constantes!$H13:$I13,Constantes!$E13:$F13),Constantes!$J13)),0)</f>
        <v>0.05</v>
      </c>
      <c r="AK213" s="332">
        <f>IF(Décisions!AK66&lt;&gt;0,IF(Décisions!AP66&lt;=Constantes!$E13,Constantes!$G13,IF(Décisions!AP66&lt;Constantes!$F13,_xlfn.FORECAST.LINEAR(Décisions!AP66,Constantes!$H13:$I13,Constantes!$E13:$F13),Constantes!$J13)),0)</f>
        <v>0.05</v>
      </c>
      <c r="AL213" s="332">
        <f>IF(Décisions!AK82&lt;&gt;0,IF(Décisions!AP82&lt;=Constantes!$E13,Constantes!$G13,IF(Décisions!AP82&lt;Constantes!$F13,_xlfn.FORECAST.LINEAR(Décisions!AP82,Constantes!$H13:$I13,Constantes!$E13:$F13),Constantes!$J13)),0)</f>
        <v>0.05</v>
      </c>
      <c r="AS213" s="17"/>
      <c r="AT213" s="57" t="s">
        <v>8</v>
      </c>
      <c r="AU213" s="332">
        <f>IF(Décisions!AV50&lt;&gt;0,IF(Décisions!BA50&lt;=Constantes!$E13,Constantes!$G13,IF(Décisions!BA50&lt;Constantes!$F13,_xlfn.FORECAST.LINEAR(Décisions!BA50,Constantes!$H13:$I13,Constantes!$E13:$F13),Constantes!$J13)),0)</f>
        <v>0.05</v>
      </c>
      <c r="AV213" s="332">
        <f>IF(Décisions!AV66&lt;&gt;0,IF(Décisions!BA66&lt;=Constantes!$E13,Constantes!$G13,IF(Décisions!BA66&lt;Constantes!$F13,_xlfn.FORECAST.LINEAR(Décisions!BA66,Constantes!$H13:$I13,Constantes!$E13:$F13),Constantes!$J13)),0)</f>
        <v>0.05</v>
      </c>
      <c r="AW213" s="332">
        <f>IF(Décisions!AV82&lt;&gt;0,IF(Décisions!BA82&lt;=Constantes!$E13,Constantes!$G13,IF(Décisions!BA82&lt;Constantes!$F13,_xlfn.FORECAST.LINEAR(Décisions!BA82,Constantes!$H13:$I13,Constantes!$E13:$F13),Constantes!$J13)),0)</f>
        <v>0.05</v>
      </c>
    </row>
    <row r="214" spans="1:49" ht="21" customHeight="1" thickBot="1" x14ac:dyDescent="0.3">
      <c r="A214" s="15"/>
      <c r="B214" s="56" t="s">
        <v>157</v>
      </c>
      <c r="C214" s="332">
        <f>IF(Décisions!D51&lt;&gt;0,IF(Décisions!I51&lt;=Constantes!$E14,Constantes!$G14,IF(Décisions!I51&lt;Constantes!$F14,_xlfn.FORECAST.LINEAR(Décisions!I51,Constantes!$H14:$I14,Constantes!$E14:$F14),Constantes!$J14)),0)</f>
        <v>0</v>
      </c>
      <c r="D214" s="332">
        <f>IF(Décisions!D67&lt;&gt;0,IF(Décisions!I67&lt;=Constantes!$E14,Constantes!$G14,IF(Décisions!I67&lt;Constantes!$F14,_xlfn.FORECAST.LINEAR(Décisions!I67,Constantes!$H14:$I14,Constantes!$E14:$F14),Constantes!$J14)),0)</f>
        <v>0.05</v>
      </c>
      <c r="E214" s="332">
        <f>IF(Décisions!D83&lt;&gt;0,IF(Décisions!I83&lt;=Constantes!$E14,Constantes!$G14,IF(Décisions!I83&lt;Constantes!$F14,_xlfn.FORECAST.LINEAR(Décisions!I83,Constantes!$H14:$I14,Constantes!$E14:$F14),Constantes!$J14)),0)</f>
        <v>0.05</v>
      </c>
      <c r="L214" s="15"/>
      <c r="M214" s="56" t="s">
        <v>157</v>
      </c>
      <c r="N214" s="332">
        <f>IF(Décisions!D51&lt;&gt;0,IF(Décisions!T51&lt;=Constantes!$E14,Constantes!$G14,IF(Décisions!T51&lt;Constantes!$F14,_xlfn.FORECAST.LINEAR(Décisions!T51,Constantes!$H14:$I14,Constantes!$E14:$F14),Constantes!$J14)),0)</f>
        <v>0</v>
      </c>
      <c r="O214" s="332">
        <f>IF(Décisions!O67&lt;&gt;0,IF(Décisions!T67&lt;=Constantes!$E14,Constantes!$G14,IF(Décisions!T67&lt;Constantes!$F14,_xlfn.FORECAST.LINEAR(Décisions!T67,Constantes!$H14:$I14,Constantes!$E14:$F14),Constantes!$J14)),0)</f>
        <v>0.05</v>
      </c>
      <c r="P214" s="332">
        <f>IF(Décisions!O83&lt;&gt;0,IF(Décisions!T83&lt;=Constantes!$E14,Constantes!$G14,IF(Décisions!T83&lt;Constantes!$F14,_xlfn.FORECAST.LINEAR(Décisions!T83,Constantes!$H14:$I14,Constantes!$E14:$F14),Constantes!$J14)),0)</f>
        <v>0.05</v>
      </c>
      <c r="W214" s="15"/>
      <c r="X214" s="56" t="s">
        <v>157</v>
      </c>
      <c r="Y214" s="332">
        <f>IF(Décisions!Z51&lt;&gt;0,IF(Décisions!AE51&lt;=Constantes!$E14,Constantes!$G14,IF(Décisions!AE51&lt;Constantes!$F14,_xlfn.FORECAST.LINEAR(Décisions!AE51,Constantes!$H14:$I14,Constantes!$E14:$F14),Constantes!$J14)),0)</f>
        <v>0.05</v>
      </c>
      <c r="Z214" s="332">
        <f>IF(Décisions!Z67&lt;&gt;0,IF(Décisions!AE67&lt;=Constantes!$E14,Constantes!$G14,IF(Décisions!AE67&lt;Constantes!$F14,_xlfn.FORECAST.LINEAR(Décisions!AE67,Constantes!$H14:$I14,Constantes!$E14:$F14),Constantes!$J14)),0)</f>
        <v>0.05</v>
      </c>
      <c r="AA214" s="332">
        <f>IF(Décisions!Z83&lt;&gt;0,IF(Décisions!AE83&lt;=Constantes!$E14,Constantes!$G14,IF(Décisions!AE83&lt;Constantes!$F14,_xlfn.FORECAST.LINEAR(Décisions!AE83,Constantes!$H14:$I14,Constantes!$E14:$F14),Constantes!$J14)),0)</f>
        <v>0.05</v>
      </c>
      <c r="AH214" s="15"/>
      <c r="AI214" s="56" t="s">
        <v>157</v>
      </c>
      <c r="AJ214" s="332">
        <f>IF(Décisions!AK51&lt;&gt;0,IF(Décisions!AP51&lt;=Constantes!$E14,Constantes!$G14,IF(Décisions!AP51&lt;Constantes!$F14,_xlfn.FORECAST.LINEAR(Décisions!AP51,Constantes!$H14:$I14,Constantes!$E14:$F14),Constantes!$J14)),0)</f>
        <v>0.05</v>
      </c>
      <c r="AK214" s="332">
        <f>IF(Décisions!AK67&lt;&gt;0,IF(Décisions!AP67&lt;=Constantes!$E14,Constantes!$G14,IF(Décisions!AP67&lt;Constantes!$F14,_xlfn.FORECAST.LINEAR(Décisions!AP67,Constantes!$H14:$I14,Constantes!$E14:$F14),Constantes!$J14)),0)</f>
        <v>0.05</v>
      </c>
      <c r="AL214" s="332">
        <f>IF(Décisions!AK83&lt;&gt;0,IF(Décisions!AP83&lt;=Constantes!$E14,Constantes!$G14,IF(Décisions!AP83&lt;Constantes!$F14,_xlfn.FORECAST.LINEAR(Décisions!AP83,Constantes!$H14:$I14,Constantes!$E14:$F14),Constantes!$J14)),0)</f>
        <v>0.05</v>
      </c>
      <c r="AS214" s="15"/>
      <c r="AT214" s="56" t="s">
        <v>157</v>
      </c>
      <c r="AU214" s="332">
        <f>IF(Décisions!AV51&lt;&gt;0,IF(Décisions!BA51&lt;=Constantes!$E14,Constantes!$G14,IF(Décisions!BA51&lt;Constantes!$F14,_xlfn.FORECAST.LINEAR(Décisions!BA51,Constantes!$H14:$I14,Constantes!$E14:$F14),Constantes!$J14)),0)</f>
        <v>0.05</v>
      </c>
      <c r="AV214" s="332">
        <f>IF(Décisions!AV67&lt;&gt;0,IF(Décisions!BA67&lt;=Constantes!$E14,Constantes!$G14,IF(Décisions!BA67&lt;Constantes!$F14,_xlfn.FORECAST.LINEAR(Décisions!BA67,Constantes!$H14:$I14,Constantes!$E14:$F14),Constantes!$J14)),0)</f>
        <v>0.05</v>
      </c>
      <c r="AW214" s="332">
        <f>IF(Décisions!AV83&lt;&gt;0,IF(Décisions!BA83&lt;=Constantes!$E14,Constantes!$G14,IF(Décisions!BA83&lt;Constantes!$F14,_xlfn.FORECAST.LINEAR(Décisions!BA83,Constantes!$H14:$I14,Constantes!$E14:$F14),Constantes!$J14)),0)</f>
        <v>0.05</v>
      </c>
    </row>
    <row r="215" spans="1:49" ht="21" customHeight="1" x14ac:dyDescent="0.25">
      <c r="A215" s="12" t="s">
        <v>9</v>
      </c>
      <c r="B215" s="54" t="s">
        <v>32</v>
      </c>
      <c r="C215" s="332">
        <f>IF(Décisions!D52&lt;&gt;0,IF(Décisions!I52&lt;=Constantes!$E15,Constantes!$G15,IF(Décisions!I52&lt;Constantes!$F15,_xlfn.FORECAST.LINEAR(Décisions!I52,Constantes!$H15:$I15,Constantes!$E15:$F15),Constantes!$J15)),0)</f>
        <v>0</v>
      </c>
      <c r="D215" s="332">
        <f>IF(Décisions!D68&lt;&gt;0,IF(Décisions!I68&lt;=Constantes!$E15,Constantes!$G15,IF(Décisions!I68&lt;Constantes!$F15,_xlfn.FORECAST.LINEAR(Décisions!I68,Constantes!$H15:$I15,Constantes!$E15:$F15),Constantes!$J15)),0)</f>
        <v>0.3</v>
      </c>
      <c r="E215" s="332">
        <f>IF(Décisions!D84&lt;&gt;0,IF(Décisions!I84&lt;=Constantes!$E15,Constantes!$G15,IF(Décisions!I84&lt;Constantes!$F15,_xlfn.FORECAST.LINEAR(Décisions!I84,Constantes!$H15:$I15,Constantes!$E15:$F15),Constantes!$J15)),0)</f>
        <v>0</v>
      </c>
      <c r="L215" s="12" t="s">
        <v>9</v>
      </c>
      <c r="M215" s="54" t="s">
        <v>32</v>
      </c>
      <c r="N215" s="332">
        <f>IF(Décisions!D52&lt;&gt;0,IF(Décisions!T52&lt;=Constantes!$E15,Constantes!$G15,IF(Décisions!T52&lt;Constantes!$F15,_xlfn.FORECAST.LINEAR(Décisions!T52,Constantes!$H15:$I15,Constantes!$E15:$F15),Constantes!$J15)),0)</f>
        <v>0</v>
      </c>
      <c r="O215" s="332">
        <f>IF(Décisions!O68&lt;&gt;0,IF(Décisions!T68&lt;=Constantes!$E15,Constantes!$G15,IF(Décisions!T68&lt;Constantes!$F15,_xlfn.FORECAST.LINEAR(Décisions!T68,Constantes!$H15:$I15,Constantes!$E15:$F15),Constantes!$J15)),0)</f>
        <v>0.05</v>
      </c>
      <c r="P215" s="332">
        <f>IF(Décisions!O84&lt;&gt;0,IF(Décisions!T84&lt;=Constantes!$E15,Constantes!$G15,IF(Décisions!T84&lt;Constantes!$F15,_xlfn.FORECAST.LINEAR(Décisions!T84,Constantes!$H15:$I15,Constantes!$E15:$F15),Constantes!$J15)),0)</f>
        <v>0</v>
      </c>
      <c r="W215" s="12" t="s">
        <v>9</v>
      </c>
      <c r="X215" s="54" t="s">
        <v>32</v>
      </c>
      <c r="Y215" s="332">
        <f>IF(Décisions!Z52&lt;&gt;0,IF(Décisions!AE52&lt;=Constantes!$E15,Constantes!$G15,IF(Décisions!AE52&lt;Constantes!$F15,_xlfn.FORECAST.LINEAR(Décisions!AE52,Constantes!$H15:$I15,Constantes!$E15:$F15),Constantes!$J15)),0)</f>
        <v>0</v>
      </c>
      <c r="Z215" s="332">
        <f>IF(Décisions!Z68&lt;&gt;0,IF(Décisions!AE68&lt;=Constantes!$E15,Constantes!$G15,IF(Décisions!AE68&lt;Constantes!$F15,_xlfn.FORECAST.LINEAR(Décisions!AE68,Constantes!$H15:$I15,Constantes!$E15:$F15),Constantes!$J15)),0)</f>
        <v>0.05</v>
      </c>
      <c r="AA215" s="332">
        <f>IF(Décisions!Z84&lt;&gt;0,IF(Décisions!AE84&lt;=Constantes!$E15,Constantes!$G15,IF(Décisions!AE84&lt;Constantes!$F15,_xlfn.FORECAST.LINEAR(Décisions!AE84,Constantes!$H15:$I15,Constantes!$E15:$F15),Constantes!$J15)),0)</f>
        <v>0.05</v>
      </c>
      <c r="AH215" s="12" t="s">
        <v>9</v>
      </c>
      <c r="AI215" s="54" t="s">
        <v>32</v>
      </c>
      <c r="AJ215" s="332">
        <f>IF(Décisions!AK52&lt;&gt;0,IF(Décisions!AP52&lt;=Constantes!$E15,Constantes!$G15,IF(Décisions!AP52&lt;Constantes!$F15,_xlfn.FORECAST.LINEAR(Décisions!AP52,Constantes!$H15:$I15,Constantes!$E15:$F15),Constantes!$J15)),0)</f>
        <v>0.05</v>
      </c>
      <c r="AK215" s="332">
        <f>IF(Décisions!AK68&lt;&gt;0,IF(Décisions!AP68&lt;=Constantes!$E15,Constantes!$G15,IF(Décisions!AP68&lt;Constantes!$F15,_xlfn.FORECAST.LINEAR(Décisions!AP68,Constantes!$H15:$I15,Constantes!$E15:$F15),Constantes!$J15)),0)</f>
        <v>0.05</v>
      </c>
      <c r="AL215" s="332">
        <f>IF(Décisions!AK84&lt;&gt;0,IF(Décisions!AP84&lt;=Constantes!$E15,Constantes!$G15,IF(Décisions!AP84&lt;Constantes!$F15,_xlfn.FORECAST.LINEAR(Décisions!AP84,Constantes!$H15:$I15,Constantes!$E15:$F15),Constantes!$J15)),0)</f>
        <v>0.05</v>
      </c>
      <c r="AS215" s="12" t="s">
        <v>9</v>
      </c>
      <c r="AT215" s="54" t="s">
        <v>32</v>
      </c>
      <c r="AU215" s="332">
        <f>IF(Décisions!AV52&lt;&gt;0,IF(Décisions!BA52&lt;=Constantes!$E15,Constantes!$G15,IF(Décisions!BA52&lt;Constantes!$F15,_xlfn.FORECAST.LINEAR(Décisions!BA52,Constantes!$H15:$I15,Constantes!$E15:$F15),Constantes!$J15)),0)</f>
        <v>0.05</v>
      </c>
      <c r="AV215" s="332">
        <f>IF(Décisions!AV68&lt;&gt;0,IF(Décisions!BA68&lt;=Constantes!$E15,Constantes!$G15,IF(Décisions!BA68&lt;Constantes!$F15,_xlfn.FORECAST.LINEAR(Décisions!BA68,Constantes!$H15:$I15,Constantes!$E15:$F15),Constantes!$J15)),0)</f>
        <v>0.05</v>
      </c>
      <c r="AW215" s="332">
        <f>IF(Décisions!AV84&lt;&gt;0,IF(Décisions!BA84&lt;=Constantes!$E15,Constantes!$G15,IF(Décisions!BA84&lt;Constantes!$F15,_xlfn.FORECAST.LINEAR(Décisions!BA84,Constantes!$H15:$I15,Constantes!$E15:$F15),Constantes!$J15)),0)</f>
        <v>0.05</v>
      </c>
    </row>
    <row r="216" spans="1:49" ht="21" customHeight="1" thickBot="1" x14ac:dyDescent="0.3">
      <c r="A216" s="15"/>
      <c r="B216" s="56" t="s">
        <v>10</v>
      </c>
      <c r="C216" s="332">
        <f>IF(Décisions!D53&lt;&gt;0,IF(Décisions!I53&lt;=Constantes!$E16,Constantes!$G16,IF(Décisions!I53&lt;Constantes!$F16,_xlfn.FORECAST.LINEAR(Décisions!I53,Constantes!$H16:$I16,Constantes!$E16:$F16),Constantes!$J16)),0)</f>
        <v>0</v>
      </c>
      <c r="D216" s="332">
        <f>IF(Décisions!D69&lt;&gt;0,IF(Décisions!I69&lt;=Constantes!$E16,Constantes!$G16,IF(Décisions!I69&lt;Constantes!$F16,_xlfn.FORECAST.LINEAR(Décisions!I69,Constantes!$H16:$I16,Constantes!$E16:$F16),Constantes!$J16)),0)</f>
        <v>0.05</v>
      </c>
      <c r="E216" s="332">
        <f>IF(Décisions!D85&lt;&gt;0,IF(Décisions!I85&lt;=Constantes!$E16,Constantes!$G16,IF(Décisions!I85&lt;Constantes!$F16,_xlfn.FORECAST.LINEAR(Décisions!I85,Constantes!$H16:$I16,Constantes!$E16:$F16),Constantes!$J16)),0)</f>
        <v>0.3</v>
      </c>
      <c r="L216" s="15"/>
      <c r="M216" s="56" t="s">
        <v>10</v>
      </c>
      <c r="N216" s="332">
        <f>IF(Décisions!D53&lt;&gt;0,IF(Décisions!T53&lt;=Constantes!$E16,Constantes!$G16,IF(Décisions!T53&lt;Constantes!$F16,_xlfn.FORECAST.LINEAR(Décisions!T53,Constantes!$H16:$I16,Constantes!$E16:$F16),Constantes!$J16)),0)</f>
        <v>0</v>
      </c>
      <c r="O216" s="332">
        <f>IF(Décisions!O69&lt;&gt;0,IF(Décisions!T69&lt;=Constantes!$E16,Constantes!$G16,IF(Décisions!T69&lt;Constantes!$F16,_xlfn.FORECAST.LINEAR(Décisions!T69,Constantes!$H16:$I16,Constantes!$E16:$F16),Constantes!$J16)),0)</f>
        <v>0.05</v>
      </c>
      <c r="P216" s="332">
        <f>IF(Décisions!O85&lt;&gt;0,IF(Décisions!T85&lt;=Constantes!$E16,Constantes!$G16,IF(Décisions!T85&lt;Constantes!$F16,_xlfn.FORECAST.LINEAR(Décisions!T85,Constantes!$H16:$I16,Constantes!$E16:$F16),Constantes!$J16)),0)</f>
        <v>0.05</v>
      </c>
      <c r="W216" s="15"/>
      <c r="X216" s="56" t="s">
        <v>10</v>
      </c>
      <c r="Y216" s="332">
        <f>IF(Décisions!Z53&lt;&gt;0,IF(Décisions!AE53&lt;=Constantes!$E16,Constantes!$G16,IF(Décisions!AE53&lt;Constantes!$F16,_xlfn.FORECAST.LINEAR(Décisions!AE53,Constantes!$H16:$I16,Constantes!$E16:$F16),Constantes!$J16)),0)</f>
        <v>0</v>
      </c>
      <c r="Z216" s="332">
        <f>IF(Décisions!Z69&lt;&gt;0,IF(Décisions!AE69&lt;=Constantes!$E16,Constantes!$G16,IF(Décisions!AE69&lt;Constantes!$F16,_xlfn.FORECAST.LINEAR(Décisions!AE69,Constantes!$H16:$I16,Constantes!$E16:$F16),Constantes!$J16)),0)</f>
        <v>0.05</v>
      </c>
      <c r="AA216" s="332">
        <f>IF(Décisions!Z85&lt;&gt;0,IF(Décisions!AE85&lt;=Constantes!$E16,Constantes!$G16,IF(Décisions!AE85&lt;Constantes!$F16,_xlfn.FORECAST.LINEAR(Décisions!AE85,Constantes!$H16:$I16,Constantes!$E16:$F16),Constantes!$J16)),0)</f>
        <v>0.05</v>
      </c>
      <c r="AH216" s="15"/>
      <c r="AI216" s="56" t="s">
        <v>10</v>
      </c>
      <c r="AJ216" s="332">
        <f>IF(Décisions!AK53&lt;&gt;0,IF(Décisions!AP53&lt;=Constantes!$E16,Constantes!$G16,IF(Décisions!AP53&lt;Constantes!$F16,_xlfn.FORECAST.LINEAR(Décisions!AP53,Constantes!$H16:$I16,Constantes!$E16:$F16),Constantes!$J16)),0)</f>
        <v>0</v>
      </c>
      <c r="AK216" s="332">
        <f>IF(Décisions!AK69&lt;&gt;0,IF(Décisions!AP69&lt;=Constantes!$E16,Constantes!$G16,IF(Décisions!AP69&lt;Constantes!$F16,_xlfn.FORECAST.LINEAR(Décisions!AP69,Constantes!$H16:$I16,Constantes!$E16:$F16),Constantes!$J16)),0)</f>
        <v>0.05</v>
      </c>
      <c r="AL216" s="332">
        <f>IF(Décisions!AK85&lt;&gt;0,IF(Décisions!AP85&lt;=Constantes!$E16,Constantes!$G16,IF(Décisions!AP85&lt;Constantes!$F16,_xlfn.FORECAST.LINEAR(Décisions!AP85,Constantes!$H16:$I16,Constantes!$E16:$F16),Constantes!$J16)),0)</f>
        <v>0.05</v>
      </c>
      <c r="AS216" s="15"/>
      <c r="AT216" s="56" t="s">
        <v>10</v>
      </c>
      <c r="AU216" s="332">
        <f>IF(Décisions!AV53&lt;&gt;0,IF(Décisions!BA53&lt;=Constantes!$E16,Constantes!$G16,IF(Décisions!BA53&lt;Constantes!$F16,_xlfn.FORECAST.LINEAR(Décisions!BA53,Constantes!$H16:$I16,Constantes!$E16:$F16),Constantes!$J16)),0)</f>
        <v>0.05</v>
      </c>
      <c r="AV216" s="332">
        <f>IF(Décisions!AV69&lt;&gt;0,IF(Décisions!BA69&lt;=Constantes!$E16,Constantes!$G16,IF(Décisions!BA69&lt;Constantes!$F16,_xlfn.FORECAST.LINEAR(Décisions!BA69,Constantes!$H16:$I16,Constantes!$E16:$F16),Constantes!$J16)),0)</f>
        <v>0.05</v>
      </c>
      <c r="AW216" s="332">
        <f>IF(Décisions!AV85&lt;&gt;0,IF(Décisions!BA85&lt;=Constantes!$E16,Constantes!$G16,IF(Décisions!BA85&lt;Constantes!$F16,_xlfn.FORECAST.LINEAR(Décisions!BA85,Constantes!$H16:$I16,Constantes!$E16:$F16),Constantes!$J16)),0)</f>
        <v>0.05</v>
      </c>
    </row>
    <row r="217" spans="1:49" ht="21" customHeight="1" x14ac:dyDescent="0.25">
      <c r="A217" s="12" t="s">
        <v>11</v>
      </c>
      <c r="B217" s="54" t="s">
        <v>33</v>
      </c>
      <c r="C217" s="332">
        <f>IF(Décisions!D54&lt;&gt;0,IF(Décisions!I54&lt;=Constantes!$E17,Constantes!$G17,IF(Décisions!I54&lt;Constantes!$F17,_xlfn.FORECAST.LINEAR(Décisions!I54,Constantes!$H17:$I17,Constantes!$E17:$F17),Constantes!$J17)),0)</f>
        <v>0.02</v>
      </c>
      <c r="D217" s="332">
        <f>IF(Décisions!D70&lt;&gt;0,IF(Décisions!I70&lt;=Constantes!$E17,Constantes!$G17,IF(Décisions!I70&lt;Constantes!$F17,_xlfn.FORECAST.LINEAR(Décisions!I70,Constantes!$H17:$I17,Constantes!$E17:$F17),Constantes!$J17)),0)</f>
        <v>0.02</v>
      </c>
      <c r="E217" s="332">
        <f>IF(Décisions!D86&lt;&gt;0,IF(Décisions!I86&lt;=Constantes!$E17,Constantes!$G17,IF(Décisions!I86&lt;Constantes!$F17,_xlfn.FORECAST.LINEAR(Décisions!I86,Constantes!$H17:$I17,Constantes!$E17:$F17),Constantes!$J17)),0)</f>
        <v>0.02</v>
      </c>
      <c r="L217" s="12" t="s">
        <v>11</v>
      </c>
      <c r="M217" s="54" t="s">
        <v>33</v>
      </c>
      <c r="N217" s="332">
        <f>IF(Décisions!D54&lt;&gt;0,IF(Décisions!T54&lt;=Constantes!$E17,Constantes!$G17,IF(Décisions!T54&lt;Constantes!$F17,_xlfn.FORECAST.LINEAR(Décisions!T54,Constantes!$H17:$I17,Constantes!$E17:$F17),Constantes!$J17)),0)</f>
        <v>0.02</v>
      </c>
      <c r="O217" s="332">
        <f>IF(Décisions!O70&lt;&gt;0,IF(Décisions!T70&lt;=Constantes!$E17,Constantes!$G17,IF(Décisions!T70&lt;Constantes!$F17,_xlfn.FORECAST.LINEAR(Décisions!T70,Constantes!$H17:$I17,Constantes!$E17:$F17),Constantes!$J17)),0)</f>
        <v>0.02</v>
      </c>
      <c r="P217" s="332">
        <f>IF(Décisions!O86&lt;&gt;0,IF(Décisions!T86&lt;=Constantes!$E17,Constantes!$G17,IF(Décisions!T86&lt;Constantes!$F17,_xlfn.FORECAST.LINEAR(Décisions!T86,Constantes!$H17:$I17,Constantes!$E17:$F17),Constantes!$J17)),0)</f>
        <v>0.02</v>
      </c>
      <c r="W217" s="12" t="s">
        <v>11</v>
      </c>
      <c r="X217" s="54" t="s">
        <v>33</v>
      </c>
      <c r="Y217" s="332">
        <f>IF(Décisions!Z54&lt;&gt;0,IF(Décisions!AE54&lt;=Constantes!$E17,Constantes!$G17,IF(Décisions!AE54&lt;Constantes!$F17,_xlfn.FORECAST.LINEAR(Décisions!AE54,Constantes!$H17:$I17,Constantes!$E17:$F17),Constantes!$J17)),0)</f>
        <v>0.02</v>
      </c>
      <c r="Z217" s="332">
        <f>IF(Décisions!Z70&lt;&gt;0,IF(Décisions!AE70&lt;=Constantes!$E17,Constantes!$G17,IF(Décisions!AE70&lt;Constantes!$F17,_xlfn.FORECAST.LINEAR(Décisions!AE70,Constantes!$H17:$I17,Constantes!$E17:$F17),Constantes!$J17)),0)</f>
        <v>0.02</v>
      </c>
      <c r="AA217" s="332">
        <f>IF(Décisions!Z86&lt;&gt;0,IF(Décisions!AE86&lt;=Constantes!$E17,Constantes!$G17,IF(Décisions!AE86&lt;Constantes!$F17,_xlfn.FORECAST.LINEAR(Décisions!AE86,Constantes!$H17:$I17,Constantes!$E17:$F17),Constantes!$J17)),0)</f>
        <v>0.02</v>
      </c>
      <c r="AH217" s="12" t="s">
        <v>11</v>
      </c>
      <c r="AI217" s="54" t="s">
        <v>33</v>
      </c>
      <c r="AJ217" s="332">
        <f>IF(Décisions!AK54&lt;&gt;0,IF(Décisions!AP54&lt;=Constantes!$E17,Constantes!$G17,IF(Décisions!AP54&lt;Constantes!$F17,_xlfn.FORECAST.LINEAR(Décisions!AP54,Constantes!$H17:$I17,Constantes!$E17:$F17),Constantes!$J17)),0)</f>
        <v>0.02</v>
      </c>
      <c r="AK217" s="332">
        <f>IF(Décisions!AK70&lt;&gt;0,IF(Décisions!AP70&lt;=Constantes!$E17,Constantes!$G17,IF(Décisions!AP70&lt;Constantes!$F17,_xlfn.FORECAST.LINEAR(Décisions!AP70,Constantes!$H17:$I17,Constantes!$E17:$F17),Constantes!$J17)),0)</f>
        <v>0.02</v>
      </c>
      <c r="AL217" s="332">
        <f>IF(Décisions!AK86&lt;&gt;0,IF(Décisions!AP86&lt;=Constantes!$E17,Constantes!$G17,IF(Décisions!AP86&lt;Constantes!$F17,_xlfn.FORECAST.LINEAR(Décisions!AP86,Constantes!$H17:$I17,Constantes!$E17:$F17),Constantes!$J17)),0)</f>
        <v>0.02</v>
      </c>
      <c r="AS217" s="12" t="s">
        <v>11</v>
      </c>
      <c r="AT217" s="54" t="s">
        <v>33</v>
      </c>
      <c r="AU217" s="332">
        <f>IF(Décisions!AV54&lt;&gt;0,IF(Décisions!BA54&lt;=Constantes!$E17,Constantes!$G17,IF(Décisions!BA54&lt;Constantes!$F17,_xlfn.FORECAST.LINEAR(Décisions!BA54,Constantes!$H17:$I17,Constantes!$E17:$F17),Constantes!$J17)),0)</f>
        <v>0.02</v>
      </c>
      <c r="AV217" s="332">
        <f>IF(Décisions!AV70&lt;&gt;0,IF(Décisions!BA70&lt;=Constantes!$E17,Constantes!$G17,IF(Décisions!BA70&lt;Constantes!$F17,_xlfn.FORECAST.LINEAR(Décisions!BA70,Constantes!$H17:$I17,Constantes!$E17:$F17),Constantes!$J17)),0)</f>
        <v>0.02</v>
      </c>
      <c r="AW217" s="332">
        <f>IF(Décisions!AV86&lt;&gt;0,IF(Décisions!BA86&lt;=Constantes!$E17,Constantes!$G17,IF(Décisions!BA86&lt;Constantes!$F17,_xlfn.FORECAST.LINEAR(Décisions!BA86,Constantes!$H17:$I17,Constantes!$E17:$F17),Constantes!$J17)),0)</f>
        <v>0.02</v>
      </c>
    </row>
    <row r="218" spans="1:49" ht="21" customHeight="1" x14ac:dyDescent="0.25">
      <c r="A218" s="17"/>
      <c r="B218" s="57" t="s">
        <v>34</v>
      </c>
      <c r="C218" s="332">
        <f>IF(Décisions!D55&lt;&gt;0,IF(Décisions!I55&lt;=Constantes!$E18,Constantes!$G18,IF(Décisions!I55&lt;Constantes!$F18,_xlfn.FORECAST.LINEAR(Décisions!I55,Constantes!$H18:$I18,Constantes!$E18:$F18),Constantes!$J18)),0)</f>
        <v>0.02</v>
      </c>
      <c r="D218" s="332">
        <f>IF(Décisions!D71&lt;&gt;0,IF(Décisions!I71&lt;=Constantes!$E18,Constantes!$G18,IF(Décisions!I71&lt;Constantes!$F18,_xlfn.FORECAST.LINEAR(Décisions!I71,Constantes!$H18:$I18,Constantes!$E18:$F18),Constantes!$J18)),0)</f>
        <v>0.02</v>
      </c>
      <c r="E218" s="332">
        <f>IF(Décisions!D87&lt;&gt;0,IF(Décisions!I87&lt;=Constantes!$E18,Constantes!$G18,IF(Décisions!I87&lt;Constantes!$F18,_xlfn.FORECAST.LINEAR(Décisions!I87,Constantes!$H18:$I18,Constantes!$E18:$F18),Constantes!$J18)),0)</f>
        <v>0.02</v>
      </c>
      <c r="L218" s="17"/>
      <c r="M218" s="57" t="s">
        <v>34</v>
      </c>
      <c r="N218" s="332">
        <f>IF(Décisions!D55&lt;&gt;0,IF(Décisions!T55&lt;=Constantes!$E18,Constantes!$G18,IF(Décisions!T55&lt;Constantes!$F18,_xlfn.FORECAST.LINEAR(Décisions!T55,Constantes!$H18:$I18,Constantes!$E18:$F18),Constantes!$J18)),0)</f>
        <v>0.02</v>
      </c>
      <c r="O218" s="332">
        <f>IF(Décisions!O71&lt;&gt;0,IF(Décisions!T71&lt;=Constantes!$E18,Constantes!$G18,IF(Décisions!T71&lt;Constantes!$F18,_xlfn.FORECAST.LINEAR(Décisions!T71,Constantes!$H18:$I18,Constantes!$E18:$F18),Constantes!$J18)),0)</f>
        <v>0.02</v>
      </c>
      <c r="P218" s="332">
        <f>IF(Décisions!O87&lt;&gt;0,IF(Décisions!T87&lt;=Constantes!$E18,Constantes!$G18,IF(Décisions!T87&lt;Constantes!$F18,_xlfn.FORECAST.LINEAR(Décisions!T87,Constantes!$H18:$I18,Constantes!$E18:$F18),Constantes!$J18)),0)</f>
        <v>0.02</v>
      </c>
      <c r="W218" s="17"/>
      <c r="X218" s="57" t="s">
        <v>34</v>
      </c>
      <c r="Y218" s="332">
        <f>IF(Décisions!Z55&lt;&gt;0,IF(Décisions!AE55&lt;=Constantes!$E18,Constantes!$G18,IF(Décisions!AE55&lt;Constantes!$F18,_xlfn.FORECAST.LINEAR(Décisions!AE55,Constantes!$H18:$I18,Constantes!$E18:$F18),Constantes!$J18)),0)</f>
        <v>0.02</v>
      </c>
      <c r="Z218" s="332">
        <f>IF(Décisions!Z71&lt;&gt;0,IF(Décisions!AE71&lt;=Constantes!$E18,Constantes!$G18,IF(Décisions!AE71&lt;Constantes!$F18,_xlfn.FORECAST.LINEAR(Décisions!AE71,Constantes!$H18:$I18,Constantes!$E18:$F18),Constantes!$J18)),0)</f>
        <v>0.02</v>
      </c>
      <c r="AA218" s="332">
        <f>IF(Décisions!Z87&lt;&gt;0,IF(Décisions!AE87&lt;=Constantes!$E18,Constantes!$G18,IF(Décisions!AE87&lt;Constantes!$F18,_xlfn.FORECAST.LINEAR(Décisions!AE87,Constantes!$H18:$I18,Constantes!$E18:$F18),Constantes!$J18)),0)</f>
        <v>0.02</v>
      </c>
      <c r="AH218" s="17"/>
      <c r="AI218" s="57" t="s">
        <v>34</v>
      </c>
      <c r="AJ218" s="332">
        <f>IF(Décisions!AK55&lt;&gt;0,IF(Décisions!AP55&lt;=Constantes!$E18,Constantes!$G18,IF(Décisions!AP55&lt;Constantes!$F18,_xlfn.FORECAST.LINEAR(Décisions!AP55,Constantes!$H18:$I18,Constantes!$E18:$F18),Constantes!$J18)),0)</f>
        <v>0.02</v>
      </c>
      <c r="AK218" s="332">
        <f>IF(Décisions!AK71&lt;&gt;0,IF(Décisions!AP71&lt;=Constantes!$E18,Constantes!$G18,IF(Décisions!AP71&lt;Constantes!$F18,_xlfn.FORECAST.LINEAR(Décisions!AP71,Constantes!$H18:$I18,Constantes!$E18:$F18),Constantes!$J18)),0)</f>
        <v>0.02</v>
      </c>
      <c r="AL218" s="332">
        <f>IF(Décisions!AK87&lt;&gt;0,IF(Décisions!AP87&lt;=Constantes!$E18,Constantes!$G18,IF(Décisions!AP87&lt;Constantes!$F18,_xlfn.FORECAST.LINEAR(Décisions!AP87,Constantes!$H18:$I18,Constantes!$E18:$F18),Constantes!$J18)),0)</f>
        <v>0.02</v>
      </c>
      <c r="AS218" s="17"/>
      <c r="AT218" s="57" t="s">
        <v>34</v>
      </c>
      <c r="AU218" s="332">
        <f>IF(Décisions!AV55&lt;&gt;0,IF(Décisions!BA55&lt;=Constantes!$E18,Constantes!$G18,IF(Décisions!BA55&lt;Constantes!$F18,_xlfn.FORECAST.LINEAR(Décisions!BA55,Constantes!$H18:$I18,Constantes!$E18:$F18),Constantes!$J18)),0)</f>
        <v>0.02</v>
      </c>
      <c r="AV218" s="332">
        <f>IF(Décisions!AV71&lt;&gt;0,IF(Décisions!BA71&lt;=Constantes!$E18,Constantes!$G18,IF(Décisions!BA71&lt;Constantes!$F18,_xlfn.FORECAST.LINEAR(Décisions!BA71,Constantes!$H18:$I18,Constantes!$E18:$F18),Constantes!$J18)),0)</f>
        <v>0.02</v>
      </c>
      <c r="AW218" s="332">
        <f>IF(Décisions!AV87&lt;&gt;0,IF(Décisions!BA87&lt;=Constantes!$E18,Constantes!$G18,IF(Décisions!BA87&lt;Constantes!$F18,_xlfn.FORECAST.LINEAR(Décisions!BA87,Constantes!$H18:$I18,Constantes!$E18:$F18),Constantes!$J18)),0)</f>
        <v>0.02</v>
      </c>
    </row>
    <row r="219" spans="1:49" ht="21" customHeight="1" thickBot="1" x14ac:dyDescent="0.3">
      <c r="A219" s="15"/>
      <c r="B219" s="56" t="s">
        <v>12</v>
      </c>
      <c r="C219" s="332">
        <f>IF(Décisions!D56&lt;&gt;0,IF(Décisions!I56&lt;=Constantes!$E19,Constantes!$G19,IF(Décisions!I56&lt;Constantes!$F19,_xlfn.FORECAST.LINEAR(Décisions!I56,Constantes!$H19:$I19,Constantes!$E19:$F19),Constantes!$J19)),0)</f>
        <v>0</v>
      </c>
      <c r="D219" s="332">
        <f>IF(Décisions!D72&lt;&gt;0,IF(Décisions!I72&lt;=Constantes!$E19,Constantes!$G19,IF(Décisions!I72&lt;Constantes!$F19,_xlfn.FORECAST.LINEAR(Décisions!I72,Constantes!$H19:$I19,Constantes!$E19:$F19),Constantes!$J19)),0)</f>
        <v>0</v>
      </c>
      <c r="E219" s="332">
        <f>IF(Décisions!D88&lt;&gt;0,IF(Décisions!I88&lt;=Constantes!$E19,Constantes!$G19,IF(Décisions!I88&lt;Constantes!$F19,_xlfn.FORECAST.LINEAR(Décisions!I88,Constantes!$H19:$I19,Constantes!$E19:$F19),Constantes!$J19)),0)</f>
        <v>0</v>
      </c>
      <c r="L219" s="15"/>
      <c r="M219" s="56" t="s">
        <v>12</v>
      </c>
      <c r="N219" s="332">
        <f>IF(Décisions!D56&lt;&gt;0,IF(Décisions!T56&lt;=Constantes!$E19,Constantes!$G19,IF(Décisions!T56&lt;Constantes!$F19,_xlfn.FORECAST.LINEAR(Décisions!T56,Constantes!$H19:$I19,Constantes!$E19:$F19),Constantes!$J19)),0)</f>
        <v>0</v>
      </c>
      <c r="O219" s="332">
        <f>IF(Décisions!O72&lt;&gt;0,IF(Décisions!T72&lt;=Constantes!$E19,Constantes!$G19,IF(Décisions!T72&lt;Constantes!$F19,_xlfn.FORECAST.LINEAR(Décisions!T72,Constantes!$H19:$I19,Constantes!$E19:$F19),Constantes!$J19)),0)</f>
        <v>0</v>
      </c>
      <c r="P219" s="332">
        <f>IF(Décisions!O88&lt;&gt;0,IF(Décisions!T88&lt;=Constantes!$E19,Constantes!$G19,IF(Décisions!T88&lt;Constantes!$F19,_xlfn.FORECAST.LINEAR(Décisions!T88,Constantes!$H19:$I19,Constantes!$E19:$F19),Constantes!$J19)),0)</f>
        <v>0</v>
      </c>
      <c r="W219" s="15"/>
      <c r="X219" s="56" t="s">
        <v>12</v>
      </c>
      <c r="Y219" s="332">
        <f>IF(Décisions!Z56&lt;&gt;0,IF(Décisions!AE56&lt;=Constantes!$E19,Constantes!$G19,IF(Décisions!AE56&lt;Constantes!$F19,_xlfn.FORECAST.LINEAR(Décisions!AE56,Constantes!$H19:$I19,Constantes!$E19:$F19),Constantes!$J19)),0)</f>
        <v>0.05</v>
      </c>
      <c r="Z219" s="332">
        <f>IF(Décisions!Z72&lt;&gt;0,IF(Décisions!AE72&lt;=Constantes!$E19,Constantes!$G19,IF(Décisions!AE72&lt;Constantes!$F19,_xlfn.FORECAST.LINEAR(Décisions!AE72,Constantes!$H19:$I19,Constantes!$E19:$F19),Constantes!$J19)),0)</f>
        <v>0</v>
      </c>
      <c r="AA219" s="332">
        <f>IF(Décisions!Z88&lt;&gt;0,IF(Décisions!AE88&lt;=Constantes!$E19,Constantes!$G19,IF(Décisions!AE88&lt;Constantes!$F19,_xlfn.FORECAST.LINEAR(Décisions!AE88,Constantes!$H19:$I19,Constantes!$E19:$F19),Constantes!$J19)),0)</f>
        <v>0.05</v>
      </c>
      <c r="AH219" s="15"/>
      <c r="AI219" s="56" t="s">
        <v>12</v>
      </c>
      <c r="AJ219" s="332">
        <f>IF(Décisions!AK56&lt;&gt;0,IF(Décisions!AP56&lt;=Constantes!$E19,Constantes!$G19,IF(Décisions!AP56&lt;Constantes!$F19,_xlfn.FORECAST.LINEAR(Décisions!AP56,Constantes!$H19:$I19,Constantes!$E19:$F19),Constantes!$J19)),0)</f>
        <v>0.05</v>
      </c>
      <c r="AK219" s="332">
        <f>IF(Décisions!AK72&lt;&gt;0,IF(Décisions!AP72&lt;=Constantes!$E19,Constantes!$G19,IF(Décisions!AP72&lt;Constantes!$F19,_xlfn.FORECAST.LINEAR(Décisions!AP72,Constantes!$H19:$I19,Constantes!$E19:$F19),Constantes!$J19)),0)</f>
        <v>0.05</v>
      </c>
      <c r="AL219" s="332">
        <f>IF(Décisions!AK88&lt;&gt;0,IF(Décisions!AP88&lt;=Constantes!$E19,Constantes!$G19,IF(Décisions!AP88&lt;Constantes!$F19,_xlfn.FORECAST.LINEAR(Décisions!AP88,Constantes!$H19:$I19,Constantes!$E19:$F19),Constantes!$J19)),0)</f>
        <v>0.05</v>
      </c>
      <c r="AS219" s="15"/>
      <c r="AT219" s="56" t="s">
        <v>12</v>
      </c>
      <c r="AU219" s="332">
        <f>IF(Décisions!AV56&lt;&gt;0,IF(Décisions!BA56&lt;=Constantes!$E19,Constantes!$G19,IF(Décisions!BA56&lt;Constantes!$F19,_xlfn.FORECAST.LINEAR(Décisions!BA56,Constantes!$H19:$I19,Constantes!$E19:$F19),Constantes!$J19)),0)</f>
        <v>0.05</v>
      </c>
      <c r="AV219" s="332">
        <f>IF(Décisions!AV72&lt;&gt;0,IF(Décisions!BA72&lt;=Constantes!$E19,Constantes!$G19,IF(Décisions!BA72&lt;Constantes!$F19,_xlfn.FORECAST.LINEAR(Décisions!BA72,Constantes!$H19:$I19,Constantes!$E19:$F19),Constantes!$J19)),0)</f>
        <v>0.05</v>
      </c>
      <c r="AW219" s="332">
        <f>IF(Décisions!AV88&lt;&gt;0,IF(Décisions!BA88&lt;=Constantes!$E19,Constantes!$G19,IF(Décisions!BA88&lt;Constantes!$F19,_xlfn.FORECAST.LINEAR(Décisions!BA88,Constantes!$H19:$I19,Constantes!$E19:$F19),Constantes!$J19)),0)</f>
        <v>0.05</v>
      </c>
    </row>
    <row r="220" spans="1:49" ht="21" customHeight="1" x14ac:dyDescent="0.25">
      <c r="A220" s="22"/>
      <c r="B220" s="22"/>
      <c r="L220" s="22"/>
      <c r="M220" s="22"/>
      <c r="W220" s="22"/>
      <c r="X220" s="22"/>
      <c r="AH220" s="22"/>
      <c r="AI220" s="22"/>
      <c r="AS220" s="22"/>
      <c r="AT220" s="22"/>
    </row>
    <row r="221" spans="1:49" ht="21" customHeight="1" x14ac:dyDescent="0.25">
      <c r="A221" s="749"/>
      <c r="B221" s="757" t="s">
        <v>258</v>
      </c>
      <c r="M221" s="36" t="s">
        <v>258</v>
      </c>
      <c r="X221" s="36" t="s">
        <v>258</v>
      </c>
      <c r="AI221" s="36" t="s">
        <v>258</v>
      </c>
      <c r="AT221" s="36" t="s">
        <v>258</v>
      </c>
    </row>
    <row r="222" spans="1:49" ht="21" customHeight="1" thickBot="1" x14ac:dyDescent="0.3">
      <c r="C222" s="75" t="str">
        <f>C175</f>
        <v>junior</v>
      </c>
      <c r="D222" s="75" t="str">
        <f>D175</f>
        <v>senior</v>
      </c>
      <c r="E222" s="75" t="str">
        <f>E175</f>
        <v>premium</v>
      </c>
      <c r="N222" s="223" t="str">
        <f>Constantes!$Q$9</f>
        <v>junior</v>
      </c>
      <c r="O222" s="223" t="str">
        <f>Constantes!$R$9</f>
        <v>senior</v>
      </c>
      <c r="P222" s="223" t="str">
        <f>Constantes!$S$9</f>
        <v>premium</v>
      </c>
      <c r="Y222" s="286" t="str">
        <f>Constantes!$Q$9</f>
        <v>junior</v>
      </c>
      <c r="Z222" s="286" t="str">
        <f>Constantes!$R$9</f>
        <v>senior</v>
      </c>
      <c r="AA222" s="286" t="str">
        <f>Constantes!$S$9</f>
        <v>premium</v>
      </c>
      <c r="AJ222" s="286" t="str">
        <f>Constantes!$Q$9</f>
        <v>junior</v>
      </c>
      <c r="AK222" s="286" t="str">
        <f>Constantes!$R$9</f>
        <v>senior</v>
      </c>
      <c r="AL222" s="286" t="str">
        <f>Constantes!$S$9</f>
        <v>premium</v>
      </c>
      <c r="AR222" s="24"/>
      <c r="AU222" s="287" t="str">
        <f>Constantes!$Q$9</f>
        <v>junior</v>
      </c>
      <c r="AV222" s="287" t="str">
        <f>Constantes!$R$9</f>
        <v>senior</v>
      </c>
      <c r="AW222" s="287" t="str">
        <f>Constantes!$S$9</f>
        <v>premium</v>
      </c>
    </row>
    <row r="223" spans="1:49" ht="21" customHeight="1" x14ac:dyDescent="0.25">
      <c r="A223" s="12" t="s">
        <v>4</v>
      </c>
      <c r="B223" s="54" t="s">
        <v>5</v>
      </c>
      <c r="C223" s="127">
        <f ca="1">IF(C190&lt;&gt;0,MIN(MAX(Constantes!$K10+C$203+$C$205+$C$206+C210+$C$204,0),1),0)</f>
        <v>0.73199999999999998</v>
      </c>
      <c r="D223" s="127">
        <f ca="1">IF(D190&lt;&gt;0,MIN(MAX(Constantes!$L10+D$203+$C$205+$C$206+D210+$C$204,0),1),0)</f>
        <v>0.45324999999999999</v>
      </c>
      <c r="E223" s="127">
        <f ca="1">IF(E190&lt;&gt;0,MIN(MAX(Constantes!$M10+E$203+$C$205+$C$206+E210+$C$204,0),1),0)</f>
        <v>0.41409999999999991</v>
      </c>
      <c r="L223" s="12" t="s">
        <v>4</v>
      </c>
      <c r="M223" s="54" t="s">
        <v>5</v>
      </c>
      <c r="N223" s="127">
        <f ca="1">IF(N190&lt;&gt;0,MIN(MAX(Constantes!$K10+N$203+$N$205+$N$206+N210+$N$204,0),1),0)</f>
        <v>0.8</v>
      </c>
      <c r="O223" s="127">
        <f ca="1">IF(O190&lt;&gt;0,MIN(MAX(Constantes!$L10+O$203+$N$205+$N$206+O210+$N$204,0),1),0)</f>
        <v>0.61008333333333342</v>
      </c>
      <c r="P223" s="127">
        <f ca="1">IF(P190&lt;&gt;0,MIN(MAX(Constantes!$M10+P$203+$N$205+$N$206+P210+$N$204,0),1),0)</f>
        <v>0.54159999999999986</v>
      </c>
      <c r="W223" s="12" t="s">
        <v>4</v>
      </c>
      <c r="X223" s="54" t="s">
        <v>5</v>
      </c>
      <c r="Y223" s="127">
        <f ca="1">IF(Y190&lt;&gt;0,MIN(MAX(Constantes!$K10+Y$203+$Y$205+$Y$206+Y210+$Y$204,0),1),0)</f>
        <v>0.63866666666666672</v>
      </c>
      <c r="Z223" s="127">
        <f ca="1">IF(Z190&lt;&gt;0,MIN(MAX(Constantes!$L10+Z$203+$Y$205+$Y$206+Z210+$Y$204,0),1),0)</f>
        <v>0.45308333333333334</v>
      </c>
      <c r="AA223" s="127">
        <f ca="1">IF(AA190&lt;&gt;0,MIN(MAX(Constantes!$M10+AA$203+$Y$205+$Y$206+AA210+$Y$204,0),1),0)</f>
        <v>0.37284999999999996</v>
      </c>
      <c r="AH223" s="12" t="s">
        <v>4</v>
      </c>
      <c r="AI223" s="54" t="s">
        <v>5</v>
      </c>
      <c r="AJ223" s="127">
        <f ca="1">IF(AJ190&lt;&gt;0,MIN(MAX(Constantes!$K10+AJ$203+$AJ$205+$AJ$206+AJ210+$AJ$204,0),1),0)</f>
        <v>0.63866666666666672</v>
      </c>
      <c r="AK223" s="127">
        <f ca="1">IF(AK190&lt;&gt;0,MIN(MAX(Constantes!$L10+AK$203+$AJ$205+$AJ$206+AK210+$AJ$204,0),1),0)</f>
        <v>0.44737499999999997</v>
      </c>
      <c r="AL223" s="127">
        <f ca="1">IF(AL190&lt;&gt;0,MIN(MAX(Constantes!$M10+AL$203+$AJ$205+$AJ$206+AL210+$AJ$204,0),1),0)</f>
        <v>0.36284999999999995</v>
      </c>
      <c r="AR223" s="24"/>
      <c r="AS223" s="12" t="s">
        <v>4</v>
      </c>
      <c r="AT223" s="54" t="s">
        <v>5</v>
      </c>
      <c r="AU223" s="127">
        <f ca="1">IF(AU190&lt;&gt;0,MIN(MAX(Constantes!$K10+AU$203+$AU$205+$AU$206+AU210+$AU$204,0),1),0)</f>
        <v>0.6203333333333334</v>
      </c>
      <c r="AV223" s="127">
        <f ca="1">IF(AV190&lt;&gt;0,MIN(MAX(Constantes!$L10+AV$203+$AU$205+$AU$206+AV210+$AU$204,0),1),0)</f>
        <v>0.44062499999999999</v>
      </c>
      <c r="AW223" s="127">
        <f ca="1">IF(AW190&lt;&gt;0,MIN(MAX(Constantes!$M10+AW$203+$AU$205+$AU$206+AW210+$AU$204,0),1),0)</f>
        <v>0.36409999999999992</v>
      </c>
    </row>
    <row r="224" spans="1:49" ht="21" customHeight="1" thickBot="1" x14ac:dyDescent="0.3">
      <c r="A224" s="15"/>
      <c r="B224" s="56" t="s">
        <v>31</v>
      </c>
      <c r="C224" s="127">
        <f ca="1">IF(C191&lt;&gt;0,MIN(MAX(Constantes!$K11+C$203+$C$205+$C$206+C211+$C$204,0),1),0)</f>
        <v>0</v>
      </c>
      <c r="D224" s="127">
        <f ca="1">IF(D191&lt;&gt;0,MIN(MAX(Constantes!$L11+D$203+$C$205+$C$206+D211+$C$204,0),1),0)</f>
        <v>0.45324999999999999</v>
      </c>
      <c r="E224" s="127">
        <f ca="1">IF(E191&lt;&gt;0,MIN(MAX(Constantes!$M11+E$203+$C$205+$C$206+E211+$C$204,0),1),0)</f>
        <v>0.56410000000000005</v>
      </c>
      <c r="L224" s="15"/>
      <c r="M224" s="56" t="s">
        <v>31</v>
      </c>
      <c r="N224" s="127">
        <f ca="1">IF(N191&lt;&gt;0,MIN(MAX(Constantes!$K11+N$203+$N$205+$N$206+N211+$N$204,0),1),0)</f>
        <v>0</v>
      </c>
      <c r="O224" s="127">
        <f ca="1">IF(O191&lt;&gt;0,MIN(MAX(Constantes!$L11+O$203+$N$205+$N$206+O211+$N$204,0),1),0)</f>
        <v>0.61008333333333342</v>
      </c>
      <c r="P224" s="127">
        <f ca="1">IF(P191&lt;&gt;0,MIN(MAX(Constantes!$M11+P$203+$N$205+$N$206+P211+$N$204,0),1),0)</f>
        <v>0.69159999999999999</v>
      </c>
      <c r="W224" s="15"/>
      <c r="X224" s="56" t="s">
        <v>31</v>
      </c>
      <c r="Y224" s="127">
        <f ca="1">IF(Y191&lt;&gt;0,MIN(MAX(Constantes!$K11+Y$203+$Y$205+$Y$206+Y211+$Y$204,0),1),0)</f>
        <v>0.48866666666666658</v>
      </c>
      <c r="Z224" s="127">
        <f ca="1">IF(Z191&lt;&gt;0,MIN(MAX(Constantes!$L11+Z$203+$Y$205+$Y$206+Z211+$Y$204,0),1),0)</f>
        <v>0.45308333333333334</v>
      </c>
      <c r="AA224" s="127">
        <f ca="1">IF(AA191&lt;&gt;0,MIN(MAX(Constantes!$M11+AA$203+$Y$205+$Y$206+AA211+$Y$204,0),1),0)</f>
        <v>0.52285000000000004</v>
      </c>
      <c r="AH224" s="15"/>
      <c r="AI224" s="56" t="s">
        <v>31</v>
      </c>
      <c r="AJ224" s="127">
        <f ca="1">IF(AJ191&lt;&gt;0,MIN(MAX(Constantes!$K11+AJ$203+$AJ$205+$AJ$206+AJ211+$AJ$204,0),1),0)</f>
        <v>0.48866666666666658</v>
      </c>
      <c r="AK224" s="127">
        <f ca="1">IF(AK191&lt;&gt;0,MIN(MAX(Constantes!$L11+AK$203+$AJ$205+$AJ$206+AK211+$AJ$204,0),1),0)</f>
        <v>0.44737499999999997</v>
      </c>
      <c r="AL224" s="127">
        <f ca="1">IF(AL191&lt;&gt;0,MIN(MAX(Constantes!$M11+AL$203+$AJ$205+$AJ$206+AL211+$AJ$204,0),1),0)</f>
        <v>0.51285000000000003</v>
      </c>
      <c r="AR224" s="24"/>
      <c r="AS224" s="15"/>
      <c r="AT224" s="56" t="s">
        <v>31</v>
      </c>
      <c r="AU224" s="127">
        <f ca="1">IF(AU191&lt;&gt;0,MIN(MAX(Constantes!$K11+AU$203+$AU$205+$AU$206+AU211+$AU$204,0),1),0)</f>
        <v>0.47033333333333327</v>
      </c>
      <c r="AV224" s="127">
        <f ca="1">IF(AV191&lt;&gt;0,MIN(MAX(Constantes!$L11+AV$203+$AU$205+$AU$206+AV211+$AU$204,0),1),0)</f>
        <v>0.44062499999999999</v>
      </c>
      <c r="AW224" s="127">
        <f ca="1">IF(AW191&lt;&gt;0,MIN(MAX(Constantes!$M11+AW$203+$AU$205+$AU$206+AW211+$AU$204,0),1),0)</f>
        <v>0.5141</v>
      </c>
    </row>
    <row r="225" spans="1:50" ht="21" customHeight="1" x14ac:dyDescent="0.25">
      <c r="A225" s="12" t="s">
        <v>6</v>
      </c>
      <c r="B225" s="54" t="s">
        <v>7</v>
      </c>
      <c r="C225" s="127">
        <f ca="1">IF(C192&lt;&gt;0,MIN(MAX(Constantes!$K12+C$203+$C$205+$C$206+C212+$C$204,0),1),0)</f>
        <v>0</v>
      </c>
      <c r="D225" s="127">
        <f ca="1">IF(D192&lt;&gt;0,MIN(MAX(Constantes!$L12+D$203+$C$205+$C$206+D212+$C$204,0),1),0)</f>
        <v>0.75324999999999998</v>
      </c>
      <c r="E225" s="127">
        <f ca="1">IF(E192&lt;&gt;0,MIN(MAX(Constantes!$M12+E$203+$C$205+$C$206+E212+$C$204,0),1),0)</f>
        <v>0.86409999999999998</v>
      </c>
      <c r="L225" s="12" t="s">
        <v>6</v>
      </c>
      <c r="M225" s="54" t="s">
        <v>7</v>
      </c>
      <c r="N225" s="127">
        <f ca="1">IF(N192&lt;&gt;0,MIN(MAX(Constantes!$K12+N$203+$N$205+$N$206+N212+$N$204,0),1),0)</f>
        <v>0</v>
      </c>
      <c r="O225" s="127">
        <f ca="1">IF(O192&lt;&gt;0,MIN(MAX(Constantes!$L12+O$203+$N$205+$N$206+O212+$N$204,0),1),0)</f>
        <v>0.58008333333333328</v>
      </c>
      <c r="P225" s="127">
        <f ca="1">IF(P192&lt;&gt;0,MIN(MAX(Constantes!$M12+P$203+$N$205+$N$206+P212+$N$204,0),1),0)</f>
        <v>0.66159999999999997</v>
      </c>
      <c r="W225" s="12" t="s">
        <v>6</v>
      </c>
      <c r="X225" s="54" t="s">
        <v>7</v>
      </c>
      <c r="Y225" s="127">
        <f ca="1">IF(Y192&lt;&gt;0,MIN(MAX(Constantes!$K12+Y$203+$Y$205+$Y$206+Y212+$Y$204,0),1),0)</f>
        <v>0</v>
      </c>
      <c r="Z225" s="127">
        <f ca="1">IF(Z192&lt;&gt;0,MIN(MAX(Constantes!$L12+Z$203+$Y$205+$Y$206+Z212+$Y$204,0),1),0)</f>
        <v>0.42308333333333331</v>
      </c>
      <c r="AA225" s="127">
        <f ca="1">IF(AA192&lt;&gt;0,MIN(MAX(Constantes!$M12+AA$203+$Y$205+$Y$206+AA212+$Y$204,0),1),0)</f>
        <v>0.49284999999999995</v>
      </c>
      <c r="AH225" s="12" t="s">
        <v>6</v>
      </c>
      <c r="AI225" s="54" t="s">
        <v>7</v>
      </c>
      <c r="AJ225" s="127">
        <f ca="1">IF(AJ192&lt;&gt;0,MIN(MAX(Constantes!$K12+AJ$203+$AJ$205+$AJ$206+AJ212+$AJ$204,0),1),0)</f>
        <v>0.40866666666666662</v>
      </c>
      <c r="AK225" s="127">
        <f ca="1">IF(AK192&lt;&gt;0,MIN(MAX(Constantes!$L12+AK$203+$AJ$205+$AJ$206+AK212+$AJ$204,0),1),0)</f>
        <v>0.41737499999999994</v>
      </c>
      <c r="AL225" s="127">
        <f ca="1">IF(AL192&lt;&gt;0,MIN(MAX(Constantes!$M12+AL$203+$AJ$205+$AJ$206+AL212+$AJ$204,0),1),0)</f>
        <v>0.48284999999999995</v>
      </c>
      <c r="AR225" s="24"/>
      <c r="AS225" s="12" t="s">
        <v>6</v>
      </c>
      <c r="AT225" s="54" t="s">
        <v>7</v>
      </c>
      <c r="AU225" s="127">
        <f ca="1">IF(AU192&lt;&gt;0,MIN(MAX(Constantes!$K12+AU$203+$AU$205+$AU$206+AU212+$AU$204,0),1),0)</f>
        <v>0.39033333333333331</v>
      </c>
      <c r="AV225" s="127">
        <f ca="1">IF(AV192&lt;&gt;0,MIN(MAX(Constantes!$L12+AV$203+$AU$205+$AU$206+AV212+$AU$204,0),1),0)</f>
        <v>0.41062499999999996</v>
      </c>
      <c r="AW225" s="127">
        <f ca="1">IF(AW192&lt;&gt;0,MIN(MAX(Constantes!$M12+AW$203+$AU$205+$AU$206+AW212+$AU$204,0),1),0)</f>
        <v>0.48409999999999997</v>
      </c>
    </row>
    <row r="226" spans="1:50" ht="21" customHeight="1" x14ac:dyDescent="0.25">
      <c r="A226" s="17"/>
      <c r="B226" s="57" t="s">
        <v>8</v>
      </c>
      <c r="C226" s="127">
        <f ca="1">IF(C193&lt;&gt;0,MIN(MAX(Constantes!$K13+C$203+$C$205+$C$206+C213+$C$204,0),1),0)</f>
        <v>0.43199999999999994</v>
      </c>
      <c r="D226" s="127">
        <f ca="1">IF(D193&lt;&gt;0,MIN(MAX(Constantes!$L13+D$203+$C$205+$C$206+D213+$C$204,0),1),0)</f>
        <v>0.40324999999999994</v>
      </c>
      <c r="E226" s="127">
        <f ca="1">IF(E193&lt;&gt;0,MIN(MAX(Constantes!$M13+E$203+$C$205+$C$206+E213+$C$204,0),1),0)</f>
        <v>0.36409999999999992</v>
      </c>
      <c r="L226" s="17"/>
      <c r="M226" s="57" t="s">
        <v>8</v>
      </c>
      <c r="N226" s="127">
        <f ca="1">IF(N193&lt;&gt;0,MIN(MAX(Constantes!$K13+N$203+$N$205+$N$206+N213+$N$204,0),1),0)</f>
        <v>0.60000000000000009</v>
      </c>
      <c r="O226" s="127">
        <f ca="1">IF(O193&lt;&gt;0,MIN(MAX(Constantes!$L13+O$203+$N$205+$N$206+O213+$N$204,0),1),0)</f>
        <v>0.56008333333333338</v>
      </c>
      <c r="P226" s="127">
        <f ca="1">IF(P193&lt;&gt;0,MIN(MAX(Constantes!$M13+P$203+$N$205+$N$206+P213+$N$204,0),1),0)</f>
        <v>0.49159999999999993</v>
      </c>
      <c r="W226" s="17"/>
      <c r="X226" s="57" t="s">
        <v>8</v>
      </c>
      <c r="Y226" s="127">
        <f ca="1">IF(Y193&lt;&gt;0,MIN(MAX(Constantes!$K13+Y$203+$Y$205+$Y$206+Y213+$Y$204,0),1),0)</f>
        <v>0.43866666666666659</v>
      </c>
      <c r="Z226" s="127">
        <f ca="1">IF(Z193&lt;&gt;0,MIN(MAX(Constantes!$L13+Z$203+$Y$205+$Y$206+Z213+$Y$204,0),1),0)</f>
        <v>0.40308333333333329</v>
      </c>
      <c r="AA226" s="127">
        <f ca="1">IF(AA193&lt;&gt;0,MIN(MAX(Constantes!$M13+AA$203+$Y$205+$Y$206+AA213+$Y$204,0),1),0)</f>
        <v>0.32284999999999991</v>
      </c>
      <c r="AH226" s="17"/>
      <c r="AI226" s="57" t="s">
        <v>8</v>
      </c>
      <c r="AJ226" s="127">
        <f ca="1">IF(AJ193&lt;&gt;0,MIN(MAX(Constantes!$K13+AJ$203+$AJ$205+$AJ$206+AJ213+$AJ$204,0),1),0)</f>
        <v>0.43866666666666659</v>
      </c>
      <c r="AK226" s="127">
        <f ca="1">IF(AK193&lt;&gt;0,MIN(MAX(Constantes!$L13+AK$203+$AJ$205+$AJ$206+AK213+$AJ$204,0),1),0)</f>
        <v>0.39737499999999992</v>
      </c>
      <c r="AL226" s="127">
        <f ca="1">IF(AL193&lt;&gt;0,MIN(MAX(Constantes!$M13+AL$203+$AJ$205+$AJ$206+AL213+$AJ$204,0),1),0)</f>
        <v>0.31284999999999991</v>
      </c>
      <c r="AR226" s="24"/>
      <c r="AS226" s="17"/>
      <c r="AT226" s="57" t="s">
        <v>8</v>
      </c>
      <c r="AU226" s="127">
        <f ca="1">IF(AU193&lt;&gt;0,MIN(MAX(Constantes!$K13+AU$203+$AU$205+$AU$206+AU213+$AU$204,0),1),0)</f>
        <v>0.42033333333333328</v>
      </c>
      <c r="AV226" s="127">
        <f ca="1">IF(AV193&lt;&gt;0,MIN(MAX(Constantes!$L13+AV$203+$AU$205+$AU$206+AV213+$AU$204,0),1),0)</f>
        <v>0.39062499999999994</v>
      </c>
      <c r="AW226" s="127">
        <f ca="1">IF(AW193&lt;&gt;0,MIN(MAX(Constantes!$M13+AW$203+$AU$205+$AU$206+AW213+$AU$204,0),1),0)</f>
        <v>0.31409999999999993</v>
      </c>
    </row>
    <row r="227" spans="1:50" ht="21" customHeight="1" thickBot="1" x14ac:dyDescent="0.3">
      <c r="A227" s="15"/>
      <c r="B227" s="56" t="s">
        <v>157</v>
      </c>
      <c r="C227" s="127">
        <f ca="1">IF(C194&lt;&gt;0,MIN(MAX(Constantes!$K14+C$203+$C$205+$C$206+C214+$C$204,0),1),0)</f>
        <v>0</v>
      </c>
      <c r="D227" s="127">
        <f ca="1">IF(D194&lt;&gt;0,MIN(MAX(Constantes!$L14+D$203+$C$205+$C$206+D214+$C$204,0),1),0)</f>
        <v>0.30324999999999996</v>
      </c>
      <c r="E227" s="127">
        <f ca="1">IF(E194&lt;&gt;0,MIN(MAX(Constantes!$M14+E$203+$C$205+$C$206+E214+$C$204,0),1),0)</f>
        <v>0.21409999999999996</v>
      </c>
      <c r="L227" s="15"/>
      <c r="M227" s="56" t="s">
        <v>157</v>
      </c>
      <c r="N227" s="127">
        <f ca="1">IF(N194&lt;&gt;0,MIN(MAX(Constantes!$K14+N$203+$N$205+$N$206+N214+$N$204,0),1),0)</f>
        <v>0.55000000000000004</v>
      </c>
      <c r="O227" s="127">
        <f ca="1">IF(O194&lt;&gt;0,MIN(MAX(Constantes!$L14+O$203+$N$205+$N$206+O214+$N$204,0),1),0)</f>
        <v>0.46008333333333329</v>
      </c>
      <c r="P227" s="127">
        <f ca="1">IF(P194&lt;&gt;0,MIN(MAX(Constantes!$M14+P$203+$N$205+$N$206+P214+$N$204,0),1),0)</f>
        <v>0.34159999999999996</v>
      </c>
      <c r="W227" s="15"/>
      <c r="X227" s="56" t="s">
        <v>157</v>
      </c>
      <c r="Y227" s="127">
        <f ca="1">IF(Y194&lt;&gt;0,MIN(MAX(Constantes!$K14+Y$203+$Y$205+$Y$206+Y214+$Y$204,0),1),0)</f>
        <v>0.43866666666666659</v>
      </c>
      <c r="Z227" s="127">
        <f ca="1">IF(Z194&lt;&gt;0,MIN(MAX(Constantes!$L14+Z$203+$Y$205+$Y$206+Z214+$Y$204,0),1),0)</f>
        <v>0.30308333333333332</v>
      </c>
      <c r="AA227" s="127">
        <f ca="1">IF(AA194&lt;&gt;0,MIN(MAX(Constantes!$M14+AA$203+$Y$205+$Y$206+AA214+$Y$204,0),1),0)</f>
        <v>0.17284999999999995</v>
      </c>
      <c r="AH227" s="15"/>
      <c r="AI227" s="56" t="s">
        <v>157</v>
      </c>
      <c r="AJ227" s="127">
        <f ca="1">IF(AJ194&lt;&gt;0,MIN(MAX(Constantes!$K14+AJ$203+$AJ$205+$AJ$206+AJ214+$AJ$204,0),1),0)</f>
        <v>0.43866666666666659</v>
      </c>
      <c r="AK227" s="127">
        <f ca="1">IF(AK194&lt;&gt;0,MIN(MAX(Constantes!$L14+AK$203+$AJ$205+$AJ$206+AK214+$AJ$204,0),1),0)</f>
        <v>0.29737499999999994</v>
      </c>
      <c r="AL227" s="127">
        <f ca="1">IF(AL194&lt;&gt;0,MIN(MAX(Constantes!$M14+AL$203+$AJ$205+$AJ$206+AL214+$AJ$204,0),1),0)</f>
        <v>0.16284999999999994</v>
      </c>
      <c r="AR227" s="24"/>
      <c r="AS227" s="15"/>
      <c r="AT227" s="56" t="s">
        <v>157</v>
      </c>
      <c r="AU227" s="127">
        <f ca="1">IF(AU194&lt;&gt;0,MIN(MAX(Constantes!$K14+AU$203+$AU$205+$AU$206+AU214+$AU$204,0),1),0)</f>
        <v>0.42033333333333328</v>
      </c>
      <c r="AV227" s="127">
        <f ca="1">IF(AV194&lt;&gt;0,MIN(MAX(Constantes!$L14+AV$203+$AU$205+$AU$206+AV214+$AU$204,0),1),0)</f>
        <v>0.29062499999999997</v>
      </c>
      <c r="AW227" s="127">
        <f ca="1">IF(AW194&lt;&gt;0,MIN(MAX(Constantes!$M14+AW$203+$AU$205+$AU$206+AW214+$AU$204,0),1),0)</f>
        <v>0.16409999999999997</v>
      </c>
    </row>
    <row r="228" spans="1:50" ht="21" customHeight="1" x14ac:dyDescent="0.25">
      <c r="A228" s="12" t="s">
        <v>9</v>
      </c>
      <c r="B228" s="54" t="s">
        <v>32</v>
      </c>
      <c r="C228" s="127">
        <f ca="1">IF(C195&lt;&gt;0,MIN(MAX(Constantes!$K15+C$203+$C$205+$C$206+C215+$C$204,0),1),0)</f>
        <v>0</v>
      </c>
      <c r="D228" s="127">
        <f ca="1">IF(D195&lt;&gt;0,MIN(MAX(Constantes!$L15+D$203+$C$205+$C$206+D215+$C$204,0),1),0)</f>
        <v>0.65324999999999989</v>
      </c>
      <c r="E228" s="127">
        <f ca="1">IF(E195&lt;&gt;0,MIN(MAX(Constantes!$M15+E$203+$C$205+$C$206+E215+$C$204,0),1),0)</f>
        <v>0</v>
      </c>
      <c r="L228" s="12" t="s">
        <v>9</v>
      </c>
      <c r="M228" s="54" t="s">
        <v>32</v>
      </c>
      <c r="N228" s="127">
        <f ca="1">IF(N195&lt;&gt;0,MIN(MAX(Constantes!$K15+N$203+$N$205+$N$206+N215+$N$204,0),1),0)</f>
        <v>0</v>
      </c>
      <c r="O228" s="127">
        <f ca="1">IF(O195&lt;&gt;0,MIN(MAX(Constantes!$L15+O$203+$N$205+$N$206+O215+$N$204,0),1),0)</f>
        <v>0.56008333333333338</v>
      </c>
      <c r="P228" s="127">
        <f ca="1">IF(P195&lt;&gt;0,MIN(MAX(Constantes!$M15+P$203+$N$205+$N$206+P215+$N$204,0),1),0)</f>
        <v>0</v>
      </c>
      <c r="W228" s="12" t="s">
        <v>9</v>
      </c>
      <c r="X228" s="54" t="s">
        <v>32</v>
      </c>
      <c r="Y228" s="127">
        <f ca="1">IF(Y195&lt;&gt;0,MIN(MAX(Constantes!$K15+Y$203+$Y$205+$Y$206+Y215+$Y$204,0),1),0)</f>
        <v>0</v>
      </c>
      <c r="Z228" s="127">
        <f ca="1">IF(Z195&lt;&gt;0,MIN(MAX(Constantes!$L15+Z$203+$Y$205+$Y$206+Z215+$Y$204,0),1),0)</f>
        <v>0.40308333333333329</v>
      </c>
      <c r="AA228" s="127">
        <f ca="1">IF(AA195&lt;&gt;0,MIN(MAX(Constantes!$M15+AA$203+$Y$205+$Y$206+AA215+$Y$204,0),1),0)</f>
        <v>0.32284999999999991</v>
      </c>
      <c r="AH228" s="12" t="s">
        <v>9</v>
      </c>
      <c r="AI228" s="54" t="s">
        <v>32</v>
      </c>
      <c r="AJ228" s="127">
        <f ca="1">IF(AJ195&lt;&gt;0,MIN(MAX(Constantes!$K15+AJ$203+$AJ$205+$AJ$206+AJ215+$AJ$204,0),1),0)</f>
        <v>0.48866666666666658</v>
      </c>
      <c r="AK228" s="127">
        <f ca="1">IF(AK195&lt;&gt;0,MIN(MAX(Constantes!$L15+AK$203+$AJ$205+$AJ$206+AK215+$AJ$204,0),1),0)</f>
        <v>0.39737499999999992</v>
      </c>
      <c r="AL228" s="127">
        <f ca="1">IF(AL195&lt;&gt;0,MIN(MAX(Constantes!$M15+AL$203+$AJ$205+$AJ$206+AL215+$AJ$204,0),1),0)</f>
        <v>0.31284999999999991</v>
      </c>
      <c r="AR228" s="24"/>
      <c r="AS228" s="12" t="s">
        <v>9</v>
      </c>
      <c r="AT228" s="54" t="s">
        <v>32</v>
      </c>
      <c r="AU228" s="127">
        <f ca="1">IF(AU195&lt;&gt;0,MIN(MAX(Constantes!$K15+AU$203+$AU$205+$AU$206+AU215+$AU$204,0),1),0)</f>
        <v>0.47033333333333327</v>
      </c>
      <c r="AV228" s="127">
        <f ca="1">IF(AV195&lt;&gt;0,MIN(MAX(Constantes!$L15+AV$203+$AU$205+$AU$206+AV215+$AU$204,0),1),0)</f>
        <v>0.39062499999999994</v>
      </c>
      <c r="AW228" s="127">
        <f ca="1">IF(AW195&lt;&gt;0,MIN(MAX(Constantes!$M15+AW$203+$AU$205+$AU$206+AW215+$AU$204,0),1),0)</f>
        <v>0.31409999999999993</v>
      </c>
    </row>
    <row r="229" spans="1:50" ht="21" customHeight="1" thickBot="1" x14ac:dyDescent="0.3">
      <c r="A229" s="15"/>
      <c r="B229" s="56" t="s">
        <v>10</v>
      </c>
      <c r="C229" s="127">
        <f ca="1">IF(C196&lt;&gt;0,MIN(MAX(Constantes!$K16+C$203+$C$205+$C$206+C216+$C$204,0),1),0)</f>
        <v>0</v>
      </c>
      <c r="D229" s="127">
        <f ca="1">IF(D196&lt;&gt;0,MIN(MAX(Constantes!$L16+D$203+$C$205+$C$206+D216+$C$204,0),1),0)</f>
        <v>0.40324999999999994</v>
      </c>
      <c r="E229" s="127">
        <f ca="1">IF(E196&lt;&gt;0,MIN(MAX(Constantes!$M16+E$203+$C$205+$C$206+E216+$C$204,0),1),0)</f>
        <v>0.56409999999999993</v>
      </c>
      <c r="L229" s="15"/>
      <c r="M229" s="56" t="s">
        <v>10</v>
      </c>
      <c r="N229" s="127">
        <f ca="1">IF(N196&lt;&gt;0,MIN(MAX(Constantes!$K16+N$203+$N$205+$N$206+N216+$N$204,0),1),0)</f>
        <v>0</v>
      </c>
      <c r="O229" s="127">
        <f ca="1">IF(O196&lt;&gt;0,MIN(MAX(Constantes!$L16+O$203+$N$205+$N$206+O216+$N$204,0),1),0)</f>
        <v>0.56008333333333338</v>
      </c>
      <c r="P229" s="127">
        <f ca="1">IF(P196&lt;&gt;0,MIN(MAX(Constantes!$M16+P$203+$N$205+$N$206+P216+$N$204,0),1),0)</f>
        <v>0.44159999999999994</v>
      </c>
      <c r="W229" s="15"/>
      <c r="X229" s="56" t="s">
        <v>10</v>
      </c>
      <c r="Y229" s="127">
        <f ca="1">IF(Y196&lt;&gt;0,MIN(MAX(Constantes!$K16+Y$203+$Y$205+$Y$206+Y216+$Y$204,0),1),0)</f>
        <v>0</v>
      </c>
      <c r="Z229" s="127">
        <f ca="1">IF(Z196&lt;&gt;0,MIN(MAX(Constantes!$L16+Z$203+$Y$205+$Y$206+Z216+$Y$204,0),1),0)</f>
        <v>0.40308333333333329</v>
      </c>
      <c r="AA229" s="127">
        <f ca="1">IF(AA196&lt;&gt;0,MIN(MAX(Constantes!$M16+AA$203+$Y$205+$Y$206+AA216+$Y$204,0),1),0)</f>
        <v>0.27284999999999998</v>
      </c>
      <c r="AH229" s="15"/>
      <c r="AI229" s="56" t="s">
        <v>10</v>
      </c>
      <c r="AJ229" s="127">
        <f ca="1">IF(AJ196&lt;&gt;0,MIN(MAX(Constantes!$K16+AJ$203+$AJ$205+$AJ$206+AJ216+$AJ$204,0),1),0)</f>
        <v>0</v>
      </c>
      <c r="AK229" s="127">
        <f ca="1">IF(AK196&lt;&gt;0,MIN(MAX(Constantes!$L16+AK$203+$AJ$205+$AJ$206+AK216+$AJ$204,0),1),0)</f>
        <v>0.39737499999999992</v>
      </c>
      <c r="AL229" s="127">
        <f ca="1">IF(AL196&lt;&gt;0,MIN(MAX(Constantes!$M16+AL$203+$AJ$205+$AJ$206+AL216+$AJ$204,0),1),0)</f>
        <v>0.26284999999999997</v>
      </c>
      <c r="AR229" s="24"/>
      <c r="AS229" s="15"/>
      <c r="AT229" s="56" t="s">
        <v>10</v>
      </c>
      <c r="AU229" s="127">
        <f ca="1">IF(AU196&lt;&gt;0,MIN(MAX(Constantes!$K16+AU$203+$AU$205+$AU$206+AU216+$AU$204,0),1),0)</f>
        <v>0.3203333333333333</v>
      </c>
      <c r="AV229" s="127">
        <f ca="1">IF(AV196&lt;&gt;0,MIN(MAX(Constantes!$L16+AV$203+$AU$205+$AU$206+AV216+$AU$204,0),1),0)</f>
        <v>0.39062499999999994</v>
      </c>
      <c r="AW229" s="127">
        <f ca="1">IF(AW196&lt;&gt;0,MIN(MAX(Constantes!$M16+AW$203+$AU$205+$AU$206+AW216+$AU$204,0),1),0)</f>
        <v>0.26409999999999995</v>
      </c>
    </row>
    <row r="230" spans="1:50" ht="21" customHeight="1" x14ac:dyDescent="0.25">
      <c r="A230" s="12" t="s">
        <v>11</v>
      </c>
      <c r="B230" s="54" t="s">
        <v>33</v>
      </c>
      <c r="C230" s="127">
        <f ca="1">IF(C197&lt;&gt;0,MIN(MAX(Constantes!$K17+C$203+$C$205+$C$206+C217+$C$204,0),1),0)</f>
        <v>0.60199999999999998</v>
      </c>
      <c r="D230" s="127">
        <f ca="1">IF(D197&lt;&gt;0,MIN(MAX(Constantes!$L17+D$203+$C$205+$C$206+D217+$C$204,0),1),0)</f>
        <v>0.52324999999999999</v>
      </c>
      <c r="E230" s="127">
        <f ca="1">IF(E197&lt;&gt;0,MIN(MAX(Constantes!$M17+E$203+$C$205+$C$206+E217+$C$204,0),1),0)</f>
        <v>0.53410000000000002</v>
      </c>
      <c r="L230" s="12" t="s">
        <v>11</v>
      </c>
      <c r="M230" s="54" t="s">
        <v>33</v>
      </c>
      <c r="N230" s="127">
        <f ca="1">IF(N197&lt;&gt;0,MIN(MAX(Constantes!$K17+N$203+$N$205+$N$206+N217+$N$204,0),1),0)</f>
        <v>0.77</v>
      </c>
      <c r="O230" s="127">
        <f ca="1">IF(O197&lt;&gt;0,MIN(MAX(Constantes!$L17+O$203+$N$205+$N$206+O217+$N$204,0),1),0)</f>
        <v>0.68008333333333337</v>
      </c>
      <c r="P230" s="127">
        <f ca="1">IF(P197&lt;&gt;0,MIN(MAX(Constantes!$M17+P$203+$N$205+$N$206+P217+$N$204,0),1),0)</f>
        <v>0.66159999999999997</v>
      </c>
      <c r="W230" s="12" t="s">
        <v>11</v>
      </c>
      <c r="X230" s="54" t="s">
        <v>33</v>
      </c>
      <c r="Y230" s="127">
        <f ca="1">IF(Y197&lt;&gt;0,MIN(MAX(Constantes!$K17+Y$203+$Y$205+$Y$206+Y217+$Y$204,0),1),0)</f>
        <v>0.60866666666666669</v>
      </c>
      <c r="Z230" s="127">
        <f ca="1">IF(Z197&lt;&gt;0,MIN(MAX(Constantes!$L17+Z$203+$Y$205+$Y$206+Z217+$Y$204,0),1),0)</f>
        <v>0.52308333333333334</v>
      </c>
      <c r="AA230" s="127">
        <f ca="1">IF(AA197&lt;&gt;0,MIN(MAX(Constantes!$M17+AA$203+$Y$205+$Y$206+AA217+$Y$204,0),1),0)</f>
        <v>0.49285000000000001</v>
      </c>
      <c r="AH230" s="12" t="s">
        <v>11</v>
      </c>
      <c r="AI230" s="54" t="s">
        <v>33</v>
      </c>
      <c r="AJ230" s="127">
        <f ca="1">IF(AJ197&lt;&gt;0,MIN(MAX(Constantes!$K17+AJ$203+$AJ$205+$AJ$206+AJ217+$AJ$204,0),1),0)</f>
        <v>0.60866666666666669</v>
      </c>
      <c r="AK230" s="127">
        <f ca="1">IF(AK197&lt;&gt;0,MIN(MAX(Constantes!$L17+AK$203+$AJ$205+$AJ$206+AK217+$AJ$204,0),1),0)</f>
        <v>0.51737499999999992</v>
      </c>
      <c r="AL230" s="127">
        <f ca="1">IF(AL197&lt;&gt;0,MIN(MAX(Constantes!$M17+AL$203+$AJ$205+$AJ$206+AL217+$AJ$204,0),1),0)</f>
        <v>0.48285</v>
      </c>
      <c r="AR230" s="24"/>
      <c r="AS230" s="12" t="s">
        <v>11</v>
      </c>
      <c r="AT230" s="54" t="s">
        <v>33</v>
      </c>
      <c r="AU230" s="127">
        <f ca="1">IF(AU197&lt;&gt;0,MIN(MAX(Constantes!$K17+AU$203+$AU$205+$AU$206+AU217+$AU$204,0),1),0)</f>
        <v>0.59033333333333338</v>
      </c>
      <c r="AV230" s="127">
        <f ca="1">IF(AV197&lt;&gt;0,MIN(MAX(Constantes!$L17+AV$203+$AU$205+$AU$206+AV217+$AU$204,0),1),0)</f>
        <v>0.510625</v>
      </c>
      <c r="AW230" s="127">
        <f ca="1">IF(AW197&lt;&gt;0,MIN(MAX(Constantes!$M17+AW$203+$AU$205+$AU$206+AW217+$AU$204,0),1),0)</f>
        <v>0.48409999999999997</v>
      </c>
    </row>
    <row r="231" spans="1:50" ht="21" customHeight="1" x14ac:dyDescent="0.25">
      <c r="A231" s="17"/>
      <c r="B231" s="57" t="s">
        <v>34</v>
      </c>
      <c r="C231" s="127">
        <f ca="1">IF(C198&lt;&gt;0,MIN(MAX(Constantes!$K18+C$203+$C$205+$C$206+C218+$C$204,0),1),0)</f>
        <v>0.90200000000000002</v>
      </c>
      <c r="D231" s="127">
        <f ca="1">IF(D198&lt;&gt;0,MIN(MAX(Constantes!$L18+D$203+$C$205+$C$206+D218+$C$204,0),1),0)</f>
        <v>0.92325000000000002</v>
      </c>
      <c r="E231" s="127">
        <f ca="1">IF(E198&lt;&gt;0,MIN(MAX(Constantes!$M18+E$203+$C$205+$C$206+E218+$C$204,0),1),0)</f>
        <v>0.98409999999999997</v>
      </c>
      <c r="L231" s="17"/>
      <c r="M231" s="57" t="s">
        <v>34</v>
      </c>
      <c r="N231" s="127">
        <f ca="1">IF(N198&lt;&gt;0,MIN(MAX(Constantes!$K18+N$203+$N$205+$N$206+N218+$N$204,0),1),0)</f>
        <v>1</v>
      </c>
      <c r="O231" s="127">
        <f ca="1">IF(O198&lt;&gt;0,MIN(MAX(Constantes!$L18+O$203+$N$205+$N$206+O218+$N$204,0),1),0)</f>
        <v>1</v>
      </c>
      <c r="P231" s="127">
        <f ca="1">IF(P198&lt;&gt;0,MIN(MAX(Constantes!$M18+P$203+$N$205+$N$206+P218+$N$204,0),1),0)</f>
        <v>1</v>
      </c>
      <c r="W231" s="17"/>
      <c r="X231" s="57" t="s">
        <v>34</v>
      </c>
      <c r="Y231" s="127">
        <f ca="1">IF(Y198&lt;&gt;0,MIN(MAX(Constantes!$K18+Y$203+$Y$205+$Y$206+Y218+$Y$204,0),1),0)</f>
        <v>0.90866666666666673</v>
      </c>
      <c r="Z231" s="127">
        <f ca="1">IF(Z198&lt;&gt;0,MIN(MAX(Constantes!$L18+Z$203+$Y$205+$Y$206+Z218+$Y$204,0),1),0)</f>
        <v>0.92308333333333337</v>
      </c>
      <c r="AA231" s="127">
        <f ca="1">IF(AA198&lt;&gt;0,MIN(MAX(Constantes!$M18+AA$203+$Y$205+$Y$206+AA218+$Y$204,0),1),0)</f>
        <v>0.94284999999999997</v>
      </c>
      <c r="AH231" s="17"/>
      <c r="AI231" s="57" t="s">
        <v>34</v>
      </c>
      <c r="AJ231" s="127">
        <f ca="1">IF(AJ198&lt;&gt;0,MIN(MAX(Constantes!$K18+AJ$203+$AJ$205+$AJ$206+AJ218+$AJ$204,0),1),0)</f>
        <v>0.90866666666666673</v>
      </c>
      <c r="AK231" s="127">
        <f ca="1">IF(AK198&lt;&gt;0,MIN(MAX(Constantes!$L18+AK$203+$AJ$205+$AJ$206+AK218+$AJ$204,0),1),0)</f>
        <v>0.91737500000000005</v>
      </c>
      <c r="AL231" s="127">
        <f ca="1">IF(AL198&lt;&gt;0,MIN(MAX(Constantes!$M18+AL$203+$AJ$205+$AJ$206+AL218+$AJ$204,0),1),0)</f>
        <v>0.93284999999999996</v>
      </c>
      <c r="AR231" s="24"/>
      <c r="AS231" s="17"/>
      <c r="AT231" s="57" t="s">
        <v>34</v>
      </c>
      <c r="AU231" s="127">
        <f ca="1">IF(AU198&lt;&gt;0,MIN(MAX(Constantes!$K18+AU$203+$AU$205+$AU$206+AU218+$AU$204,0),1),0)</f>
        <v>0.89033333333333342</v>
      </c>
      <c r="AV231" s="127">
        <f ca="1">IF(AV198&lt;&gt;0,MIN(MAX(Constantes!$L18+AV$203+$AU$205+$AU$206+AV218+$AU$204,0),1),0)</f>
        <v>0.91062500000000002</v>
      </c>
      <c r="AW231" s="127">
        <f ca="1">IF(AW198&lt;&gt;0,MIN(MAX(Constantes!$M18+AW$203+$AU$205+$AU$206+AW218+$AU$204,0),1),0)</f>
        <v>0.93409999999999993</v>
      </c>
    </row>
    <row r="232" spans="1:50" ht="21" customHeight="1" thickBot="1" x14ac:dyDescent="0.3">
      <c r="A232" s="15"/>
      <c r="B232" s="56" t="s">
        <v>12</v>
      </c>
      <c r="C232" s="127">
        <f ca="1">IF(C199&lt;&gt;0,MIN(MAX(Constantes!$K19+C$203+$C$205+$C$206+C219+$C$204,0),1),0)</f>
        <v>0</v>
      </c>
      <c r="D232" s="127">
        <f ca="1">IF(D199&lt;&gt;0,MIN(MAX(Constantes!$L19+D$203+$C$205+$C$206+D219+$C$204,0),1),0)</f>
        <v>0</v>
      </c>
      <c r="E232" s="127">
        <f ca="1">IF(E199&lt;&gt;0,MIN(MAX(Constantes!$M19+E$203+$C$205+$C$206+E219+$C$204,0),1),0)</f>
        <v>0</v>
      </c>
      <c r="L232" s="15"/>
      <c r="M232" s="56" t="s">
        <v>12</v>
      </c>
      <c r="N232" s="127">
        <f ca="1">IF(N199&lt;&gt;0,MIN(MAX(Constantes!$K19+N$203+$N$205+$N$206+N219+$N$204,0),1),0)</f>
        <v>0</v>
      </c>
      <c r="O232" s="127">
        <f ca="1">IF(O199&lt;&gt;0,MIN(MAX(Constantes!$L19+O$203+$N$205+$N$206+O219+$N$204,0),1),0)</f>
        <v>0</v>
      </c>
      <c r="P232" s="127">
        <f ca="1">IF(P199&lt;&gt;0,MIN(MAX(Constantes!$M19+P$203+$N$205+$N$206+P219+$N$204,0),1),0)</f>
        <v>0</v>
      </c>
      <c r="W232" s="15"/>
      <c r="X232" s="56" t="s">
        <v>12</v>
      </c>
      <c r="Y232" s="127">
        <f ca="1">IF(Y199&lt;&gt;0,MIN(MAX(Constantes!$K19+Y$203+$Y$205+$Y$206+Y219+$Y$204,0),1),0)</f>
        <v>0.48866666666666658</v>
      </c>
      <c r="Z232" s="127">
        <f ca="1">IF(Z199&lt;&gt;0,MIN(MAX(Constantes!$L19+Z$203+$Y$205+$Y$206+Z219+$Y$204,0),1),0)</f>
        <v>0</v>
      </c>
      <c r="AA232" s="127">
        <f ca="1">IF(AA199&lt;&gt;0,MIN(MAX(Constantes!$M19+AA$203+$Y$205+$Y$206+AA219+$Y$204,0),1),0)</f>
        <v>0.22284999999999999</v>
      </c>
      <c r="AH232" s="15"/>
      <c r="AI232" s="56" t="s">
        <v>12</v>
      </c>
      <c r="AJ232" s="127">
        <f ca="1">IF(AJ199&lt;&gt;0,MIN(MAX(Constantes!$K19+AJ$203+$AJ$205+$AJ$206+AJ219+$AJ$204,0),1),0)</f>
        <v>0.48866666666666658</v>
      </c>
      <c r="AK232" s="127">
        <f ca="1">IF(AK199&lt;&gt;0,MIN(MAX(Constantes!$L19+AK$203+$AJ$205+$AJ$206+AK219+$AJ$204,0),1),0)</f>
        <v>0.24737499999999996</v>
      </c>
      <c r="AL232" s="127">
        <f ca="1">IF(AL199&lt;&gt;0,MIN(MAX(Constantes!$M19+AL$203+$AJ$205+$AJ$206+AL219+$AJ$204,0),1),0)</f>
        <v>0.21284999999999998</v>
      </c>
      <c r="AR232" s="24"/>
      <c r="AS232" s="15"/>
      <c r="AT232" s="56" t="s">
        <v>12</v>
      </c>
      <c r="AU232" s="127">
        <f ca="1">IF(AU199&lt;&gt;0,MIN(MAX(Constantes!$K19+AU$203+$AU$205+$AU$206+AU219+$AU$204,0),1),0)</f>
        <v>0.47033333333333327</v>
      </c>
      <c r="AV232" s="127">
        <f ca="1">IF(AV199&lt;&gt;0,MIN(MAX(Constantes!$L19+AV$203+$AU$205+$AU$206+AV219+$AU$204,0),1),0)</f>
        <v>0.24062499999999998</v>
      </c>
      <c r="AW232" s="127">
        <f ca="1">IF(AW199&lt;&gt;0,MIN(MAX(Constantes!$M19+AW$203+$AU$205+$AU$206+AW219+$AU$204,0),1),0)</f>
        <v>0.21409999999999996</v>
      </c>
    </row>
    <row r="233" spans="1:50" ht="21" customHeight="1" x14ac:dyDescent="0.25">
      <c r="N233" s="32" t="s">
        <v>331</v>
      </c>
    </row>
    <row r="234" spans="1:50" ht="21" customHeight="1" thickBot="1" x14ac:dyDescent="0.3">
      <c r="A234" s="749"/>
      <c r="B234" s="36" t="s">
        <v>69</v>
      </c>
      <c r="C234" s="75" t="str">
        <f>C222</f>
        <v>junior</v>
      </c>
      <c r="D234" s="75" t="str">
        <f>D222</f>
        <v>senior</v>
      </c>
      <c r="E234" s="75" t="str">
        <f>E222</f>
        <v>premium</v>
      </c>
      <c r="M234" s="36" t="s">
        <v>69</v>
      </c>
      <c r="N234" s="223" t="str">
        <f>Constantes!$Q$9</f>
        <v>junior</v>
      </c>
      <c r="O234" s="223" t="str">
        <f>Constantes!$R$9</f>
        <v>senior</v>
      </c>
      <c r="P234" s="223" t="str">
        <f>Constantes!$S$9</f>
        <v>premium</v>
      </c>
      <c r="X234" s="36" t="s">
        <v>69</v>
      </c>
      <c r="Y234" s="286" t="str">
        <f>Constantes!$Q$9</f>
        <v>junior</v>
      </c>
      <c r="Z234" s="286" t="str">
        <f>Constantes!$R$9</f>
        <v>senior</v>
      </c>
      <c r="AA234" s="286" t="str">
        <f>Constantes!$S$9</f>
        <v>premium</v>
      </c>
      <c r="AI234" s="36" t="s">
        <v>69</v>
      </c>
      <c r="AJ234" s="286" t="str">
        <f>Constantes!$Q$9</f>
        <v>junior</v>
      </c>
      <c r="AK234" s="286" t="str">
        <f>Constantes!$R$9</f>
        <v>senior</v>
      </c>
      <c r="AL234" s="286" t="str">
        <f>Constantes!$S$9</f>
        <v>premium</v>
      </c>
      <c r="AT234" s="36" t="s">
        <v>69</v>
      </c>
      <c r="AU234" s="287" t="str">
        <f>Constantes!$Q$9</f>
        <v>junior</v>
      </c>
      <c r="AV234" s="287" t="str">
        <f>Constantes!$R$9</f>
        <v>senior</v>
      </c>
      <c r="AW234" s="287" t="str">
        <f>Constantes!$S$9</f>
        <v>premium</v>
      </c>
    </row>
    <row r="235" spans="1:50" ht="21" customHeight="1" x14ac:dyDescent="0.25">
      <c r="A235" s="12" t="s">
        <v>4</v>
      </c>
      <c r="B235" s="54" t="s">
        <v>5</v>
      </c>
      <c r="C235" s="252">
        <f t="shared" ref="C235:E244" ca="1" si="27">ROUNDDOWN(C190*C223,0)</f>
        <v>51</v>
      </c>
      <c r="D235" s="253">
        <f t="shared" ca="1" si="27"/>
        <v>9</v>
      </c>
      <c r="E235" s="257">
        <f t="shared" ca="1" si="27"/>
        <v>7</v>
      </c>
      <c r="F235" s="260">
        <f ca="1">SUM(C235:E235)</f>
        <v>67</v>
      </c>
      <c r="L235" s="12" t="s">
        <v>4</v>
      </c>
      <c r="M235" s="54" t="s">
        <v>5</v>
      </c>
      <c r="N235" s="126">
        <f t="shared" ref="N235:P244" ca="1" si="28">ROUNDDOWN(N190*N223,0)</f>
        <v>28</v>
      </c>
      <c r="O235" s="126">
        <f t="shared" ca="1" si="28"/>
        <v>35</v>
      </c>
      <c r="P235" s="126">
        <f t="shared" ca="1" si="28"/>
        <v>7</v>
      </c>
      <c r="Q235" s="111">
        <f ca="1">SUM(N235:P235)</f>
        <v>70</v>
      </c>
      <c r="R235" s="109"/>
      <c r="S235" s="109"/>
      <c r="T235" s="109"/>
      <c r="U235" s="109"/>
      <c r="W235" s="12" t="s">
        <v>4</v>
      </c>
      <c r="X235" s="54" t="s">
        <v>5</v>
      </c>
      <c r="Y235" s="126">
        <f t="shared" ref="Y235:AA244" ca="1" si="29">ROUNDDOWN(Y190*Y223,0)</f>
        <v>17</v>
      </c>
      <c r="Z235" s="126">
        <f t="shared" ca="1" si="29"/>
        <v>19</v>
      </c>
      <c r="AA235" s="126">
        <f t="shared" ca="1" si="29"/>
        <v>10</v>
      </c>
      <c r="AB235" s="111">
        <f ca="1">SUM(Y235:AA235)</f>
        <v>46</v>
      </c>
      <c r="AC235" s="109"/>
      <c r="AD235" s="109"/>
      <c r="AE235" s="109"/>
      <c r="AF235" s="109"/>
      <c r="AH235" s="12" t="s">
        <v>4</v>
      </c>
      <c r="AI235" s="54" t="s">
        <v>5</v>
      </c>
      <c r="AJ235" s="126">
        <f t="shared" ref="AJ235:AL244" ca="1" si="30">ROUNDDOWN(AJ190*AJ223,0)</f>
        <v>10</v>
      </c>
      <c r="AK235" s="126">
        <f t="shared" ca="1" si="30"/>
        <v>4</v>
      </c>
      <c r="AL235" s="126">
        <f t="shared" ca="1" si="30"/>
        <v>3</v>
      </c>
      <c r="AM235" s="111">
        <f ca="1">SUM(AJ235:AL235)</f>
        <v>17</v>
      </c>
      <c r="AN235" s="109"/>
      <c r="AO235" s="109"/>
      <c r="AP235" s="109"/>
      <c r="AQ235" s="109"/>
      <c r="AS235" s="12" t="s">
        <v>4</v>
      </c>
      <c r="AT235" s="54" t="s">
        <v>5</v>
      </c>
      <c r="AU235" s="126">
        <f t="shared" ref="AU235:AW244" ca="1" si="31">ROUNDDOWN(AU190*AU223,0)</f>
        <v>9</v>
      </c>
      <c r="AV235" s="126">
        <f t="shared" ca="1" si="31"/>
        <v>11</v>
      </c>
      <c r="AW235" s="126">
        <f t="shared" ca="1" si="31"/>
        <v>12</v>
      </c>
      <c r="AX235" s="111">
        <f ca="1">SUM(AU235:AW235)</f>
        <v>32</v>
      </c>
    </row>
    <row r="236" spans="1:50" ht="21" customHeight="1" thickBot="1" x14ac:dyDescent="0.3">
      <c r="A236" s="15"/>
      <c r="B236" s="56" t="s">
        <v>31</v>
      </c>
      <c r="C236" s="254">
        <f t="shared" ca="1" si="27"/>
        <v>0</v>
      </c>
      <c r="D236" s="255">
        <f t="shared" ca="1" si="27"/>
        <v>2</v>
      </c>
      <c r="E236" s="258">
        <f t="shared" ca="1" si="27"/>
        <v>6</v>
      </c>
      <c r="F236" s="260">
        <f t="shared" ref="F236:F244" ca="1" si="32">SUM(C236:E236)</f>
        <v>8</v>
      </c>
      <c r="L236" s="15"/>
      <c r="M236" s="56" t="s">
        <v>31</v>
      </c>
      <c r="N236" s="126">
        <f t="shared" ca="1" si="28"/>
        <v>0</v>
      </c>
      <c r="O236" s="126">
        <f t="shared" ca="1" si="28"/>
        <v>4</v>
      </c>
      <c r="P236" s="126">
        <f t="shared" ca="1" si="28"/>
        <v>24</v>
      </c>
      <c r="Q236" s="111">
        <f t="shared" ref="Q236:Q244" ca="1" si="33">SUM(N236:P236)</f>
        <v>28</v>
      </c>
      <c r="R236" s="109"/>
      <c r="S236" s="109"/>
      <c r="T236" s="109"/>
      <c r="U236" s="109"/>
      <c r="W236" s="15"/>
      <c r="X236" s="56" t="s">
        <v>31</v>
      </c>
      <c r="Y236" s="126">
        <f t="shared" ca="1" si="29"/>
        <v>5</v>
      </c>
      <c r="Z236" s="126">
        <f t="shared" ca="1" si="29"/>
        <v>7</v>
      </c>
      <c r="AA236" s="126">
        <f t="shared" ca="1" si="29"/>
        <v>9</v>
      </c>
      <c r="AB236" s="111">
        <f t="shared" ref="AB236:AB244" ca="1" si="34">SUM(Y236:AA236)</f>
        <v>21</v>
      </c>
      <c r="AC236" s="109"/>
      <c r="AD236" s="109"/>
      <c r="AE236" s="109"/>
      <c r="AF236" s="109"/>
      <c r="AH236" s="15"/>
      <c r="AI236" s="56" t="s">
        <v>31</v>
      </c>
      <c r="AJ236" s="126">
        <f t="shared" ca="1" si="30"/>
        <v>4</v>
      </c>
      <c r="AK236" s="126">
        <f t="shared" ca="1" si="30"/>
        <v>2</v>
      </c>
      <c r="AL236" s="126">
        <f t="shared" ca="1" si="30"/>
        <v>7</v>
      </c>
      <c r="AM236" s="111">
        <f t="shared" ref="AM236:AM244" ca="1" si="35">SUM(AJ236:AL236)</f>
        <v>13</v>
      </c>
      <c r="AN236" s="109"/>
      <c r="AO236" s="109"/>
      <c r="AP236" s="109"/>
      <c r="AQ236" s="109"/>
      <c r="AS236" s="15"/>
      <c r="AT236" s="56" t="s">
        <v>31</v>
      </c>
      <c r="AU236" s="126">
        <f t="shared" ca="1" si="31"/>
        <v>4</v>
      </c>
      <c r="AV236" s="126">
        <f t="shared" ca="1" si="31"/>
        <v>7</v>
      </c>
      <c r="AW236" s="126">
        <f t="shared" ca="1" si="31"/>
        <v>11</v>
      </c>
      <c r="AX236" s="111">
        <f t="shared" ref="AX236:AX244" ca="1" si="36">SUM(AU236:AW236)</f>
        <v>22</v>
      </c>
    </row>
    <row r="237" spans="1:50" ht="21" customHeight="1" x14ac:dyDescent="0.25">
      <c r="A237" s="12" t="s">
        <v>6</v>
      </c>
      <c r="B237" s="54" t="s">
        <v>7</v>
      </c>
      <c r="C237" s="252">
        <f t="shared" ca="1" si="27"/>
        <v>0</v>
      </c>
      <c r="D237" s="253">
        <f t="shared" ca="1" si="27"/>
        <v>6</v>
      </c>
      <c r="E237" s="257">
        <f t="shared" ca="1" si="27"/>
        <v>12</v>
      </c>
      <c r="F237" s="260">
        <f t="shared" ca="1" si="32"/>
        <v>18</v>
      </c>
      <c r="L237" s="12" t="s">
        <v>6</v>
      </c>
      <c r="M237" s="54" t="s">
        <v>7</v>
      </c>
      <c r="N237" s="126">
        <f t="shared" ca="1" si="28"/>
        <v>0</v>
      </c>
      <c r="O237" s="126">
        <f t="shared" ca="1" si="28"/>
        <v>2</v>
      </c>
      <c r="P237" s="126">
        <f t="shared" ca="1" si="28"/>
        <v>6</v>
      </c>
      <c r="Q237" s="111">
        <f t="shared" ca="1" si="33"/>
        <v>8</v>
      </c>
      <c r="R237" s="109"/>
      <c r="S237" s="109"/>
      <c r="T237" s="109"/>
      <c r="U237" s="109"/>
      <c r="W237" s="12" t="s">
        <v>6</v>
      </c>
      <c r="X237" s="54" t="s">
        <v>7</v>
      </c>
      <c r="Y237" s="126">
        <f t="shared" ca="1" si="29"/>
        <v>0</v>
      </c>
      <c r="Z237" s="126">
        <f t="shared" ca="1" si="29"/>
        <v>3</v>
      </c>
      <c r="AA237" s="126">
        <f t="shared" ca="1" si="29"/>
        <v>10</v>
      </c>
      <c r="AB237" s="111">
        <f t="shared" ca="1" si="34"/>
        <v>13</v>
      </c>
      <c r="AC237" s="109"/>
      <c r="AD237" s="109"/>
      <c r="AE237" s="109"/>
      <c r="AF237" s="109"/>
      <c r="AH237" s="12" t="s">
        <v>6</v>
      </c>
      <c r="AI237" s="54" t="s">
        <v>7</v>
      </c>
      <c r="AJ237" s="126">
        <f t="shared" ca="1" si="30"/>
        <v>0</v>
      </c>
      <c r="AK237" s="126">
        <f t="shared" ca="1" si="30"/>
        <v>2</v>
      </c>
      <c r="AL237" s="126">
        <f t="shared" ca="1" si="30"/>
        <v>3</v>
      </c>
      <c r="AM237" s="111">
        <f t="shared" ca="1" si="35"/>
        <v>5</v>
      </c>
      <c r="AN237" s="109"/>
      <c r="AO237" s="109"/>
      <c r="AP237" s="109"/>
      <c r="AQ237" s="109"/>
      <c r="AS237" s="12" t="s">
        <v>6</v>
      </c>
      <c r="AT237" s="54" t="s">
        <v>7</v>
      </c>
      <c r="AU237" s="126">
        <f t="shared" ca="1" si="31"/>
        <v>1</v>
      </c>
      <c r="AV237" s="126">
        <f t="shared" ca="1" si="31"/>
        <v>2</v>
      </c>
      <c r="AW237" s="126">
        <f t="shared" ca="1" si="31"/>
        <v>10</v>
      </c>
      <c r="AX237" s="111">
        <f t="shared" ca="1" si="36"/>
        <v>13</v>
      </c>
    </row>
    <row r="238" spans="1:50" ht="21" customHeight="1" x14ac:dyDescent="0.25">
      <c r="A238" s="17"/>
      <c r="B238" s="57" t="s">
        <v>8</v>
      </c>
      <c r="C238" s="256">
        <f t="shared" ca="1" si="27"/>
        <v>8</v>
      </c>
      <c r="D238" s="126">
        <f t="shared" ca="1" si="27"/>
        <v>6</v>
      </c>
      <c r="E238" s="259">
        <f t="shared" ca="1" si="27"/>
        <v>6</v>
      </c>
      <c r="F238" s="260">
        <f t="shared" ca="1" si="32"/>
        <v>20</v>
      </c>
      <c r="L238" s="17"/>
      <c r="M238" s="57" t="s">
        <v>8</v>
      </c>
      <c r="N238" s="126">
        <f t="shared" ca="1" si="28"/>
        <v>9</v>
      </c>
      <c r="O238" s="126">
        <f t="shared" ca="1" si="28"/>
        <v>9</v>
      </c>
      <c r="P238" s="126">
        <f t="shared" ca="1" si="28"/>
        <v>9</v>
      </c>
      <c r="Q238" s="111">
        <f t="shared" ca="1" si="33"/>
        <v>27</v>
      </c>
      <c r="R238" s="109"/>
      <c r="S238" s="109"/>
      <c r="T238" s="109"/>
      <c r="U238" s="109"/>
      <c r="W238" s="17"/>
      <c r="X238" s="57" t="s">
        <v>8</v>
      </c>
      <c r="Y238" s="126">
        <f t="shared" ca="1" si="29"/>
        <v>5</v>
      </c>
      <c r="Z238" s="126">
        <f t="shared" ca="1" si="29"/>
        <v>10</v>
      </c>
      <c r="AA238" s="126">
        <f t="shared" ca="1" si="29"/>
        <v>6</v>
      </c>
      <c r="AB238" s="111">
        <f t="shared" ca="1" si="34"/>
        <v>21</v>
      </c>
      <c r="AC238" s="109"/>
      <c r="AD238" s="109"/>
      <c r="AE238" s="109"/>
      <c r="AF238" s="109"/>
      <c r="AH238" s="17"/>
      <c r="AI238" s="57" t="s">
        <v>8</v>
      </c>
      <c r="AJ238" s="126">
        <f t="shared" ca="1" si="30"/>
        <v>4</v>
      </c>
      <c r="AK238" s="126">
        <f t="shared" ca="1" si="30"/>
        <v>6</v>
      </c>
      <c r="AL238" s="126">
        <f t="shared" ca="1" si="30"/>
        <v>7</v>
      </c>
      <c r="AM238" s="111">
        <f t="shared" ca="1" si="35"/>
        <v>17</v>
      </c>
      <c r="AN238" s="109"/>
      <c r="AO238" s="109"/>
      <c r="AP238" s="109"/>
      <c r="AQ238" s="109"/>
      <c r="AS238" s="17"/>
      <c r="AT238" s="57" t="s">
        <v>8</v>
      </c>
      <c r="AU238" s="126">
        <f t="shared" ca="1" si="31"/>
        <v>2</v>
      </c>
      <c r="AV238" s="126">
        <f t="shared" ca="1" si="31"/>
        <v>3</v>
      </c>
      <c r="AW238" s="126">
        <f t="shared" ca="1" si="31"/>
        <v>7</v>
      </c>
      <c r="AX238" s="111">
        <f t="shared" ca="1" si="36"/>
        <v>12</v>
      </c>
    </row>
    <row r="239" spans="1:50" ht="21" customHeight="1" thickBot="1" x14ac:dyDescent="0.3">
      <c r="A239" s="15"/>
      <c r="B239" s="56" t="s">
        <v>157</v>
      </c>
      <c r="C239" s="254">
        <f t="shared" ca="1" si="27"/>
        <v>0</v>
      </c>
      <c r="D239" s="255">
        <f t="shared" ca="1" si="27"/>
        <v>7</v>
      </c>
      <c r="E239" s="258">
        <f t="shared" ca="1" si="27"/>
        <v>4</v>
      </c>
      <c r="F239" s="260">
        <f t="shared" ca="1" si="32"/>
        <v>11</v>
      </c>
      <c r="L239" s="15"/>
      <c r="M239" s="56" t="s">
        <v>157</v>
      </c>
      <c r="N239" s="126">
        <f t="shared" ca="1" si="28"/>
        <v>13</v>
      </c>
      <c r="O239" s="126">
        <f t="shared" ca="1" si="28"/>
        <v>13</v>
      </c>
      <c r="P239" s="126">
        <f t="shared" ca="1" si="28"/>
        <v>10</v>
      </c>
      <c r="Q239" s="111">
        <f t="shared" ca="1" si="33"/>
        <v>36</v>
      </c>
      <c r="R239" s="109"/>
      <c r="S239" s="109"/>
      <c r="T239" s="109"/>
      <c r="U239" s="109"/>
      <c r="W239" s="15"/>
      <c r="X239" s="56" t="s">
        <v>157</v>
      </c>
      <c r="Y239" s="126">
        <f t="shared" ca="1" si="29"/>
        <v>8</v>
      </c>
      <c r="Z239" s="126">
        <f t="shared" ca="1" si="29"/>
        <v>8</v>
      </c>
      <c r="AA239" s="126">
        <f t="shared" ca="1" si="29"/>
        <v>2</v>
      </c>
      <c r="AB239" s="111">
        <f t="shared" ca="1" si="34"/>
        <v>18</v>
      </c>
      <c r="AC239" s="109"/>
      <c r="AD239" s="109"/>
      <c r="AE239" s="109"/>
      <c r="AF239" s="109"/>
      <c r="AH239" s="15"/>
      <c r="AI239" s="56" t="s">
        <v>157</v>
      </c>
      <c r="AJ239" s="126">
        <f t="shared" ca="1" si="30"/>
        <v>10</v>
      </c>
      <c r="AK239" s="126">
        <f t="shared" ca="1" si="30"/>
        <v>5</v>
      </c>
      <c r="AL239" s="126">
        <f t="shared" ca="1" si="30"/>
        <v>3</v>
      </c>
      <c r="AM239" s="111">
        <f t="shared" ca="1" si="35"/>
        <v>18</v>
      </c>
      <c r="AN239" s="109"/>
      <c r="AO239" s="109"/>
      <c r="AP239" s="109"/>
      <c r="AQ239" s="109"/>
      <c r="AS239" s="15"/>
      <c r="AT239" s="56" t="s">
        <v>157</v>
      </c>
      <c r="AU239" s="126">
        <f t="shared" ca="1" si="31"/>
        <v>7</v>
      </c>
      <c r="AV239" s="126">
        <f t="shared" ca="1" si="31"/>
        <v>3</v>
      </c>
      <c r="AW239" s="126">
        <f t="shared" ca="1" si="31"/>
        <v>3</v>
      </c>
      <c r="AX239" s="111">
        <f t="shared" ca="1" si="36"/>
        <v>13</v>
      </c>
    </row>
    <row r="240" spans="1:50" ht="21" customHeight="1" x14ac:dyDescent="0.25">
      <c r="A240" s="12" t="s">
        <v>9</v>
      </c>
      <c r="B240" s="54" t="s">
        <v>32</v>
      </c>
      <c r="C240" s="252">
        <f t="shared" ca="1" si="27"/>
        <v>0</v>
      </c>
      <c r="D240" s="253">
        <f t="shared" ca="1" si="27"/>
        <v>13</v>
      </c>
      <c r="E240" s="257">
        <f t="shared" ca="1" si="27"/>
        <v>0</v>
      </c>
      <c r="F240" s="260">
        <f t="shared" ca="1" si="32"/>
        <v>13</v>
      </c>
      <c r="L240" s="12" t="s">
        <v>9</v>
      </c>
      <c r="M240" s="54" t="s">
        <v>32</v>
      </c>
      <c r="N240" s="126">
        <f t="shared" ca="1" si="28"/>
        <v>0</v>
      </c>
      <c r="O240" s="126">
        <f t="shared" ca="1" si="28"/>
        <v>8</v>
      </c>
      <c r="P240" s="126">
        <f t="shared" ca="1" si="28"/>
        <v>0</v>
      </c>
      <c r="Q240" s="111">
        <f t="shared" ca="1" si="33"/>
        <v>8</v>
      </c>
      <c r="R240" s="109"/>
      <c r="S240" s="109"/>
      <c r="T240" s="109"/>
      <c r="U240" s="109"/>
      <c r="W240" s="12" t="s">
        <v>9</v>
      </c>
      <c r="X240" s="54" t="s">
        <v>32</v>
      </c>
      <c r="Y240" s="126">
        <f t="shared" ca="1" si="29"/>
        <v>0</v>
      </c>
      <c r="Z240" s="126">
        <f t="shared" ca="1" si="29"/>
        <v>6</v>
      </c>
      <c r="AA240" s="126">
        <f t="shared" ca="1" si="29"/>
        <v>9</v>
      </c>
      <c r="AB240" s="111">
        <f t="shared" ca="1" si="34"/>
        <v>15</v>
      </c>
      <c r="AC240" s="109"/>
      <c r="AD240" s="109"/>
      <c r="AE240" s="109"/>
      <c r="AF240" s="109"/>
      <c r="AH240" s="12" t="s">
        <v>9</v>
      </c>
      <c r="AI240" s="54" t="s">
        <v>32</v>
      </c>
      <c r="AJ240" s="126">
        <f t="shared" ca="1" si="30"/>
        <v>2</v>
      </c>
      <c r="AK240" s="126">
        <f t="shared" ca="1" si="30"/>
        <v>6</v>
      </c>
      <c r="AL240" s="126">
        <f t="shared" ca="1" si="30"/>
        <v>6</v>
      </c>
      <c r="AM240" s="111">
        <f t="shared" ca="1" si="35"/>
        <v>14</v>
      </c>
      <c r="AN240" s="109"/>
      <c r="AO240" s="109"/>
      <c r="AP240" s="109"/>
      <c r="AQ240" s="109"/>
      <c r="AS240" s="12" t="s">
        <v>9</v>
      </c>
      <c r="AT240" s="54" t="s">
        <v>32</v>
      </c>
      <c r="AU240" s="126">
        <f t="shared" ca="1" si="31"/>
        <v>4</v>
      </c>
      <c r="AV240" s="126">
        <f t="shared" ca="1" si="31"/>
        <v>11</v>
      </c>
      <c r="AW240" s="126">
        <f t="shared" ca="1" si="31"/>
        <v>10</v>
      </c>
      <c r="AX240" s="111">
        <f t="shared" ca="1" si="36"/>
        <v>25</v>
      </c>
    </row>
    <row r="241" spans="1:50" ht="21" customHeight="1" thickBot="1" x14ac:dyDescent="0.3">
      <c r="A241" s="15"/>
      <c r="B241" s="56" t="s">
        <v>10</v>
      </c>
      <c r="C241" s="254">
        <f t="shared" ca="1" si="27"/>
        <v>0</v>
      </c>
      <c r="D241" s="255">
        <f t="shared" ca="1" si="27"/>
        <v>6</v>
      </c>
      <c r="E241" s="258">
        <f t="shared" ca="1" si="27"/>
        <v>15</v>
      </c>
      <c r="F241" s="260">
        <f t="shared" ca="1" si="32"/>
        <v>21</v>
      </c>
      <c r="L241" s="15"/>
      <c r="M241" s="56" t="s">
        <v>10</v>
      </c>
      <c r="N241" s="126">
        <f t="shared" ca="1" si="28"/>
        <v>0</v>
      </c>
      <c r="O241" s="126">
        <f t="shared" ca="1" si="28"/>
        <v>8</v>
      </c>
      <c r="P241" s="126">
        <f t="shared" ca="1" si="28"/>
        <v>15</v>
      </c>
      <c r="Q241" s="111">
        <f t="shared" ca="1" si="33"/>
        <v>23</v>
      </c>
      <c r="R241" s="109"/>
      <c r="S241" s="109"/>
      <c r="T241" s="109"/>
      <c r="U241" s="109"/>
      <c r="W241" s="15"/>
      <c r="X241" s="56" t="s">
        <v>10</v>
      </c>
      <c r="Y241" s="126">
        <f t="shared" ca="1" si="29"/>
        <v>0</v>
      </c>
      <c r="Z241" s="126">
        <f t="shared" ca="1" si="29"/>
        <v>6</v>
      </c>
      <c r="AA241" s="126">
        <f t="shared" ca="1" si="29"/>
        <v>4</v>
      </c>
      <c r="AB241" s="111">
        <f t="shared" ca="1" si="34"/>
        <v>10</v>
      </c>
      <c r="AC241" s="109"/>
      <c r="AD241" s="109"/>
      <c r="AE241" s="109"/>
      <c r="AF241" s="109"/>
      <c r="AH241" s="15"/>
      <c r="AI241" s="56" t="s">
        <v>10</v>
      </c>
      <c r="AJ241" s="126">
        <f t="shared" ca="1" si="30"/>
        <v>0</v>
      </c>
      <c r="AK241" s="126">
        <f t="shared" ca="1" si="30"/>
        <v>3</v>
      </c>
      <c r="AL241" s="126">
        <f t="shared" ca="1" si="30"/>
        <v>3</v>
      </c>
      <c r="AM241" s="111">
        <f t="shared" ca="1" si="35"/>
        <v>6</v>
      </c>
      <c r="AN241" s="109"/>
      <c r="AO241" s="109"/>
      <c r="AP241" s="109"/>
      <c r="AQ241" s="109"/>
      <c r="AS241" s="15"/>
      <c r="AT241" s="56" t="s">
        <v>10</v>
      </c>
      <c r="AU241" s="126">
        <f t="shared" ca="1" si="31"/>
        <v>1</v>
      </c>
      <c r="AV241" s="126">
        <f t="shared" ca="1" si="31"/>
        <v>5</v>
      </c>
      <c r="AW241" s="126">
        <f t="shared" ca="1" si="31"/>
        <v>5</v>
      </c>
      <c r="AX241" s="111">
        <f t="shared" ca="1" si="36"/>
        <v>11</v>
      </c>
    </row>
    <row r="242" spans="1:50" ht="21" customHeight="1" x14ac:dyDescent="0.25">
      <c r="A242" s="12" t="s">
        <v>11</v>
      </c>
      <c r="B242" s="54" t="s">
        <v>33</v>
      </c>
      <c r="C242" s="252">
        <f t="shared" ca="1" si="27"/>
        <v>28</v>
      </c>
      <c r="D242" s="253">
        <f t="shared" ca="1" si="27"/>
        <v>11</v>
      </c>
      <c r="E242" s="257">
        <f t="shared" ca="1" si="27"/>
        <v>15</v>
      </c>
      <c r="F242" s="260">
        <f t="shared" ca="1" si="32"/>
        <v>54</v>
      </c>
      <c r="L242" s="12" t="s">
        <v>11</v>
      </c>
      <c r="M242" s="54" t="s">
        <v>33</v>
      </c>
      <c r="N242" s="126">
        <f t="shared" ca="1" si="28"/>
        <v>79</v>
      </c>
      <c r="O242" s="126">
        <f t="shared" ca="1" si="28"/>
        <v>29</v>
      </c>
      <c r="P242" s="126">
        <f t="shared" ca="1" si="28"/>
        <v>19</v>
      </c>
      <c r="Q242" s="111">
        <f t="shared" ca="1" si="33"/>
        <v>127</v>
      </c>
      <c r="R242" s="109"/>
      <c r="S242" s="109"/>
      <c r="T242" s="109"/>
      <c r="U242" s="109"/>
      <c r="W242" s="12" t="s">
        <v>11</v>
      </c>
      <c r="X242" s="54" t="s">
        <v>33</v>
      </c>
      <c r="Y242" s="126">
        <f t="shared" ca="1" si="29"/>
        <v>24</v>
      </c>
      <c r="Z242" s="126">
        <f t="shared" ca="1" si="29"/>
        <v>14</v>
      </c>
      <c r="AA242" s="126">
        <f t="shared" ca="1" si="29"/>
        <v>7</v>
      </c>
      <c r="AB242" s="111">
        <f t="shared" ca="1" si="34"/>
        <v>45</v>
      </c>
      <c r="AC242" s="109"/>
      <c r="AD242" s="109"/>
      <c r="AE242" s="109"/>
      <c r="AF242" s="109"/>
      <c r="AH242" s="12" t="s">
        <v>11</v>
      </c>
      <c r="AI242" s="54" t="s">
        <v>33</v>
      </c>
      <c r="AJ242" s="126">
        <f t="shared" ca="1" si="30"/>
        <v>20</v>
      </c>
      <c r="AK242" s="126">
        <f t="shared" ca="1" si="30"/>
        <v>15</v>
      </c>
      <c r="AL242" s="126">
        <f t="shared" ca="1" si="30"/>
        <v>11</v>
      </c>
      <c r="AM242" s="111">
        <f t="shared" ca="1" si="35"/>
        <v>46</v>
      </c>
      <c r="AN242" s="109"/>
      <c r="AO242" s="109"/>
      <c r="AP242" s="109"/>
      <c r="AQ242" s="109"/>
      <c r="AS242" s="12" t="s">
        <v>11</v>
      </c>
      <c r="AT242" s="54" t="s">
        <v>33</v>
      </c>
      <c r="AU242" s="126">
        <f t="shared" ca="1" si="31"/>
        <v>20</v>
      </c>
      <c r="AV242" s="126">
        <f t="shared" ca="1" si="31"/>
        <v>13</v>
      </c>
      <c r="AW242" s="126">
        <f t="shared" ca="1" si="31"/>
        <v>9</v>
      </c>
      <c r="AX242" s="111">
        <f t="shared" ca="1" si="36"/>
        <v>42</v>
      </c>
    </row>
    <row r="243" spans="1:50" ht="21" customHeight="1" x14ac:dyDescent="0.25">
      <c r="A243" s="17"/>
      <c r="B243" s="57" t="s">
        <v>34</v>
      </c>
      <c r="C243" s="256">
        <f t="shared" ca="1" si="27"/>
        <v>59</v>
      </c>
      <c r="D243" s="126">
        <f t="shared" ca="1" si="27"/>
        <v>22</v>
      </c>
      <c r="E243" s="259">
        <f t="shared" ca="1" si="27"/>
        <v>6</v>
      </c>
      <c r="F243" s="260">
        <f t="shared" ca="1" si="32"/>
        <v>87</v>
      </c>
      <c r="L243" s="17"/>
      <c r="M243" s="57" t="s">
        <v>34</v>
      </c>
      <c r="N243" s="126">
        <f t="shared" ca="1" si="28"/>
        <v>34</v>
      </c>
      <c r="O243" s="126">
        <f t="shared" ca="1" si="28"/>
        <v>23</v>
      </c>
      <c r="P243" s="126">
        <f t="shared" ca="1" si="28"/>
        <v>16</v>
      </c>
      <c r="Q243" s="111">
        <f t="shared" ca="1" si="33"/>
        <v>73</v>
      </c>
      <c r="R243" s="109"/>
      <c r="S243" s="109"/>
      <c r="T243" s="109"/>
      <c r="U243" s="109"/>
      <c r="W243" s="17"/>
      <c r="X243" s="57" t="s">
        <v>34</v>
      </c>
      <c r="Y243" s="126">
        <f t="shared" ca="1" si="29"/>
        <v>19</v>
      </c>
      <c r="Z243" s="126">
        <f t="shared" ca="1" si="29"/>
        <v>13</v>
      </c>
      <c r="AA243" s="126">
        <f t="shared" ca="1" si="29"/>
        <v>7</v>
      </c>
      <c r="AB243" s="111">
        <f t="shared" ca="1" si="34"/>
        <v>39</v>
      </c>
      <c r="AC243" s="109"/>
      <c r="AD243" s="109"/>
      <c r="AE243" s="109"/>
      <c r="AF243" s="109"/>
      <c r="AH243" s="17"/>
      <c r="AI243" s="57" t="s">
        <v>34</v>
      </c>
      <c r="AJ243" s="126">
        <f t="shared" ca="1" si="30"/>
        <v>11</v>
      </c>
      <c r="AK243" s="126">
        <f t="shared" ca="1" si="30"/>
        <v>4</v>
      </c>
      <c r="AL243" s="126">
        <f t="shared" ca="1" si="30"/>
        <v>5</v>
      </c>
      <c r="AM243" s="111">
        <f t="shared" ca="1" si="35"/>
        <v>20</v>
      </c>
      <c r="AN243" s="109"/>
      <c r="AO243" s="109"/>
      <c r="AP243" s="109"/>
      <c r="AQ243" s="109"/>
      <c r="AS243" s="17"/>
      <c r="AT243" s="57" t="s">
        <v>34</v>
      </c>
      <c r="AU243" s="126">
        <f t="shared" ca="1" si="31"/>
        <v>8</v>
      </c>
      <c r="AV243" s="126">
        <f t="shared" ca="1" si="31"/>
        <v>19</v>
      </c>
      <c r="AW243" s="126">
        <f t="shared" ca="1" si="31"/>
        <v>9</v>
      </c>
      <c r="AX243" s="111">
        <f t="shared" ca="1" si="36"/>
        <v>36</v>
      </c>
    </row>
    <row r="244" spans="1:50" ht="21" customHeight="1" thickBot="1" x14ac:dyDescent="0.3">
      <c r="A244" s="15"/>
      <c r="B244" s="56" t="s">
        <v>12</v>
      </c>
      <c r="C244" s="254">
        <f t="shared" ca="1" si="27"/>
        <v>0</v>
      </c>
      <c r="D244" s="255">
        <f t="shared" ca="1" si="27"/>
        <v>0</v>
      </c>
      <c r="E244" s="258">
        <f t="shared" ca="1" si="27"/>
        <v>0</v>
      </c>
      <c r="F244" s="260">
        <f t="shared" ca="1" si="32"/>
        <v>0</v>
      </c>
      <c r="L244" s="15"/>
      <c r="M244" s="56" t="s">
        <v>12</v>
      </c>
      <c r="N244" s="126">
        <f t="shared" ca="1" si="28"/>
        <v>0</v>
      </c>
      <c r="O244" s="126">
        <f t="shared" ca="1" si="28"/>
        <v>0</v>
      </c>
      <c r="P244" s="126">
        <f t="shared" ca="1" si="28"/>
        <v>0</v>
      </c>
      <c r="Q244" s="111">
        <f t="shared" ca="1" si="33"/>
        <v>0</v>
      </c>
      <c r="R244" s="109"/>
      <c r="S244" s="109"/>
      <c r="T244" s="109"/>
      <c r="U244" s="109"/>
      <c r="W244" s="15"/>
      <c r="X244" s="56" t="s">
        <v>12</v>
      </c>
      <c r="Y244" s="126">
        <f t="shared" ca="1" si="29"/>
        <v>13</v>
      </c>
      <c r="Z244" s="126">
        <f t="shared" ca="1" si="29"/>
        <v>0</v>
      </c>
      <c r="AA244" s="126">
        <f t="shared" ca="1" si="29"/>
        <v>6</v>
      </c>
      <c r="AB244" s="111">
        <f t="shared" ca="1" si="34"/>
        <v>19</v>
      </c>
      <c r="AC244" s="109"/>
      <c r="AD244" s="109"/>
      <c r="AE244" s="109"/>
      <c r="AF244" s="109"/>
      <c r="AH244" s="15"/>
      <c r="AI244" s="56" t="s">
        <v>12</v>
      </c>
      <c r="AJ244" s="126">
        <f t="shared" ca="1" si="30"/>
        <v>7</v>
      </c>
      <c r="AK244" s="126">
        <f t="shared" ca="1" si="30"/>
        <v>4</v>
      </c>
      <c r="AL244" s="126">
        <f t="shared" ca="1" si="30"/>
        <v>2</v>
      </c>
      <c r="AM244" s="111">
        <f t="shared" ca="1" si="35"/>
        <v>13</v>
      </c>
      <c r="AN244" s="109"/>
      <c r="AO244" s="109"/>
      <c r="AP244" s="109"/>
      <c r="AQ244" s="109"/>
      <c r="AS244" s="15"/>
      <c r="AT244" s="56" t="s">
        <v>12</v>
      </c>
      <c r="AU244" s="126">
        <f t="shared" ca="1" si="31"/>
        <v>7</v>
      </c>
      <c r="AV244" s="126">
        <f t="shared" ca="1" si="31"/>
        <v>2</v>
      </c>
      <c r="AW244" s="126">
        <f t="shared" ca="1" si="31"/>
        <v>7</v>
      </c>
      <c r="AX244" s="111">
        <f t="shared" ca="1" si="36"/>
        <v>16</v>
      </c>
    </row>
    <row r="245" spans="1:50" ht="21" customHeight="1" x14ac:dyDescent="0.25">
      <c r="A245" s="22"/>
      <c r="B245" s="22"/>
      <c r="C245" s="55"/>
      <c r="D245" s="55"/>
      <c r="E245" s="55"/>
      <c r="F245" s="109"/>
      <c r="L245" s="22"/>
      <c r="M245" s="22"/>
      <c r="N245" s="55"/>
      <c r="O245" s="55"/>
      <c r="P245" s="55"/>
      <c r="Q245" s="109"/>
      <c r="R245" s="109"/>
      <c r="S245" s="109"/>
      <c r="T245" s="109"/>
      <c r="U245" s="109"/>
      <c r="W245" s="22"/>
      <c r="X245" s="22"/>
      <c r="Y245" s="55"/>
      <c r="Z245" s="55"/>
      <c r="AA245" s="55"/>
      <c r="AB245" s="109"/>
      <c r="AC245" s="109"/>
      <c r="AD245" s="109"/>
      <c r="AE245" s="109"/>
      <c r="AF245" s="109"/>
      <c r="AH245" s="22"/>
      <c r="AI245" s="22"/>
      <c r="AJ245" s="55"/>
      <c r="AK245" s="55"/>
      <c r="AL245" s="55"/>
      <c r="AM245" s="109"/>
      <c r="AN245" s="109"/>
      <c r="AO245" s="109"/>
      <c r="AP245" s="109"/>
      <c r="AQ245" s="109"/>
      <c r="AS245" s="22"/>
      <c r="AT245" s="22"/>
      <c r="AU245" s="55"/>
      <c r="AV245" s="55"/>
      <c r="AW245" s="55"/>
      <c r="AX245" s="109"/>
    </row>
    <row r="246" spans="1:50" ht="21" customHeight="1" x14ac:dyDescent="0.25">
      <c r="A246" s="580"/>
      <c r="B246" s="36" t="s">
        <v>75</v>
      </c>
      <c r="C246" s="55"/>
      <c r="D246" s="55"/>
      <c r="E246" s="55"/>
      <c r="F246" s="109"/>
      <c r="L246" s="22"/>
      <c r="M246" s="36" t="s">
        <v>75</v>
      </c>
      <c r="N246" s="55"/>
      <c r="O246" s="55"/>
      <c r="P246" s="55"/>
      <c r="Q246" s="109"/>
      <c r="R246" s="109"/>
      <c r="S246" s="109"/>
      <c r="T246" s="109"/>
      <c r="U246" s="109"/>
      <c r="W246" s="22"/>
      <c r="X246" s="36" t="s">
        <v>75</v>
      </c>
      <c r="Y246" s="55"/>
      <c r="Z246" s="55"/>
      <c r="AA246" s="55"/>
      <c r="AB246" s="109"/>
      <c r="AC246" s="109"/>
      <c r="AD246" s="109"/>
      <c r="AE246" s="109"/>
      <c r="AF246" s="109"/>
      <c r="AH246" s="22"/>
      <c r="AI246" s="36" t="s">
        <v>75</v>
      </c>
      <c r="AJ246" s="55"/>
      <c r="AK246" s="55"/>
      <c r="AL246" s="55"/>
      <c r="AM246" s="109"/>
      <c r="AN246" s="109"/>
      <c r="AO246" s="109"/>
      <c r="AP246" s="109"/>
      <c r="AQ246" s="109"/>
      <c r="AS246" s="22"/>
      <c r="AT246" s="36" t="s">
        <v>75</v>
      </c>
      <c r="AU246" s="55"/>
      <c r="AV246" s="55"/>
      <c r="AW246" s="55"/>
      <c r="AX246" s="109"/>
    </row>
    <row r="247" spans="1:50" ht="21" customHeight="1" x14ac:dyDescent="0.25">
      <c r="A247" s="22"/>
      <c r="B247" s="1" t="s">
        <v>235</v>
      </c>
      <c r="C247" s="128">
        <f ca="1">OFFSET(Constantes!$D$111,Décisions!I$4-1,0)</f>
        <v>0</v>
      </c>
      <c r="D247" s="55"/>
      <c r="E247" s="110" t="s">
        <v>247</v>
      </c>
      <c r="F247" s="109"/>
      <c r="L247" s="22"/>
      <c r="M247" s="1" t="s">
        <v>235</v>
      </c>
      <c r="N247" s="128">
        <f ca="1">OFFSET(Constantes!$D$111,Décisions!T$4-1,0)</f>
        <v>0</v>
      </c>
      <c r="O247" s="55"/>
      <c r="P247" s="110" t="s">
        <v>247</v>
      </c>
      <c r="Q247" s="109"/>
      <c r="R247" s="109"/>
      <c r="S247" s="109"/>
      <c r="T247" s="109"/>
      <c r="U247" s="109"/>
      <c r="W247" s="22"/>
      <c r="X247" s="1" t="s">
        <v>235</v>
      </c>
      <c r="Y247" s="128">
        <f ca="1">OFFSET(Constantes!$D$111,Décisions!AE$4-1,0)</f>
        <v>0.05</v>
      </c>
      <c r="Z247" s="55"/>
      <c r="AA247" s="110" t="s">
        <v>247</v>
      </c>
      <c r="AB247" s="109"/>
      <c r="AC247" s="109"/>
      <c r="AD247" s="109"/>
      <c r="AE247" s="109"/>
      <c r="AF247" s="109"/>
      <c r="AH247" s="22"/>
      <c r="AI247" s="1" t="s">
        <v>235</v>
      </c>
      <c r="AJ247" s="128">
        <f ca="1">OFFSET(Constantes!$D$111,Décisions!AP$4-1,0)</f>
        <v>0.05</v>
      </c>
      <c r="AK247" s="55"/>
      <c r="AL247" s="110" t="s">
        <v>247</v>
      </c>
      <c r="AM247" s="109"/>
      <c r="AN247" s="109"/>
      <c r="AO247" s="109"/>
      <c r="AP247" s="109"/>
      <c r="AQ247" s="109"/>
      <c r="AS247" s="22"/>
      <c r="AT247" s="1" t="s">
        <v>235</v>
      </c>
      <c r="AU247" s="128">
        <f ca="1">OFFSET(Constantes!$D$111,Décisions!BA$4-1,0)</f>
        <v>0.05</v>
      </c>
      <c r="AV247" s="55"/>
      <c r="AW247" s="110" t="s">
        <v>247</v>
      </c>
      <c r="AX247" s="109"/>
    </row>
    <row r="248" spans="1:50" ht="21" customHeight="1" x14ac:dyDescent="0.25">
      <c r="A248" s="22" t="s">
        <v>336</v>
      </c>
      <c r="B248" s="1" t="s">
        <v>273</v>
      </c>
      <c r="C248" s="139">
        <f>Décisions!G103</f>
        <v>0</v>
      </c>
      <c r="D248" s="139">
        <f>Décisions!H103</f>
        <v>0</v>
      </c>
      <c r="E248" s="139">
        <f>Décisions!I103</f>
        <v>0</v>
      </c>
      <c r="F248" s="139">
        <f>Décisions!J103</f>
        <v>0</v>
      </c>
      <c r="L248" s="22"/>
      <c r="M248" s="1" t="s">
        <v>273</v>
      </c>
      <c r="N248" s="139">
        <f>Décisions!G115</f>
        <v>0.04</v>
      </c>
      <c r="O248" s="139">
        <f>Décisions!H115</f>
        <v>0</v>
      </c>
      <c r="P248" s="139">
        <f>Décisions!I115</f>
        <v>0</v>
      </c>
      <c r="Q248" s="139">
        <f>Décisions!J115</f>
        <v>0</v>
      </c>
      <c r="R248" s="708"/>
      <c r="S248" s="708"/>
      <c r="T248" s="708"/>
      <c r="U248" s="708"/>
      <c r="W248" s="22"/>
      <c r="X248" s="1" t="s">
        <v>273</v>
      </c>
      <c r="Y248" s="139">
        <f>Décisions!G127</f>
        <v>0</v>
      </c>
      <c r="Z248" s="139">
        <f>Décisions!H127</f>
        <v>0</v>
      </c>
      <c r="AA248" s="139">
        <f>Décisions!I127</f>
        <v>0.02</v>
      </c>
      <c r="AB248" s="139">
        <f>Décisions!J127</f>
        <v>0</v>
      </c>
      <c r="AC248" s="708"/>
      <c r="AD248" s="708"/>
      <c r="AE248" s="708"/>
      <c r="AF248" s="708"/>
      <c r="AH248" s="22"/>
      <c r="AI248" s="1" t="s">
        <v>273</v>
      </c>
      <c r="AJ248" s="139">
        <f>Décisions!G139</f>
        <v>0</v>
      </c>
      <c r="AK248" s="139">
        <f>Décisions!H139</f>
        <v>0</v>
      </c>
      <c r="AL248" s="139">
        <f>Décisions!I139</f>
        <v>0</v>
      </c>
      <c r="AM248" s="139">
        <f>Décisions!J139</f>
        <v>0.02</v>
      </c>
      <c r="AN248" s="708"/>
      <c r="AO248" s="708"/>
      <c r="AP248" s="708"/>
      <c r="AQ248" s="708"/>
      <c r="AS248" s="22"/>
      <c r="AT248" s="1" t="s">
        <v>273</v>
      </c>
      <c r="AU248" s="139">
        <f>Décisions!G151</f>
        <v>0</v>
      </c>
      <c r="AV248" s="139">
        <f>Décisions!H151</f>
        <v>0</v>
      </c>
      <c r="AW248" s="139">
        <f>Décisions!I151</f>
        <v>0.04</v>
      </c>
      <c r="AX248" s="139">
        <f>Décisions!J151</f>
        <v>0</v>
      </c>
    </row>
    <row r="249" spans="1:50" ht="21" customHeight="1" x14ac:dyDescent="0.25">
      <c r="A249" s="22"/>
      <c r="B249" s="1" t="s">
        <v>245</v>
      </c>
      <c r="C249" s="139">
        <f>IF(Décisions!I25&lt;&gt;0,Constantes!$F$59,0)</f>
        <v>0</v>
      </c>
      <c r="D249" s="354" t="s">
        <v>339</v>
      </c>
      <c r="E249" s="55"/>
      <c r="F249" s="109"/>
      <c r="L249" s="22"/>
      <c r="M249" s="1" t="s">
        <v>245</v>
      </c>
      <c r="N249" s="139">
        <f>IF(Décisions!T25&lt;&gt;0,Constantes!$F$59,0)</f>
        <v>0</v>
      </c>
      <c r="O249" s="354" t="s">
        <v>339</v>
      </c>
      <c r="P249" s="55"/>
      <c r="Q249" s="109"/>
      <c r="R249" s="109"/>
      <c r="S249" s="109"/>
      <c r="T249" s="109"/>
      <c r="U249" s="109"/>
      <c r="W249" s="22"/>
      <c r="X249" s="1" t="s">
        <v>245</v>
      </c>
      <c r="Y249" s="139">
        <f>IF(Décisions!AE25&lt;&gt;0,Constantes!$F$59,0)</f>
        <v>0.1</v>
      </c>
      <c r="Z249" s="354" t="s">
        <v>339</v>
      </c>
      <c r="AA249" s="55"/>
      <c r="AB249" s="109"/>
      <c r="AC249" s="109"/>
      <c r="AD249" s="109"/>
      <c r="AE249" s="109"/>
      <c r="AF249" s="109"/>
      <c r="AH249" s="22"/>
      <c r="AI249" s="1" t="s">
        <v>245</v>
      </c>
      <c r="AJ249" s="139">
        <f>IF(Décisions!AP25&lt;&gt;0,Constantes!$F$59,0)</f>
        <v>0</v>
      </c>
      <c r="AK249" s="354" t="s">
        <v>339</v>
      </c>
      <c r="AL249" s="55"/>
      <c r="AM249" s="109"/>
      <c r="AN249" s="109"/>
      <c r="AO249" s="109"/>
      <c r="AP249" s="109"/>
      <c r="AQ249" s="109"/>
      <c r="AS249" s="22"/>
      <c r="AT249" s="1" t="s">
        <v>245</v>
      </c>
      <c r="AU249" s="139">
        <f>IF(Décisions!BA25&lt;&gt;0,Constantes!$F$59,0)</f>
        <v>0</v>
      </c>
      <c r="AV249" s="354" t="s">
        <v>339</v>
      </c>
      <c r="AW249" s="55"/>
      <c r="AX249" s="109"/>
    </row>
    <row r="250" spans="1:50" ht="21" customHeight="1" x14ac:dyDescent="0.25">
      <c r="A250" s="22"/>
      <c r="B250" s="22"/>
      <c r="C250" s="55"/>
      <c r="D250" s="55"/>
      <c r="E250" s="55"/>
      <c r="F250" s="109"/>
      <c r="L250" s="22"/>
      <c r="M250" s="22"/>
      <c r="N250" s="55"/>
      <c r="O250" s="55"/>
      <c r="P250" s="55"/>
      <c r="Q250" s="109"/>
      <c r="R250" s="109"/>
      <c r="S250" s="109"/>
      <c r="T250" s="109"/>
      <c r="U250" s="109"/>
      <c r="W250" s="22"/>
      <c r="X250" s="22"/>
      <c r="Y250" s="55"/>
      <c r="Z250" s="55"/>
      <c r="AA250" s="55"/>
      <c r="AB250" s="109"/>
      <c r="AC250" s="109"/>
      <c r="AD250" s="109"/>
      <c r="AE250" s="109"/>
      <c r="AF250" s="109"/>
      <c r="AH250" s="22"/>
      <c r="AI250" s="22"/>
      <c r="AJ250" s="55"/>
      <c r="AK250" s="55"/>
      <c r="AL250" s="55"/>
      <c r="AM250" s="109"/>
      <c r="AN250" s="109"/>
      <c r="AO250" s="109"/>
      <c r="AP250" s="109"/>
      <c r="AQ250" s="109"/>
      <c r="AS250" s="22"/>
      <c r="AT250" s="22"/>
      <c r="AU250" s="55"/>
      <c r="AV250" s="55"/>
      <c r="AW250" s="55"/>
      <c r="AX250" s="109"/>
    </row>
    <row r="251" spans="1:50" ht="21" customHeight="1" thickBot="1" x14ac:dyDescent="0.3">
      <c r="B251" s="36" t="s">
        <v>246</v>
      </c>
      <c r="C251" s="75" t="str">
        <f>Constantes!$Q$9</f>
        <v>junior</v>
      </c>
      <c r="D251" s="75" t="str">
        <f>Constantes!$R$9</f>
        <v>senior</v>
      </c>
      <c r="E251" s="75" t="str">
        <f>Constantes!$S$9</f>
        <v>premium</v>
      </c>
      <c r="M251" s="36" t="s">
        <v>246</v>
      </c>
      <c r="N251" s="223" t="str">
        <f>Constantes!$Q$9</f>
        <v>junior</v>
      </c>
      <c r="O251" s="223" t="str">
        <f>Constantes!$R$9</f>
        <v>senior</v>
      </c>
      <c r="P251" s="223" t="str">
        <f>Constantes!$S$9</f>
        <v>premium</v>
      </c>
      <c r="X251" s="36" t="s">
        <v>246</v>
      </c>
      <c r="Y251" s="286" t="str">
        <f>Constantes!$Q$9</f>
        <v>junior</v>
      </c>
      <c r="Z251" s="286" t="str">
        <f>Constantes!$R$9</f>
        <v>senior</v>
      </c>
      <c r="AA251" s="286" t="str">
        <f>Constantes!$S$9</f>
        <v>premium</v>
      </c>
      <c r="AI251" s="36" t="s">
        <v>246</v>
      </c>
      <c r="AJ251" s="286" t="str">
        <f>Constantes!$Q$9</f>
        <v>junior</v>
      </c>
      <c r="AK251" s="286" t="str">
        <f>Constantes!$R$9</f>
        <v>senior</v>
      </c>
      <c r="AL251" s="286" t="str">
        <f>Constantes!$S$9</f>
        <v>premium</v>
      </c>
      <c r="AT251" s="36" t="s">
        <v>246</v>
      </c>
      <c r="AU251" s="287" t="str">
        <f>Constantes!$Q$9</f>
        <v>junior</v>
      </c>
      <c r="AV251" s="287" t="str">
        <f>Constantes!$R$9</f>
        <v>senior</v>
      </c>
      <c r="AW251" s="287" t="str">
        <f>Constantes!$S$9</f>
        <v>premium</v>
      </c>
    </row>
    <row r="252" spans="1:50" ht="21" customHeight="1" x14ac:dyDescent="0.25">
      <c r="A252" s="12" t="s">
        <v>4</v>
      </c>
      <c r="B252" s="54" t="s">
        <v>5</v>
      </c>
      <c r="C252" s="73">
        <f ca="1">IF(C57&gt;2,Constantes!$D$40,IF(C57&gt;1,Constantes!$D$39,Constantes!$D$38))*(1+$C$247+$C$248+$C$249)</f>
        <v>0</v>
      </c>
      <c r="D252" s="73">
        <f ca="1">IF(D57&gt;2,Constantes!$D$40,IF(D57&gt;1,Constantes!$D$39,Constantes!$D$38))*(1+$C$247+$C$248+$C$249)</f>
        <v>0.5</v>
      </c>
      <c r="E252" s="73">
        <f ca="1">IF(E57&gt;2,Constantes!$D$40,IF(E57&gt;1,Constantes!$D$39,Constantes!$D$38))*(1+$C$247+$C$248+$C$249)</f>
        <v>0.5</v>
      </c>
      <c r="L252" s="12" t="s">
        <v>4</v>
      </c>
      <c r="M252" s="54" t="s">
        <v>5</v>
      </c>
      <c r="N252" s="73">
        <f ca="1">IF(N57&gt;2,Constantes!$D$40,IF(N57&gt;1,Constantes!$D$39,Constantes!$D$38))*(1+N$247+N$248+N$249)</f>
        <v>0</v>
      </c>
      <c r="O252" s="73">
        <f ca="1">IF(O57&gt;2,Constantes!$D$40,IF(O57&gt;1,Constantes!$D$39,Constantes!$D$38))*(1+$N$247+$N$248+$N$249)</f>
        <v>0.52</v>
      </c>
      <c r="P252" s="73">
        <f ca="1">IF(P57&gt;2,Constantes!$D$40,IF(P57&gt;1,Constantes!$D$39,Constantes!$D$38))*(1+$N$247+$N$248+$N$249)</f>
        <v>0.52</v>
      </c>
      <c r="W252" s="12" t="s">
        <v>4</v>
      </c>
      <c r="X252" s="54" t="s">
        <v>5</v>
      </c>
      <c r="Y252" s="73">
        <f ca="1">IF(Y57&gt;2,Constantes!$D$40,IF(Y57&gt;1,Constantes!$D$39,Constantes!$D$38))*(1+$Y$247+$Y$248+$Y$249)</f>
        <v>0</v>
      </c>
      <c r="Z252" s="73">
        <f ca="1">IF(Z57&gt;2,Constantes!$D$40,IF(Z57&gt;1,Constantes!$D$39,Constantes!$D$38))*(1+$Y$247+$Y$248+$Y$249)</f>
        <v>0.57500000000000007</v>
      </c>
      <c r="AA252" s="73">
        <f ca="1">IF(AA57&gt;2,Constantes!$D$40,IF(AA57&gt;1,Constantes!$D$39,Constantes!$D$38))*(1+$Y$247+$Y$248+$Y$249)</f>
        <v>0.57500000000000007</v>
      </c>
      <c r="AH252" s="12" t="s">
        <v>4</v>
      </c>
      <c r="AI252" s="54" t="s">
        <v>5</v>
      </c>
      <c r="AJ252" s="73">
        <f ca="1">IF(AJ57&gt;2,Constantes!$D$40,IF(AJ57&gt;1,Constantes!$D$39,Constantes!$D$38))*(1+$AJ$247+$AJ$248+$AJ$249)</f>
        <v>0</v>
      </c>
      <c r="AK252" s="73">
        <f ca="1">IF(AK57&gt;2,Constantes!$D$40,IF(AK57&gt;1,Constantes!$D$39,Constantes!$D$38))*(1+$AJ$247+$AJ$248+$AJ$249)</f>
        <v>0.52500000000000002</v>
      </c>
      <c r="AL252" s="73">
        <f ca="1">IF(AL57&gt;2,Constantes!$D$40,IF(AL57&gt;1,Constantes!$D$39,Constantes!$D$38))*(1+$AJ$247+$AJ$248+$AJ$249)</f>
        <v>0.52500000000000002</v>
      </c>
      <c r="AS252" s="12" t="s">
        <v>4</v>
      </c>
      <c r="AT252" s="54" t="s">
        <v>5</v>
      </c>
      <c r="AU252" s="73">
        <f ca="1">IF(AU57&gt;2,Constantes!$D$40,IF(AU57&gt;1,Constantes!$D$39,Constantes!$D$38))*(1+$AU$247+$AU$248+$AU$249)</f>
        <v>0.52500000000000002</v>
      </c>
      <c r="AV252" s="73">
        <f ca="1">IF(AV57&gt;2,Constantes!$D$40,IF(AV57&gt;1,Constantes!$D$39,Constantes!$D$38))*(1+$AU$247+$AU$248+$AU$249)</f>
        <v>0.52500000000000002</v>
      </c>
      <c r="AW252" s="73">
        <f ca="1">IF(AW57&gt;2,Constantes!$D$40,IF(AW57&gt;1,Constantes!$D$39,Constantes!$D$38))*(1+$AU$247+$AU$248+$AU$249)</f>
        <v>0.52500000000000002</v>
      </c>
    </row>
    <row r="253" spans="1:50" ht="21" customHeight="1" thickBot="1" x14ac:dyDescent="0.3">
      <c r="A253" s="15"/>
      <c r="B253" s="56" t="s">
        <v>31</v>
      </c>
      <c r="C253" s="73">
        <f ca="1">IF(C58&gt;2,Constantes!$D$40,IF(C58&gt;1,Constantes!$D$39,Constantes!$D$38))*(1+$C$247+$C$248+$C$249)</f>
        <v>0</v>
      </c>
      <c r="D253" s="73">
        <f ca="1">IF(D58&gt;2,Constantes!$D$40,IF(D58&gt;1,Constantes!$D$39,Constantes!$D$38))*(1+$C$247+$C$248+$C$249)</f>
        <v>0</v>
      </c>
      <c r="E253" s="73">
        <f ca="1">IF(E58&gt;2,Constantes!$D$40,IF(E58&gt;1,Constantes!$D$39,Constantes!$D$38))*(1+$C$247+$C$248+$C$249)</f>
        <v>0</v>
      </c>
      <c r="L253" s="15"/>
      <c r="M253" s="56" t="s">
        <v>31</v>
      </c>
      <c r="N253" s="73">
        <f ca="1">IF(N58&gt;2,Constantes!$D$40,IF(N58&gt;1,Constantes!$D$39,Constantes!$D$38))*(1+$N$247+$N$248+$N$249)</f>
        <v>0</v>
      </c>
      <c r="O253" s="73">
        <f ca="1">IF(O58&gt;2,Constantes!$D$40,IF(O58&gt;1,Constantes!$D$39,Constantes!$D$38))*(1+$N$247+$N$248+$N$249)</f>
        <v>0</v>
      </c>
      <c r="P253" s="73">
        <f ca="1">IF(P58&gt;2,Constantes!$D$40,IF(P58&gt;1,Constantes!$D$39,Constantes!$D$38))*(1+$N$247+$N$248+$N$249)</f>
        <v>0.52</v>
      </c>
      <c r="W253" s="15"/>
      <c r="X253" s="56" t="s">
        <v>31</v>
      </c>
      <c r="Y253" s="73">
        <f ca="1">IF(Y58&gt;2,Constantes!$D$40,IF(Y58&gt;1,Constantes!$D$39,Constantes!$D$38))*(1+$Y$247+$Y$248+$Y$249)</f>
        <v>0</v>
      </c>
      <c r="Z253" s="73">
        <f ca="1">IF(Z58&gt;2,Constantes!$D$40,IF(Z58&gt;1,Constantes!$D$39,Constantes!$D$38))*(1+$Y$247+$Y$248+$Y$249)</f>
        <v>0</v>
      </c>
      <c r="AA253" s="73">
        <f ca="1">IF(AA58&gt;2,Constantes!$D$40,IF(AA58&gt;1,Constantes!$D$39,Constantes!$D$38))*(1+$Y$247+$Y$248+$Y$249)</f>
        <v>0.57500000000000007</v>
      </c>
      <c r="AH253" s="15"/>
      <c r="AI253" s="56" t="s">
        <v>31</v>
      </c>
      <c r="AJ253" s="73">
        <f ca="1">IF(AJ58&gt;2,Constantes!$D$40,IF(AJ58&gt;1,Constantes!$D$39,Constantes!$D$38))*(1+$AJ$247+$AJ$248+$AJ$249)</f>
        <v>0</v>
      </c>
      <c r="AK253" s="73">
        <f ca="1">IF(AK58&gt;2,Constantes!$D$40,IF(AK58&gt;1,Constantes!$D$39,Constantes!$D$38))*(1+$AJ$247+$AJ$248+$AJ$249)</f>
        <v>0</v>
      </c>
      <c r="AL253" s="73">
        <f ca="1">IF(AL58&gt;2,Constantes!$D$40,IF(AL58&gt;1,Constantes!$D$39,Constantes!$D$38))*(1+$AJ$247+$AJ$248+$AJ$249)</f>
        <v>0.52500000000000002</v>
      </c>
      <c r="AS253" s="15"/>
      <c r="AT253" s="56" t="s">
        <v>31</v>
      </c>
      <c r="AU253" s="73">
        <f ca="1">IF(AU58&gt;2,Constantes!$D$40,IF(AU58&gt;1,Constantes!$D$39,Constantes!$D$38))*(1+$AU$247+$AU$248+$AU$249)</f>
        <v>0</v>
      </c>
      <c r="AV253" s="73">
        <f ca="1">IF(AV58&gt;2,Constantes!$D$40,IF(AV58&gt;1,Constantes!$D$39,Constantes!$D$38))*(1+$AU$247+$AU$248+$AU$249)</f>
        <v>0</v>
      </c>
      <c r="AW253" s="73">
        <f ca="1">IF(AW58&gt;2,Constantes!$D$40,IF(AW58&gt;1,Constantes!$D$39,Constantes!$D$38))*(1+$AU$247+$AU$248+$AU$249)</f>
        <v>0.52500000000000002</v>
      </c>
    </row>
    <row r="254" spans="1:50" ht="21" customHeight="1" x14ac:dyDescent="0.25">
      <c r="A254" s="12" t="s">
        <v>6</v>
      </c>
      <c r="B254" s="54" t="s">
        <v>7</v>
      </c>
      <c r="C254" s="73">
        <f ca="1">IF(C59&gt;2,Constantes!$D$40,IF(C59&gt;1,Constantes!$D$39,Constantes!$D$38))*(1+$C$247+$D$248+$C$249)</f>
        <v>0</v>
      </c>
      <c r="D254" s="73">
        <f ca="1">IF(D59&gt;2,Constantes!$D$40,IF(D59&gt;1,Constantes!$D$39,Constantes!$D$38))*(1+$C$247+$D$248+$C$249)</f>
        <v>0</v>
      </c>
      <c r="E254" s="73">
        <f ca="1">IF(E59&gt;2,Constantes!$D$40,IF(E59&gt;1,Constantes!$D$39,Constantes!$D$38))*(1+$C$247+$D$248+$C$249)</f>
        <v>0.5</v>
      </c>
      <c r="L254" s="12" t="s">
        <v>6</v>
      </c>
      <c r="M254" s="54" t="s">
        <v>7</v>
      </c>
      <c r="N254" s="73">
        <f ca="1">IF(N59&gt;2,Constantes!$D$40,IF(N59&gt;1,Constantes!$D$39,Constantes!$D$38))*(1+$N$247+$O$248+$N$249)</f>
        <v>0</v>
      </c>
      <c r="O254" s="73">
        <f ca="1">IF(O59&gt;2,Constantes!$D$40,IF(O59&gt;1,Constantes!$D$39,Constantes!$D$38))*(1+$N$247+$O$248+$N$249)</f>
        <v>0</v>
      </c>
      <c r="P254" s="73">
        <f ca="1">IF(P59&gt;2,Constantes!$D$40,IF(P59&gt;1,Constantes!$D$39,Constantes!$D$38))*(1+$N$247+$O$248+$N$249)</f>
        <v>0.5</v>
      </c>
      <c r="W254" s="12" t="s">
        <v>6</v>
      </c>
      <c r="X254" s="54" t="s">
        <v>7</v>
      </c>
      <c r="Y254" s="73">
        <f ca="1">IF(Y59&gt;2,Constantes!$D$40,IF(Y59&gt;1,Constantes!$D$39,Constantes!$D$38))*(1+$Y$247+$Z$248+$Y$249)</f>
        <v>0</v>
      </c>
      <c r="Z254" s="73">
        <f ca="1">IF(Z59&gt;2,Constantes!$D$40,IF(Z59&gt;1,Constantes!$D$39,Constantes!$D$38))*(1+$Y$247+$Z$248+$Y$249)</f>
        <v>0.57500000000000007</v>
      </c>
      <c r="AA254" s="73">
        <f ca="1">IF(AA59&gt;2,Constantes!$D$40,IF(AA59&gt;1,Constantes!$D$39,Constantes!$D$38))*(1+$Y$247+$Z$248+$Y$249)</f>
        <v>0.57500000000000007</v>
      </c>
      <c r="AH254" s="12" t="s">
        <v>6</v>
      </c>
      <c r="AI254" s="54" t="s">
        <v>7</v>
      </c>
      <c r="AJ254" s="73">
        <f ca="1">IF(AJ59&gt;2,Constantes!$D$40,IF(AJ59&gt;1,Constantes!$D$39,Constantes!$D$38))*(1+$AJ$247+$AK$248+$AJ$249)</f>
        <v>0</v>
      </c>
      <c r="AK254" s="73">
        <f ca="1">IF(AK59&gt;2,Constantes!$D$40,IF(AK59&gt;1,Constantes!$D$39,Constantes!$D$38))*(1+$AJ$247+$AK$248+$AJ$249)</f>
        <v>0.52500000000000002</v>
      </c>
      <c r="AL254" s="73">
        <f ca="1">IF(AL59&gt;2,Constantes!$D$40,IF(AL59&gt;1,Constantes!$D$39,Constantes!$D$38))*(1+$AJ$247+$AK$248+$AJ$249)</f>
        <v>1.05</v>
      </c>
      <c r="AS254" s="12" t="s">
        <v>6</v>
      </c>
      <c r="AT254" s="54" t="s">
        <v>7</v>
      </c>
      <c r="AU254" s="73">
        <f ca="1">IF(AU59&gt;2,Constantes!$D$40,IF(AU59&gt;1,Constantes!$D$39,Constantes!$D$38))*(1+$AU$247+$AV$248+$AU$249)</f>
        <v>0</v>
      </c>
      <c r="AV254" s="73">
        <f ca="1">IF(AV59&gt;2,Constantes!$D$40,IF(AV59&gt;1,Constantes!$D$39,Constantes!$D$38))*(1+$AU$247+$AV$248+$AU$249)</f>
        <v>1.05</v>
      </c>
      <c r="AW254" s="73">
        <f ca="1">IF(AW59&gt;2,Constantes!$D$40,IF(AW59&gt;1,Constantes!$D$39,Constantes!$D$38))*(1+$AU$247+$AV$248+$AU$249)</f>
        <v>1.05</v>
      </c>
    </row>
    <row r="255" spans="1:50" ht="21" customHeight="1" x14ac:dyDescent="0.25">
      <c r="A255" s="17"/>
      <c r="B255" s="57" t="s">
        <v>8</v>
      </c>
      <c r="C255" s="73">
        <f ca="1">IF(C60&gt;2,Constantes!$D$40,IF(C60&gt;1,Constantes!$D$39,Constantes!$D$38))*(1+$C$247+$D$248+$C$249)</f>
        <v>0</v>
      </c>
      <c r="D255" s="73">
        <f ca="1">IF(D60&gt;2,Constantes!$D$40,IF(D60&gt;1,Constantes!$D$39,Constantes!$D$38))*(1+$C$247+$D$248+$C$249)</f>
        <v>0</v>
      </c>
      <c r="E255" s="73">
        <f ca="1">IF(E60&gt;2,Constantes!$D$40,IF(E60&gt;1,Constantes!$D$39,Constantes!$D$38))*(1+$C$247+$D$248+$C$249)</f>
        <v>0</v>
      </c>
      <c r="L255" s="17"/>
      <c r="M255" s="57" t="s">
        <v>8</v>
      </c>
      <c r="N255" s="73">
        <f ca="1">IF(N60&gt;2,Constantes!$D$40,IF(N60&gt;1,Constantes!$D$39,Constantes!$D$38))*(1+$N$247+$O$248+$N$249)</f>
        <v>0</v>
      </c>
      <c r="O255" s="73">
        <f ca="1">IF(O60&gt;2,Constantes!$D$40,IF(O60&gt;1,Constantes!$D$39,Constantes!$D$38))*(1+$N$247+$O$248+$N$249)</f>
        <v>0.5</v>
      </c>
      <c r="P255" s="73">
        <f ca="1">IF(P60&gt;2,Constantes!$D$40,IF(P60&gt;1,Constantes!$D$39,Constantes!$D$38))*(1+$N$247+$O$248+$N$249)</f>
        <v>0</v>
      </c>
      <c r="W255" s="17"/>
      <c r="X255" s="57" t="s">
        <v>8</v>
      </c>
      <c r="Y255" s="73">
        <f ca="1">IF(Y60&gt;2,Constantes!$D$40,IF(Y60&gt;1,Constantes!$D$39,Constantes!$D$38))*(1+$Y$247+$Z$248+$Y$249)</f>
        <v>0</v>
      </c>
      <c r="Z255" s="73">
        <f ca="1">IF(Z60&gt;2,Constantes!$D$40,IF(Z60&gt;1,Constantes!$D$39,Constantes!$D$38))*(1+$Y$247+$Z$248+$Y$249)</f>
        <v>0.57500000000000007</v>
      </c>
      <c r="AA255" s="73">
        <f ca="1">IF(AA60&gt;2,Constantes!$D$40,IF(AA60&gt;1,Constantes!$D$39,Constantes!$D$38))*(1+$Y$247+$Z$248+$Y$249)</f>
        <v>0</v>
      </c>
      <c r="AH255" s="17"/>
      <c r="AI255" s="57" t="s">
        <v>8</v>
      </c>
      <c r="AJ255" s="73">
        <f ca="1">IF(AJ60&gt;2,Constantes!$D$40,IF(AJ60&gt;1,Constantes!$D$39,Constantes!$D$38))*(1+$AJ$247+$AK$248+$AJ$249)</f>
        <v>0</v>
      </c>
      <c r="AK255" s="73">
        <f ca="1">IF(AK60&gt;2,Constantes!$D$40,IF(AK60&gt;1,Constantes!$D$39,Constantes!$D$38))*(1+$AJ$247+$AK$248+$AJ$249)</f>
        <v>0.52500000000000002</v>
      </c>
      <c r="AL255" s="73">
        <f ca="1">IF(AL60&gt;2,Constantes!$D$40,IF(AL60&gt;1,Constantes!$D$39,Constantes!$D$38))*(1+$AJ$247+$AK$248+$AJ$249)</f>
        <v>0.52500000000000002</v>
      </c>
      <c r="AS255" s="17"/>
      <c r="AT255" s="57" t="s">
        <v>8</v>
      </c>
      <c r="AU255" s="73">
        <f ca="1">IF(AU60&gt;2,Constantes!$D$40,IF(AU60&gt;1,Constantes!$D$39,Constantes!$D$38))*(1+$AU$247+$AV$248+$AU$249)</f>
        <v>0</v>
      </c>
      <c r="AV255" s="73">
        <f ca="1">IF(AV60&gt;2,Constantes!$D$40,IF(AV60&gt;1,Constantes!$D$39,Constantes!$D$38))*(1+$AU$247+$AV$248+$AU$249)</f>
        <v>0.52500000000000002</v>
      </c>
      <c r="AW255" s="73">
        <f ca="1">IF(AW60&gt;2,Constantes!$D$40,IF(AW60&gt;1,Constantes!$D$39,Constantes!$D$38))*(1+$AU$247+$AV$248+$AU$249)</f>
        <v>0.52500000000000002</v>
      </c>
    </row>
    <row r="256" spans="1:50" ht="21" customHeight="1" thickBot="1" x14ac:dyDescent="0.3">
      <c r="A256" s="15"/>
      <c r="B256" s="56" t="s">
        <v>157</v>
      </c>
      <c r="C256" s="73">
        <f ca="1">IF(C61&gt;2,Constantes!$D$40,IF(C61&gt;1,Constantes!$D$39,Constantes!$D$38))*(1+$C$247+$D$248+$C$249)</f>
        <v>0</v>
      </c>
      <c r="D256" s="73">
        <f ca="1">IF(D61&gt;2,Constantes!$D$40,IF(D61&gt;1,Constantes!$D$39,Constantes!$D$38))*(1+$C$247+$D$248+$C$249)</f>
        <v>0</v>
      </c>
      <c r="E256" s="73">
        <f ca="1">IF(E61&gt;2,Constantes!$D$40,IF(E61&gt;1,Constantes!$D$39,Constantes!$D$38))*(1+$C$247+$D$248+$C$249)</f>
        <v>0</v>
      </c>
      <c r="L256" s="15"/>
      <c r="M256" s="56" t="s">
        <v>157</v>
      </c>
      <c r="N256" s="73">
        <f ca="1">IF(N61&gt;2,Constantes!$D$40,IF(N61&gt;1,Constantes!$D$39,Constantes!$D$38))*(1+$N$247+$O$248+$N$249)</f>
        <v>0</v>
      </c>
      <c r="O256" s="73">
        <f ca="1">IF(O61&gt;2,Constantes!$D$40,IF(O61&gt;1,Constantes!$D$39,Constantes!$D$38))*(1+$N$247+$O$248+$N$249)</f>
        <v>0</v>
      </c>
      <c r="P256" s="73">
        <f ca="1">IF(P61&gt;2,Constantes!$D$40,IF(P61&gt;1,Constantes!$D$39,Constantes!$D$38))*(1+$N$247+$O$248+$N$249)</f>
        <v>0</v>
      </c>
      <c r="W256" s="15"/>
      <c r="X256" s="56" t="s">
        <v>157</v>
      </c>
      <c r="Y256" s="73">
        <f ca="1">IF(Y61&gt;2,Constantes!$D$40,IF(Y61&gt;1,Constantes!$D$39,Constantes!$D$38))*(1+$Y$247+$Z$248+$Y$249)</f>
        <v>0</v>
      </c>
      <c r="Z256" s="73">
        <f ca="1">IF(Z61&gt;2,Constantes!$D$40,IF(Z61&gt;1,Constantes!$D$39,Constantes!$D$38))*(1+$Y$247+$Z$248+$Y$249)</f>
        <v>0</v>
      </c>
      <c r="AA256" s="73">
        <f ca="1">IF(AA61&gt;2,Constantes!$D$40,IF(AA61&gt;1,Constantes!$D$39,Constantes!$D$38))*(1+$Y$247+$Z$248+$Y$249)</f>
        <v>0</v>
      </c>
      <c r="AH256" s="15"/>
      <c r="AI256" s="56" t="s">
        <v>157</v>
      </c>
      <c r="AJ256" s="73">
        <f ca="1">IF(AJ61&gt;2,Constantes!$D$40,IF(AJ61&gt;1,Constantes!$D$39,Constantes!$D$38))*(1+$AJ$247+$AK$248+$AJ$249)</f>
        <v>0</v>
      </c>
      <c r="AK256" s="73">
        <f ca="1">IF(AK61&gt;2,Constantes!$D$40,IF(AK61&gt;1,Constantes!$D$39,Constantes!$D$38))*(1+$AJ$247+$AK$248+$AJ$249)</f>
        <v>0.52500000000000002</v>
      </c>
      <c r="AL256" s="73">
        <f ca="1">IF(AL61&gt;2,Constantes!$D$40,IF(AL61&gt;1,Constantes!$D$39,Constantes!$D$38))*(1+$AJ$247+$AK$248+$AJ$249)</f>
        <v>0</v>
      </c>
      <c r="AS256" s="15"/>
      <c r="AT256" s="56" t="s">
        <v>157</v>
      </c>
      <c r="AU256" s="73">
        <f ca="1">IF(AU61&gt;2,Constantes!$D$40,IF(AU61&gt;1,Constantes!$D$39,Constantes!$D$38))*(1+$AU$247+$AV$248+$AU$249)</f>
        <v>0</v>
      </c>
      <c r="AV256" s="73">
        <f ca="1">IF(AV61&gt;2,Constantes!$D$40,IF(AV61&gt;1,Constantes!$D$39,Constantes!$D$38))*(1+$AU$247+$AV$248+$AU$249)</f>
        <v>0.52500000000000002</v>
      </c>
      <c r="AW256" s="73">
        <f ca="1">IF(AW61&gt;2,Constantes!$D$40,IF(AW61&gt;1,Constantes!$D$39,Constantes!$D$38))*(1+$AU$247+$AV$248+$AU$249)</f>
        <v>0.52500000000000002</v>
      </c>
    </row>
    <row r="257" spans="1:50" ht="21" customHeight="1" x14ac:dyDescent="0.25">
      <c r="A257" s="12" t="s">
        <v>9</v>
      </c>
      <c r="B257" s="54" t="s">
        <v>32</v>
      </c>
      <c r="C257" s="73">
        <f ca="1">IF(C62&gt;2,Constantes!$D$40,IF(C62&gt;1,Constantes!$D$39,Constantes!$D$38))*(1+$C$247+$E$248+$C$249)</f>
        <v>0</v>
      </c>
      <c r="D257" s="73">
        <f ca="1">IF(D62&gt;2,Constantes!$D$40,IF(D62&gt;1,Constantes!$D$39,Constantes!$D$38))*(1+$C$247+$E$248+$C$249)</f>
        <v>0</v>
      </c>
      <c r="E257" s="73">
        <f ca="1">IF(E62&gt;2,Constantes!$D$40,IF(E62&gt;1,Constantes!$D$39,Constantes!$D$38))*(1+$C$247+$E$248+$C$249)</f>
        <v>0</v>
      </c>
      <c r="L257" s="12" t="s">
        <v>9</v>
      </c>
      <c r="M257" s="54" t="s">
        <v>32</v>
      </c>
      <c r="N257" s="73">
        <f ca="1">IF(N62&gt;2,Constantes!$D$40,IF(N62&gt;1,Constantes!$D$39,Constantes!$D$38))*(1+$N$247+$P$248+$N$249)</f>
        <v>0</v>
      </c>
      <c r="O257" s="73">
        <f ca="1">IF(O62&gt;2,Constantes!$D$40,IF(O62&gt;1,Constantes!$D$39,Constantes!$D$38))*(1+$N$247+$P$248+$N$249)</f>
        <v>0</v>
      </c>
      <c r="P257" s="73">
        <f ca="1">IF(P62&gt;2,Constantes!$D$40,IF(P62&gt;1,Constantes!$D$39,Constantes!$D$38))*(1+$N$247+$P$248+$N$249)</f>
        <v>0</v>
      </c>
      <c r="W257" s="12" t="s">
        <v>9</v>
      </c>
      <c r="X257" s="54" t="s">
        <v>32</v>
      </c>
      <c r="Y257" s="73">
        <f ca="1">IF(Y62&gt;2,Constantes!$D$40,IF(Y62&gt;1,Constantes!$D$39,Constantes!$D$38))*(1+$Y$247+$AA$248+$Y$249)</f>
        <v>0</v>
      </c>
      <c r="Z257" s="73">
        <f ca="1">IF(Z62&gt;2,Constantes!$D$40,IF(Z62&gt;1,Constantes!$D$39,Constantes!$D$38))*(1+$Y$247+$AA$248+$Y$249)</f>
        <v>0</v>
      </c>
      <c r="AA257" s="73">
        <f ca="1">IF(AA62&gt;2,Constantes!$D$40,IF(AA62&gt;1,Constantes!$D$39,Constantes!$D$38))*(1+$Y$247+$AA$248+$Y$249)</f>
        <v>0</v>
      </c>
      <c r="AH257" s="12" t="s">
        <v>9</v>
      </c>
      <c r="AI257" s="54" t="s">
        <v>32</v>
      </c>
      <c r="AJ257" s="73">
        <f ca="1">IF(AJ62&gt;2,Constantes!$D$40,IF(AJ62&gt;1,Constantes!$D$39,Constantes!$D$38))*(1+$AJ$247+$AL$248+$AJ$249)</f>
        <v>0</v>
      </c>
      <c r="AK257" s="73">
        <f ca="1">IF(AK62&gt;2,Constantes!$D$40,IF(AK62&gt;1,Constantes!$D$39,Constantes!$D$38))*(1+$AJ$247+$AL$248+$AJ$249)</f>
        <v>0</v>
      </c>
      <c r="AL257" s="73">
        <f ca="1">IF(AL62&gt;2,Constantes!$D$40,IF(AL62&gt;1,Constantes!$D$39,Constantes!$D$38))*(1+$AJ$247+$AL$248+$AJ$249)</f>
        <v>0</v>
      </c>
      <c r="AS257" s="12" t="s">
        <v>9</v>
      </c>
      <c r="AT257" s="54" t="s">
        <v>32</v>
      </c>
      <c r="AU257" s="73">
        <f ca="1">IF(AU62&gt;2,Constantes!$D$40,IF(AU62&gt;1,Constantes!$D$39,Constantes!$D$38))*(1+$AU$247+$AW$248+$AU$249)</f>
        <v>0</v>
      </c>
      <c r="AV257" s="73">
        <f ca="1">IF(AV62&gt;2,Constantes!$D$40,IF(AV62&gt;1,Constantes!$D$39,Constantes!$D$38))*(1+$AU$247+$AW$248+$AU$249)</f>
        <v>0.54500000000000004</v>
      </c>
      <c r="AW257" s="73">
        <f ca="1">IF(AW62&gt;2,Constantes!$D$40,IF(AW62&gt;1,Constantes!$D$39,Constantes!$D$38))*(1+$AU$247+$AW$248+$AU$249)</f>
        <v>0</v>
      </c>
    </row>
    <row r="258" spans="1:50" ht="21" customHeight="1" thickBot="1" x14ac:dyDescent="0.3">
      <c r="A258" s="15"/>
      <c r="B258" s="56" t="s">
        <v>10</v>
      </c>
      <c r="C258" s="73">
        <f ca="1">IF(C63&gt;2,Constantes!$D$40,IF(C63&gt;1,Constantes!$D$39,Constantes!$D$38))*(1+$C$247+$E$248+$C$249)</f>
        <v>0</v>
      </c>
      <c r="D258" s="73">
        <f ca="1">IF(D63&gt;2,Constantes!$D$40,IF(D63&gt;1,Constantes!$D$39,Constantes!$D$38))*(1+$C$247+$E$248+$C$249)</f>
        <v>0</v>
      </c>
      <c r="E258" s="73">
        <f ca="1">IF(E63&gt;2,Constantes!$D$40,IF(E63&gt;1,Constantes!$D$39,Constantes!$D$38))*(1+$C$247+$E$248+$C$249)</f>
        <v>0</v>
      </c>
      <c r="L258" s="15"/>
      <c r="M258" s="56" t="s">
        <v>10</v>
      </c>
      <c r="N258" s="73">
        <f ca="1">IF(N63&gt;2,Constantes!$D$40,IF(N63&gt;1,Constantes!$D$39,Constantes!$D$38))*(1+$N$247+$P$248+$N$249)</f>
        <v>0</v>
      </c>
      <c r="O258" s="73">
        <f ca="1">IF(O63&gt;2,Constantes!$D$40,IF(O63&gt;1,Constantes!$D$39,Constantes!$D$38))*(1+$N$247+$P$248+$N$249)</f>
        <v>0</v>
      </c>
      <c r="P258" s="73">
        <f ca="1">IF(P63&gt;2,Constantes!$D$40,IF(P63&gt;1,Constantes!$D$39,Constantes!$D$38))*(1+$N$247+$P$248+$N$249)</f>
        <v>0.5</v>
      </c>
      <c r="W258" s="15"/>
      <c r="X258" s="56" t="s">
        <v>10</v>
      </c>
      <c r="Y258" s="73">
        <f ca="1">IF(Y63&gt;2,Constantes!$D$40,IF(Y63&gt;1,Constantes!$D$39,Constantes!$D$38))*(1+$Y$247+$AA$248+$Y$249)</f>
        <v>0</v>
      </c>
      <c r="Z258" s="73">
        <f ca="1">IF(Z63&gt;2,Constantes!$D$40,IF(Z63&gt;1,Constantes!$D$39,Constantes!$D$38))*(1+$Y$247+$AA$248+$Y$249)</f>
        <v>0.58500000000000008</v>
      </c>
      <c r="AA258" s="73">
        <f ca="1">IF(AA63&gt;2,Constantes!$D$40,IF(AA63&gt;1,Constantes!$D$39,Constantes!$D$38))*(1+$Y$247+$AA$248+$Y$249)</f>
        <v>0.58500000000000008</v>
      </c>
      <c r="AH258" s="15"/>
      <c r="AI258" s="56" t="s">
        <v>10</v>
      </c>
      <c r="AJ258" s="73">
        <f ca="1">IF(AJ63&gt;2,Constantes!$D$40,IF(AJ63&gt;1,Constantes!$D$39,Constantes!$D$38))*(1+$AJ$247+$AL$248+$AJ$249)</f>
        <v>0</v>
      </c>
      <c r="AK258" s="73">
        <f ca="1">IF(AK63&gt;2,Constantes!$D$40,IF(AK63&gt;1,Constantes!$D$39,Constantes!$D$38))*(1+$AJ$247+$AL$248+$AJ$249)</f>
        <v>0.52500000000000002</v>
      </c>
      <c r="AL258" s="73">
        <f ca="1">IF(AL63&gt;2,Constantes!$D$40,IF(AL63&gt;1,Constantes!$D$39,Constantes!$D$38))*(1+$AJ$247+$AL$248+$AJ$249)</f>
        <v>0.52500000000000002</v>
      </c>
      <c r="AS258" s="15"/>
      <c r="AT258" s="56" t="s">
        <v>10</v>
      </c>
      <c r="AU258" s="73">
        <f ca="1">IF(AU63&gt;2,Constantes!$D$40,IF(AU63&gt;1,Constantes!$D$39,Constantes!$D$38))*(1+$AU$247+$AW$248+$AU$249)</f>
        <v>0</v>
      </c>
      <c r="AV258" s="73">
        <f ca="1">IF(AV63&gt;2,Constantes!$D$40,IF(AV63&gt;1,Constantes!$D$39,Constantes!$D$38))*(1+$AU$247+$AW$248+$AU$249)</f>
        <v>0.54500000000000004</v>
      </c>
      <c r="AW258" s="73">
        <f ca="1">IF(AW63&gt;2,Constantes!$D$40,IF(AW63&gt;1,Constantes!$D$39,Constantes!$D$38))*(1+$AU$247+$AW$248+$AU$249)</f>
        <v>0.54500000000000004</v>
      </c>
    </row>
    <row r="259" spans="1:50" ht="21" customHeight="1" x14ac:dyDescent="0.25">
      <c r="A259" s="12" t="s">
        <v>11</v>
      </c>
      <c r="B259" s="54" t="s">
        <v>33</v>
      </c>
      <c r="C259" s="73">
        <f ca="1">IF(C64&gt;2,Constantes!$D$40,IF(C64&gt;1,Constantes!$D$39,Constantes!$D$38))*(1+$C$247+$F$248+$C$249)</f>
        <v>0</v>
      </c>
      <c r="D259" s="73">
        <f ca="1">IF(D64&gt;2,Constantes!$D$40,IF(D64&gt;1,Constantes!$D$39,Constantes!$D$38))*(1+$C$247+$F$248+$C$249)</f>
        <v>0</v>
      </c>
      <c r="E259" s="73">
        <f ca="1">IF(E64&gt;2,Constantes!$D$40,IF(E64&gt;1,Constantes!$D$39,Constantes!$D$38))*(1+$C$247+$F$248+$C$249)</f>
        <v>0</v>
      </c>
      <c r="L259" s="12" t="s">
        <v>11</v>
      </c>
      <c r="M259" s="54" t="s">
        <v>33</v>
      </c>
      <c r="N259" s="73">
        <f ca="1">IF(N64&gt;2,Constantes!$D$40,IF(N64&gt;1,Constantes!$D$39,Constantes!$D$38))*(1+$N$247+$Q$248+$N$249)</f>
        <v>0</v>
      </c>
      <c r="O259" s="73">
        <f ca="1">IF(O64&gt;2,Constantes!$D$40,IF(O64&gt;1,Constantes!$D$39,Constantes!$D$38))*(1+$N$247+$Q$248+$N$249)</f>
        <v>0.5</v>
      </c>
      <c r="P259" s="73">
        <f ca="1">IF(P64&gt;2,Constantes!$D$40,IF(P64&gt;1,Constantes!$D$39,Constantes!$D$38))*(1+$N$247+$Q$248+$N$249)</f>
        <v>0</v>
      </c>
      <c r="W259" s="12" t="s">
        <v>11</v>
      </c>
      <c r="X259" s="54" t="s">
        <v>33</v>
      </c>
      <c r="Y259" s="73">
        <f ca="1">IF(Y64&gt;2,Constantes!$D$40,IF(Y64&gt;1,Constantes!$D$39,Constantes!$D$38))*(1+$Y$247+$AB$248+$Y$249)</f>
        <v>0</v>
      </c>
      <c r="Z259" s="73">
        <f ca="1">IF(Z64&gt;2,Constantes!$D$40,IF(Z64&gt;1,Constantes!$D$39,Constantes!$D$38))*(1+$Y$247+$AB$248+$Y$249)</f>
        <v>0.57500000000000007</v>
      </c>
      <c r="AA259" s="73">
        <f ca="1">IF(AA64&gt;2,Constantes!$D$40,IF(AA64&gt;1,Constantes!$D$39,Constantes!$D$38))*(1+$Y$247+$AB$248+$Y$249)</f>
        <v>0</v>
      </c>
      <c r="AH259" s="12" t="s">
        <v>11</v>
      </c>
      <c r="AI259" s="54" t="s">
        <v>33</v>
      </c>
      <c r="AJ259" s="73">
        <f ca="1">IF(AJ64&gt;2,Constantes!$D$40,IF(AJ64&gt;1,Constantes!$D$39,Constantes!$D$38))*(1+$AJ$247+$AM$248+$AJ$249)</f>
        <v>0</v>
      </c>
      <c r="AK259" s="73">
        <f ca="1">IF(AK64&gt;2,Constantes!$D$40,IF(AK64&gt;1,Constantes!$D$39,Constantes!$D$38))*(1+$AJ$247+$AM$248+$AJ$249)</f>
        <v>0.53500000000000003</v>
      </c>
      <c r="AL259" s="73">
        <f ca="1">IF(AL64&gt;2,Constantes!$D$40,IF(AL64&gt;1,Constantes!$D$39,Constantes!$D$38))*(1+$AJ$247+$AM$248+$AJ$249)</f>
        <v>0</v>
      </c>
      <c r="AS259" s="12" t="s">
        <v>11</v>
      </c>
      <c r="AT259" s="54" t="s">
        <v>33</v>
      </c>
      <c r="AU259" s="73">
        <f ca="1">IF(AU64&gt;2,Constantes!$D$40,IF(AU64&gt;1,Constantes!$D$39,Constantes!$D$38))*(1+$AU$247+$AX$248+$AU$249)</f>
        <v>0</v>
      </c>
      <c r="AV259" s="73">
        <f ca="1">IF(AV64&gt;2,Constantes!$D$40,IF(AV64&gt;1,Constantes!$D$39,Constantes!$D$38))*(1+$AU$247+$AX$248+$AU$249)</f>
        <v>0.52500000000000002</v>
      </c>
      <c r="AW259" s="73">
        <f ca="1">IF(AW64&gt;2,Constantes!$D$40,IF(AW64&gt;1,Constantes!$D$39,Constantes!$D$38))*(1+$AU$247+$AX$248+$AU$249)</f>
        <v>0</v>
      </c>
    </row>
    <row r="260" spans="1:50" ht="21" customHeight="1" x14ac:dyDescent="0.25">
      <c r="A260" s="17"/>
      <c r="B260" s="57" t="s">
        <v>34</v>
      </c>
      <c r="C260" s="73">
        <f ca="1">IF(C65&gt;2,Constantes!$D$40,IF(C65&gt;1,Constantes!$D$39,Constantes!$D$38))*(1+$C$247+$F$248+$C$249)</f>
        <v>0</v>
      </c>
      <c r="D260" s="73">
        <f ca="1">IF(D65&gt;2,Constantes!$D$40,IF(D65&gt;1,Constantes!$D$39,Constantes!$D$38))*(1+$C$247+$F$248+$C$249)</f>
        <v>0.5</v>
      </c>
      <c r="E260" s="73">
        <f ca="1">IF(E65&gt;2,Constantes!$D$40,IF(E65&gt;1,Constantes!$D$39,Constantes!$D$38))*(1+$C$247+$F$248+$C$249)</f>
        <v>0</v>
      </c>
      <c r="L260" s="17"/>
      <c r="M260" s="57" t="s">
        <v>34</v>
      </c>
      <c r="N260" s="73">
        <f ca="1">IF(N65&gt;2,Constantes!$D$40,IF(N65&gt;1,Constantes!$D$39,Constantes!$D$38))*(1+$N$247+$Q$248+$N$249)</f>
        <v>0</v>
      </c>
      <c r="O260" s="73">
        <f ca="1">IF(O65&gt;2,Constantes!$D$40,IF(O65&gt;1,Constantes!$D$39,Constantes!$D$38))*(1+$N$247+$Q$248+$N$249)</f>
        <v>0.5</v>
      </c>
      <c r="P260" s="73">
        <f ca="1">IF(P65&gt;2,Constantes!$D$40,IF(P65&gt;1,Constantes!$D$39,Constantes!$D$38))*(1+$N$247+$Q$248+$N$249)</f>
        <v>0</v>
      </c>
      <c r="W260" s="17"/>
      <c r="X260" s="57" t="s">
        <v>34</v>
      </c>
      <c r="Y260" s="73">
        <f ca="1">IF(Y65&gt;2,Constantes!$D$40,IF(Y65&gt;1,Constantes!$D$39,Constantes!$D$38))*(1+$Y$247+$AB$248+$Y$249)</f>
        <v>0</v>
      </c>
      <c r="Z260" s="73">
        <f ca="1">IF(Z65&gt;2,Constantes!$D$40,IF(Z65&gt;1,Constantes!$D$39,Constantes!$D$38))*(1+$Y$247+$AB$248+$Y$249)</f>
        <v>0.57500000000000007</v>
      </c>
      <c r="AA260" s="73">
        <f ca="1">IF(AA65&gt;2,Constantes!$D$40,IF(AA65&gt;1,Constantes!$D$39,Constantes!$D$38))*(1+$Y$247+$AB$248+$Y$249)</f>
        <v>0</v>
      </c>
      <c r="AH260" s="17"/>
      <c r="AI260" s="57" t="s">
        <v>34</v>
      </c>
      <c r="AJ260" s="73">
        <f ca="1">IF(AJ65&gt;2,Constantes!$D$40,IF(AJ65&gt;1,Constantes!$D$39,Constantes!$D$38))*(1+$AJ$247+$AM$248+$AJ$249)</f>
        <v>0</v>
      </c>
      <c r="AK260" s="73">
        <f ca="1">IF(AK65&gt;2,Constantes!$D$40,IF(AK65&gt;1,Constantes!$D$39,Constantes!$D$38))*(1+$AJ$247+$AM$248+$AJ$249)</f>
        <v>0.53500000000000003</v>
      </c>
      <c r="AL260" s="73">
        <f ca="1">IF(AL65&gt;2,Constantes!$D$40,IF(AL65&gt;1,Constantes!$D$39,Constantes!$D$38))*(1+$AJ$247+$AM$248+$AJ$249)</f>
        <v>0</v>
      </c>
      <c r="AS260" s="17"/>
      <c r="AT260" s="57" t="s">
        <v>34</v>
      </c>
      <c r="AU260" s="73">
        <f ca="1">IF(AU65&gt;2,Constantes!$D$40,IF(AU65&gt;1,Constantes!$D$39,Constantes!$D$38))*(1+$AU$247+$AX$248+$AU$249)</f>
        <v>0</v>
      </c>
      <c r="AV260" s="73">
        <f ca="1">IF(AV65&gt;2,Constantes!$D$40,IF(AV65&gt;1,Constantes!$D$39,Constantes!$D$38))*(1+$AU$247+$AX$248+$AU$249)</f>
        <v>0.52500000000000002</v>
      </c>
      <c r="AW260" s="73">
        <f ca="1">IF(AW65&gt;2,Constantes!$D$40,IF(AW65&gt;1,Constantes!$D$39,Constantes!$D$38))*(1+$AU$247+$AX$248+$AU$249)</f>
        <v>0</v>
      </c>
    </row>
    <row r="261" spans="1:50" ht="21" customHeight="1" thickBot="1" x14ac:dyDescent="0.3">
      <c r="A261" s="15"/>
      <c r="B261" s="56" t="s">
        <v>12</v>
      </c>
      <c r="C261" s="73">
        <f ca="1">IF(C66&gt;2,Constantes!$D$40,IF(C66&gt;1,Constantes!$D$39,Constantes!$D$38))*(1+$C$247+$F$248+$C$249)</f>
        <v>0</v>
      </c>
      <c r="D261" s="73">
        <f ca="1">IF(D66&gt;2,Constantes!$D$40,IF(D66&gt;1,Constantes!$D$39,Constantes!$D$38))*(1+$C$247+$F$248+$C$249)</f>
        <v>0</v>
      </c>
      <c r="E261" s="73">
        <f ca="1">IF(E66&gt;2,Constantes!$D$40,IF(E66&gt;1,Constantes!$D$39,Constantes!$D$38))*(1+$C$247+$F$248+$C$249)</f>
        <v>0</v>
      </c>
      <c r="L261" s="15"/>
      <c r="M261" s="56" t="s">
        <v>12</v>
      </c>
      <c r="N261" s="73">
        <f ca="1">IF(N66&gt;2,Constantes!$D$40,IF(N66&gt;1,Constantes!$D$39,Constantes!$D$38))*(1+$N$247+$Q$248+$N$249)</f>
        <v>0</v>
      </c>
      <c r="O261" s="73">
        <f ca="1">IF(O66&gt;2,Constantes!$D$40,IF(O66&gt;1,Constantes!$D$39,Constantes!$D$38))*(1+$N$247+$Q$248+$N$249)</f>
        <v>0</v>
      </c>
      <c r="P261" s="73">
        <f ca="1">IF(P66&gt;2,Constantes!$D$40,IF(P66&gt;1,Constantes!$D$39,Constantes!$D$38))*(1+$N$247+$Q$248+$N$249)</f>
        <v>0</v>
      </c>
      <c r="W261" s="15"/>
      <c r="X261" s="56" t="s">
        <v>12</v>
      </c>
      <c r="Y261" s="73">
        <f ca="1">IF(Y66&gt;2,Constantes!$D$40,IF(Y66&gt;1,Constantes!$D$39,Constantes!$D$38))*(1+$Y$247+$AB$248+$Y$249)</f>
        <v>0</v>
      </c>
      <c r="Z261" s="73">
        <f ca="1">IF(Z66&gt;2,Constantes!$D$40,IF(Z66&gt;1,Constantes!$D$39,Constantes!$D$38))*(1+$Y$247+$AB$248+$Y$249)</f>
        <v>0</v>
      </c>
      <c r="AA261" s="73">
        <f ca="1">IF(AA66&gt;2,Constantes!$D$40,IF(AA66&gt;1,Constantes!$D$39,Constantes!$D$38))*(1+$Y$247+$AB$248+$Y$249)</f>
        <v>0</v>
      </c>
      <c r="AH261" s="15"/>
      <c r="AI261" s="56" t="s">
        <v>12</v>
      </c>
      <c r="AJ261" s="73">
        <f ca="1">IF(AJ66&gt;2,Constantes!$D$40,IF(AJ66&gt;1,Constantes!$D$39,Constantes!$D$38))*(1+$AJ$247+$AM$248+$AJ$249)</f>
        <v>0</v>
      </c>
      <c r="AK261" s="73">
        <f ca="1">IF(AK66&gt;2,Constantes!$D$40,IF(AK66&gt;1,Constantes!$D$39,Constantes!$D$38))*(1+$AJ$247+$AM$248+$AJ$249)</f>
        <v>0</v>
      </c>
      <c r="AL261" s="73">
        <f ca="1">IF(AL66&gt;2,Constantes!$D$40,IF(AL66&gt;1,Constantes!$D$39,Constantes!$D$38))*(1+$AJ$247+$AM$248+$AJ$249)</f>
        <v>0</v>
      </c>
      <c r="AS261" s="15"/>
      <c r="AT261" s="56" t="s">
        <v>12</v>
      </c>
      <c r="AU261" s="73">
        <f ca="1">IF(AU66&gt;2,Constantes!$D$40,IF(AU66&gt;1,Constantes!$D$39,Constantes!$D$38))*(1+$AU$247+$AX$248+$AU$249)</f>
        <v>0</v>
      </c>
      <c r="AV261" s="73">
        <f ca="1">IF(AV66&gt;2,Constantes!$D$40,IF(AV66&gt;1,Constantes!$D$39,Constantes!$D$38))*(1+$AU$247+$AX$248+$AU$249)</f>
        <v>0</v>
      </c>
      <c r="AW261" s="73">
        <f ca="1">IF(AW66&gt;2,Constantes!$D$40,IF(AW66&gt;1,Constantes!$D$39,Constantes!$D$38))*(1+$AU$247+$AX$248+$AU$249)</f>
        <v>0.52500000000000002</v>
      </c>
    </row>
    <row r="262" spans="1:50" ht="21" customHeight="1" x14ac:dyDescent="0.25"/>
    <row r="263" spans="1:50" ht="21" customHeight="1" x14ac:dyDescent="0.25">
      <c r="A263" s="749"/>
      <c r="B263" s="36" t="s">
        <v>248</v>
      </c>
      <c r="M263" s="36" t="s">
        <v>248</v>
      </c>
      <c r="X263" s="36" t="s">
        <v>248</v>
      </c>
      <c r="AI263" s="36" t="s">
        <v>248</v>
      </c>
      <c r="AT263" s="36" t="s">
        <v>248</v>
      </c>
    </row>
    <row r="264" spans="1:50" ht="21" customHeight="1" thickBot="1" x14ac:dyDescent="0.3">
      <c r="C264" s="75" t="str">
        <f>C251</f>
        <v>junior</v>
      </c>
      <c r="D264" s="75" t="str">
        <f>D251</f>
        <v>senior</v>
      </c>
      <c r="E264" s="75" t="str">
        <f>E251</f>
        <v>premium</v>
      </c>
      <c r="N264" s="221" t="str">
        <f>N251</f>
        <v>junior</v>
      </c>
      <c r="O264" s="221" t="str">
        <f>O251</f>
        <v>senior</v>
      </c>
      <c r="P264" s="221" t="str">
        <f>P251</f>
        <v>premium</v>
      </c>
      <c r="Y264" s="286" t="str">
        <f>Y251</f>
        <v>junior</v>
      </c>
      <c r="Z264" s="286" t="str">
        <f>Z251</f>
        <v>senior</v>
      </c>
      <c r="AA264" s="286" t="str">
        <f>AA251</f>
        <v>premium</v>
      </c>
      <c r="AJ264" s="286" t="str">
        <f>AJ251</f>
        <v>junior</v>
      </c>
      <c r="AK264" s="286" t="str">
        <f>AK251</f>
        <v>senior</v>
      </c>
      <c r="AL264" s="286" t="str">
        <f>AL251</f>
        <v>premium</v>
      </c>
      <c r="AU264" s="287" t="str">
        <f>AU251</f>
        <v>junior</v>
      </c>
      <c r="AV264" s="287" t="str">
        <f>AV251</f>
        <v>senior</v>
      </c>
      <c r="AW264" s="287" t="str">
        <f>AW251</f>
        <v>premium</v>
      </c>
    </row>
    <row r="265" spans="1:50" ht="21" customHeight="1" x14ac:dyDescent="0.25">
      <c r="A265" s="12" t="s">
        <v>4</v>
      </c>
      <c r="B265" s="54" t="s">
        <v>5</v>
      </c>
      <c r="C265" s="209">
        <f ca="1">IF(C57&lt;&gt;0,ROUNDDOWN(SUMPRODUCT(C$235:C$244,C$252:C$261,Constantes!$W$10:$W$19),0),0)</f>
        <v>0</v>
      </c>
      <c r="D265" s="210">
        <f ca="1">IF(D57&lt;&gt;0,ROUNDDOWN(SUMPRODUCT(D$235:D$244,D$252:D$261,Constantes!$W$10:$W$19),0),0)</f>
        <v>3</v>
      </c>
      <c r="E265" s="261">
        <f ca="1">IF(E57&lt;&gt;0,ROUNDDOWN(SUMPRODUCT(E$235:E$244,E$252:E$261,Constantes!$W$10:$W$19),0),0)</f>
        <v>0</v>
      </c>
      <c r="F265" s="260">
        <f t="shared" ref="F265:F270" ca="1" si="37">SUM(C265:E265)</f>
        <v>3</v>
      </c>
      <c r="L265" s="12" t="s">
        <v>4</v>
      </c>
      <c r="M265" s="54" t="s">
        <v>5</v>
      </c>
      <c r="N265" s="104">
        <f ca="1">IF(N57&lt;&gt;0,ROUNDDOWN(SUMPRODUCT(N$235:N$244,N$252:N$261,Constantes!$W$10:$W$19),0),0)</f>
        <v>0</v>
      </c>
      <c r="O265" s="104">
        <f ca="1">IF(O57&lt;&gt;0,ROUNDDOWN(SUMPRODUCT(O$235:O$244,O$252:O$261,Constantes!$W$10:$W$19),0),0)</f>
        <v>7</v>
      </c>
      <c r="P265" s="104">
        <f ca="1">IF(P57&lt;&gt;0,ROUNDDOWN(SUMPRODUCT(P$235:P$244,P$252:P$261,Constantes!$W$10:$W$19),0),0)</f>
        <v>1</v>
      </c>
      <c r="Q265" s="111">
        <f t="shared" ref="Q265:Q274" ca="1" si="38">SUM(N265:P265)</f>
        <v>8</v>
      </c>
      <c r="R265" s="109"/>
      <c r="S265" s="109"/>
      <c r="T265" s="109"/>
      <c r="U265" s="109"/>
      <c r="W265" s="12" t="s">
        <v>4</v>
      </c>
      <c r="X265" s="54" t="s">
        <v>5</v>
      </c>
      <c r="Y265" s="104">
        <f ca="1">IF(Y57&lt;&gt;0,ROUNDDOWN(SUMPRODUCT(Y$235:Y$244,Y$252:Y$261,Constantes!$W$10:$W$19),0),0)</f>
        <v>0</v>
      </c>
      <c r="Z265" s="104">
        <f ca="1">IF(Z57&lt;&gt;0,ROUNDDOWN(SUMPRODUCT(Z$235:Z$244,Z$252:Z$261,Constantes!$W$10:$W$19),0),0)</f>
        <v>4</v>
      </c>
      <c r="AA265" s="104">
        <f ca="1">IF(AA57&lt;&gt;0,ROUNDDOWN(SUMPRODUCT(AA$235:AA$244,AA$252:AA$261,Constantes!$W$10:$W$19),0),0)</f>
        <v>0</v>
      </c>
      <c r="AB265" s="111">
        <f t="shared" ref="AB265:AB274" ca="1" si="39">SUM(Y265:AA265)</f>
        <v>4</v>
      </c>
      <c r="AC265" s="109"/>
      <c r="AD265" s="109"/>
      <c r="AE265" s="109"/>
      <c r="AF265" s="109"/>
      <c r="AH265" s="12" t="s">
        <v>4</v>
      </c>
      <c r="AI265" s="54" t="s">
        <v>5</v>
      </c>
      <c r="AJ265" s="104">
        <f ca="1">IF(AJ57&lt;&gt;0,ROUNDDOWN(SUMPRODUCT(AJ$235:AJ$244,AJ$252:AJ$261,Constantes!$W$10:$W$19),0),0)</f>
        <v>0</v>
      </c>
      <c r="AK265" s="104">
        <f ca="1">IF(AK57&lt;&gt;0,ROUNDDOWN(SUMPRODUCT(AK$235:AK$244,AK$252:AK$261,Constantes!$W$10:$W$19),0),0)</f>
        <v>2</v>
      </c>
      <c r="AL265" s="104">
        <f ca="1">IF(AL57&lt;&gt;0,ROUNDDOWN(SUMPRODUCT(AL$235:AL$244,AL$252:AL$261,Constantes!$W$10:$W$19),0),0)</f>
        <v>0</v>
      </c>
      <c r="AM265" s="111">
        <f t="shared" ref="AM265:AM274" ca="1" si="40">SUM(AJ265:AL265)</f>
        <v>2</v>
      </c>
      <c r="AN265" s="109"/>
      <c r="AO265" s="109"/>
      <c r="AP265" s="109"/>
      <c r="AQ265" s="109"/>
      <c r="AS265" s="12" t="s">
        <v>4</v>
      </c>
      <c r="AT265" s="54" t="s">
        <v>5</v>
      </c>
      <c r="AU265" s="104">
        <f ca="1">IF(AU57&lt;&gt;0,ROUNDDOWN(SUMPRODUCT(AU$235:AU$244,AU$252:AU$261,Constantes!$W$10:$W$19),0),0)</f>
        <v>0</v>
      </c>
      <c r="AV265" s="104">
        <f ca="1">IF(AV57&lt;&gt;0,ROUNDDOWN(SUMPRODUCT(AV$235:AV$244,AV$252:AV$261,Constantes!$W$10:$W$19),0),0)</f>
        <v>5</v>
      </c>
      <c r="AW265" s="104">
        <f ca="1">IF(AW57&lt;&gt;0,ROUNDDOWN(SUMPRODUCT(AW$235:AW$244,AW$252:AW$261,Constantes!$W$10:$W$19),0),0)</f>
        <v>0</v>
      </c>
      <c r="AX265" s="111">
        <f t="shared" ref="AX265:AX274" ca="1" si="41">SUM(AU265:AW265)</f>
        <v>5</v>
      </c>
    </row>
    <row r="266" spans="1:50" ht="21" customHeight="1" thickBot="1" x14ac:dyDescent="0.3">
      <c r="A266" s="15"/>
      <c r="B266" s="56" t="s">
        <v>31</v>
      </c>
      <c r="C266" s="198">
        <f>IF(C58&lt;&gt;0,ROUNDDOWN(SUMPRODUCT(C$235:C$244,C$252:C$261,Constantes!$X$10:$X$19),0),0)</f>
        <v>0</v>
      </c>
      <c r="D266" s="199">
        <f ca="1">IF(D58&lt;&gt;0,ROUNDDOWN(SUMPRODUCT(D$235:D$244,D$252:D$261,Constantes!$X$10:$X$19),0),0)</f>
        <v>2</v>
      </c>
      <c r="E266" s="262">
        <f ca="1">IF(E58&lt;&gt;0,ROUNDDOWN(SUMPRODUCT(E$235:E$244,E$252:E$261,Constantes!$X$10:$X$19),0),0)</f>
        <v>0</v>
      </c>
      <c r="F266" s="260">
        <f t="shared" ca="1" si="37"/>
        <v>2</v>
      </c>
      <c r="L266" s="15"/>
      <c r="M266" s="56" t="s">
        <v>31</v>
      </c>
      <c r="N266" s="104">
        <f>IF(N58&lt;&gt;0,ROUNDDOWN(SUMPRODUCT(N$235:N$244,N$252:N$261,Constantes!$X$10:$X$19),0),0)</f>
        <v>0</v>
      </c>
      <c r="O266" s="104">
        <f ca="1">IF(O58&lt;&gt;0,ROUNDDOWN(SUMPRODUCT(O$235:O$244,O$252:O$261,Constantes!$X$10:$X$19),0),0)</f>
        <v>7</v>
      </c>
      <c r="P266" s="104">
        <f ca="1">IF(P58&lt;&gt;0,ROUNDDOWN(SUMPRODUCT(P$235:P$244,P$252:P$261,Constantes!$X$10:$X$19),0),0)</f>
        <v>2</v>
      </c>
      <c r="Q266" s="111">
        <f t="shared" ca="1" si="38"/>
        <v>9</v>
      </c>
      <c r="R266" s="109"/>
      <c r="S266" s="109"/>
      <c r="T266" s="109"/>
      <c r="U266" s="109"/>
      <c r="W266" s="15"/>
      <c r="X266" s="56" t="s">
        <v>31</v>
      </c>
      <c r="Y266" s="104">
        <f ca="1">IF(Y58&lt;&gt;0,ROUNDDOWN(SUMPRODUCT(Y$235:Y$244,Y$252:Y$261,Constantes!$X$10:$X$19),0),0)</f>
        <v>0</v>
      </c>
      <c r="Z266" s="104">
        <f ca="1">IF(Z58&lt;&gt;0,ROUNDDOWN(SUMPRODUCT(Z$235:Z$244,Z$252:Z$261,Constantes!$X$10:$X$19),0),0)</f>
        <v>5</v>
      </c>
      <c r="AA266" s="104">
        <f ca="1">IF(AA58&lt;&gt;0,ROUNDDOWN(SUMPRODUCT(AA$235:AA$244,AA$252:AA$261,Constantes!$X$10:$X$19),0),0)</f>
        <v>2</v>
      </c>
      <c r="AB266" s="111">
        <f t="shared" ca="1" si="39"/>
        <v>7</v>
      </c>
      <c r="AC266" s="109"/>
      <c r="AD266" s="109"/>
      <c r="AE266" s="109"/>
      <c r="AF266" s="109"/>
      <c r="AH266" s="15"/>
      <c r="AI266" s="56" t="s">
        <v>31</v>
      </c>
      <c r="AJ266" s="104">
        <f ca="1">IF(AJ58&lt;&gt;0,ROUNDDOWN(SUMPRODUCT(AJ$235:AJ$244,AJ$252:AJ$261,Constantes!$X$10:$X$19),0),0)</f>
        <v>0</v>
      </c>
      <c r="AK266" s="104">
        <f ca="1">IF(AK58&lt;&gt;0,ROUNDDOWN(SUMPRODUCT(AK$235:AK$244,AK$252:AK$261,Constantes!$X$10:$X$19),0),0)</f>
        <v>1</v>
      </c>
      <c r="AL266" s="104">
        <f ca="1">IF(AL58&lt;&gt;0,ROUNDDOWN(SUMPRODUCT(AL$235:AL$244,AL$252:AL$261,Constantes!$X$10:$X$19),0),0)</f>
        <v>0</v>
      </c>
      <c r="AM266" s="111">
        <f t="shared" ca="1" si="40"/>
        <v>1</v>
      </c>
      <c r="AN266" s="109"/>
      <c r="AO266" s="109"/>
      <c r="AP266" s="109"/>
      <c r="AQ266" s="109"/>
      <c r="AS266" s="15"/>
      <c r="AT266" s="56" t="s">
        <v>31</v>
      </c>
      <c r="AU266" s="104">
        <f ca="1">IF(AU58&lt;&gt;0,ROUNDDOWN(SUMPRODUCT(AU$235:AU$244,AU$252:AU$261,Constantes!$X$10:$X$19),0),0)</f>
        <v>1</v>
      </c>
      <c r="AV266" s="104">
        <f ca="1">IF(AV58&lt;&gt;0,ROUNDDOWN(SUMPRODUCT(AV$235:AV$244,AV$252:AV$261,Constantes!$X$10:$X$19),0),0)</f>
        <v>4</v>
      </c>
      <c r="AW266" s="104">
        <f ca="1">IF(AW58&lt;&gt;0,ROUNDDOWN(SUMPRODUCT(AW$235:AW$244,AW$252:AW$261,Constantes!$X$10:$X$19),0),0)</f>
        <v>2</v>
      </c>
      <c r="AX266" s="111">
        <f t="shared" ca="1" si="41"/>
        <v>7</v>
      </c>
    </row>
    <row r="267" spans="1:50" ht="21" customHeight="1" x14ac:dyDescent="0.25">
      <c r="A267" s="12" t="s">
        <v>6</v>
      </c>
      <c r="B267" s="54" t="s">
        <v>7</v>
      </c>
      <c r="C267" s="209">
        <f>IF(C59&lt;&gt;0,ROUNDDOWN(SUMPRODUCT(C$235:C$244,C$252:C$261,Constantes!$Y$10:$Y$19),0),0)</f>
        <v>0</v>
      </c>
      <c r="D267" s="210">
        <f ca="1">IF(D59&lt;&gt;0,ROUNDDOWN(SUMPRODUCT(D$235:D$244,D$252:D$261,Constantes!$Y$10:$Y$19),0),0)</f>
        <v>0</v>
      </c>
      <c r="E267" s="261">
        <f ca="1">IF(E59&lt;&gt;0,ROUNDDOWN(SUMPRODUCT(E$235:E$244,E$252:E$261,Constantes!$Y$10:$Y$19),0),0)</f>
        <v>0</v>
      </c>
      <c r="F267" s="260">
        <f t="shared" ca="1" si="37"/>
        <v>0</v>
      </c>
      <c r="L267" s="12" t="s">
        <v>6</v>
      </c>
      <c r="M267" s="54" t="s">
        <v>7</v>
      </c>
      <c r="N267" s="104">
        <f>IF(N59&lt;&gt;0,ROUNDDOWN(SUMPRODUCT(N$235:N$244,N$252:N$261,Constantes!$Y$10:$Y$19),0),0)</f>
        <v>0</v>
      </c>
      <c r="O267" s="104">
        <f ca="1">IF(O59&lt;&gt;0,ROUNDDOWN(SUMPRODUCT(O$235:O$244,O$252:O$261,Constantes!$Y$10:$Y$19),0),0)</f>
        <v>0</v>
      </c>
      <c r="P267" s="104">
        <f ca="1">IF(P59&lt;&gt;0,ROUNDDOWN(SUMPRODUCT(P$235:P$244,P$252:P$261,Constantes!$Y$10:$Y$19),0),0)</f>
        <v>0</v>
      </c>
      <c r="Q267" s="111">
        <f t="shared" ca="1" si="38"/>
        <v>0</v>
      </c>
      <c r="R267" s="109"/>
      <c r="S267" s="109"/>
      <c r="T267" s="109"/>
      <c r="U267" s="109"/>
      <c r="W267" s="12" t="s">
        <v>6</v>
      </c>
      <c r="X267" s="54" t="s">
        <v>7</v>
      </c>
      <c r="Y267" s="104">
        <f>IF(Y59&lt;&gt;0,ROUNDDOWN(SUMPRODUCT(Y$235:Y$244,Y$252:Y$261,Constantes!$Y$10:$Y$19),0),0)</f>
        <v>0</v>
      </c>
      <c r="Z267" s="104">
        <f ca="1">IF(Z59&lt;&gt;0,ROUNDDOWN(SUMPRODUCT(Z$235:Z$244,Z$252:Z$261,Constantes!$Y$10:$Y$19),0),0)</f>
        <v>0</v>
      </c>
      <c r="AA267" s="104">
        <f ca="1">IF(AA59&lt;&gt;0,ROUNDDOWN(SUMPRODUCT(AA$235:AA$244,AA$252:AA$261,Constantes!$Y$10:$Y$19),0),0)</f>
        <v>0</v>
      </c>
      <c r="AB267" s="111">
        <f t="shared" ca="1" si="39"/>
        <v>0</v>
      </c>
      <c r="AC267" s="109"/>
      <c r="AD267" s="109"/>
      <c r="AE267" s="109"/>
      <c r="AF267" s="109"/>
      <c r="AH267" s="12" t="s">
        <v>6</v>
      </c>
      <c r="AI267" s="54" t="s">
        <v>7</v>
      </c>
      <c r="AJ267" s="104">
        <f ca="1">IF(AJ59&lt;&gt;0,ROUNDDOWN(SUMPRODUCT(AJ$235:AJ$244,AJ$252:AJ$261,Constantes!$Y$10:$Y$19),0),0)</f>
        <v>0</v>
      </c>
      <c r="AK267" s="104">
        <f ca="1">IF(AK59&lt;&gt;0,ROUNDDOWN(SUMPRODUCT(AK$235:AK$244,AK$252:AK$261,Constantes!$Y$10:$Y$19),0),0)</f>
        <v>0</v>
      </c>
      <c r="AL267" s="104">
        <f ca="1">IF(AL59&lt;&gt;0,ROUNDDOWN(SUMPRODUCT(AL$235:AL$244,AL$252:AL$261,Constantes!$Y$10:$Y$19),0),0)</f>
        <v>0</v>
      </c>
      <c r="AM267" s="111">
        <f t="shared" ca="1" si="40"/>
        <v>0</v>
      </c>
      <c r="AN267" s="109"/>
      <c r="AO267" s="109"/>
      <c r="AP267" s="109"/>
      <c r="AQ267" s="109"/>
      <c r="AS267" s="12" t="s">
        <v>6</v>
      </c>
      <c r="AT267" s="54" t="s">
        <v>7</v>
      </c>
      <c r="AU267" s="104">
        <f ca="1">IF(AU59&lt;&gt;0,ROUNDDOWN(SUMPRODUCT(AU$235:AU$244,AU$252:AU$261,Constantes!$Y$10:$Y$19),0),0)</f>
        <v>0</v>
      </c>
      <c r="AV267" s="104">
        <f ca="1">IF(AV59&lt;&gt;0,ROUNDDOWN(SUMPRODUCT(AV$235:AV$244,AV$252:AV$261,Constantes!$Y$10:$Y$19),0),0)</f>
        <v>0</v>
      </c>
      <c r="AW267" s="104">
        <f ca="1">IF(AW59&lt;&gt;0,ROUNDDOWN(SUMPRODUCT(AW$235:AW$244,AW$252:AW$261,Constantes!$Y$10:$Y$19),0),0)</f>
        <v>0</v>
      </c>
      <c r="AX267" s="111">
        <f t="shared" ca="1" si="41"/>
        <v>0</v>
      </c>
    </row>
    <row r="268" spans="1:50" ht="21" customHeight="1" x14ac:dyDescent="0.25">
      <c r="A268" s="17"/>
      <c r="B268" s="57" t="s">
        <v>8</v>
      </c>
      <c r="C268" s="197">
        <f ca="1">IF(C60&lt;&gt;0,ROUNDDOWN(SUMPRODUCT(C$235:C$244,Calcul!C$252:C$261,Constantes!$Z$10:$Z$19),0),0)</f>
        <v>0</v>
      </c>
      <c r="D268" s="104">
        <f ca="1">IF(D60&lt;&gt;0,ROUNDDOWN(SUMPRODUCT(D$235:D$244,Calcul!D$252:D$261,Constantes!$Z$10:$Z$19),0),0)</f>
        <v>0</v>
      </c>
      <c r="E268" s="263">
        <f ca="1">IF(E60&lt;&gt;0,ROUNDDOWN(SUMPRODUCT(E$235:E$244,Calcul!E$252:E$261,Constantes!$Z$10:$Z$19),0),0)</f>
        <v>0</v>
      </c>
      <c r="F268" s="260">
        <f t="shared" ca="1" si="37"/>
        <v>0</v>
      </c>
      <c r="L268" s="17"/>
      <c r="M268" s="57" t="s">
        <v>8</v>
      </c>
      <c r="N268" s="104">
        <f ca="1">IF(N60&lt;&gt;0,ROUNDDOWN(SUMPRODUCT(N$235:N$244,Calcul!N$252:N$261,Constantes!$Z$10:$Z$19),0),0)</f>
        <v>0</v>
      </c>
      <c r="O268" s="104">
        <f ca="1">IF(O60&lt;&gt;0,ROUNDDOWN(SUMPRODUCT(O$235:O$244,Calcul!O$252:O$261,Constantes!$Z$10:$Z$19),0),0)</f>
        <v>0</v>
      </c>
      <c r="P268" s="104">
        <f ca="1">IF(P60&lt;&gt;0,ROUNDDOWN(SUMPRODUCT(P$235:P$244,Calcul!P$252:P$261,Constantes!$Z$10:$Z$19),0),0)</f>
        <v>0</v>
      </c>
      <c r="Q268" s="111">
        <f t="shared" ca="1" si="38"/>
        <v>0</v>
      </c>
      <c r="R268" s="109"/>
      <c r="S268" s="109"/>
      <c r="T268" s="109"/>
      <c r="U268" s="109"/>
      <c r="W268" s="17"/>
      <c r="X268" s="57" t="s">
        <v>8</v>
      </c>
      <c r="Y268" s="104">
        <f ca="1">IF(Y60&lt;&gt;0,ROUNDDOWN(SUMPRODUCT(Y$235:Y$244,Calcul!Y$252:Y$261,Constantes!$Z$10:$Z$19),0),0)</f>
        <v>0</v>
      </c>
      <c r="Z268" s="104">
        <f ca="1">IF(Z60&lt;&gt;0,ROUNDDOWN(SUMPRODUCT(Z$235:Z$244,Calcul!Z$252:Z$261,Constantes!$Z$10:$Z$19),0),0)</f>
        <v>0</v>
      </c>
      <c r="AA268" s="104">
        <f ca="1">IF(AA60&lt;&gt;0,ROUNDDOWN(SUMPRODUCT(AA$235:AA$244,Calcul!AA$252:AA$261,Constantes!$Z$10:$Z$19),0),0)</f>
        <v>0</v>
      </c>
      <c r="AB268" s="111">
        <f t="shared" ca="1" si="39"/>
        <v>0</v>
      </c>
      <c r="AC268" s="109"/>
      <c r="AD268" s="109"/>
      <c r="AE268" s="109"/>
      <c r="AF268" s="109"/>
      <c r="AH268" s="17"/>
      <c r="AI268" s="57" t="s">
        <v>8</v>
      </c>
      <c r="AJ268" s="104">
        <f ca="1">IF(AJ60&lt;&gt;0,ROUNDDOWN(SUMPRODUCT(AJ$235:AJ$244,Calcul!AJ$252:AJ$261,Constantes!$Z$10:$Z$19),0),0)</f>
        <v>0</v>
      </c>
      <c r="AK268" s="104">
        <f ca="1">IF(AK60&lt;&gt;0,ROUNDDOWN(SUMPRODUCT(AK$235:AK$244,Calcul!AK$252:AK$261,Constantes!$Z$10:$Z$19),0),0)</f>
        <v>0</v>
      </c>
      <c r="AL268" s="104">
        <f ca="1">IF(AL60&lt;&gt;0,ROUNDDOWN(SUMPRODUCT(AL$235:AL$244,Calcul!AL$252:AL$261,Constantes!$Z$10:$Z$19),0),0)</f>
        <v>0</v>
      </c>
      <c r="AM268" s="111">
        <f t="shared" ca="1" si="40"/>
        <v>0</v>
      </c>
      <c r="AN268" s="109"/>
      <c r="AO268" s="109"/>
      <c r="AP268" s="109"/>
      <c r="AQ268" s="109"/>
      <c r="AS268" s="17"/>
      <c r="AT268" s="57" t="s">
        <v>8</v>
      </c>
      <c r="AU268" s="104">
        <f ca="1">IF(AU60&lt;&gt;0,ROUNDDOWN(SUMPRODUCT(AU$235:AU$244,Calcul!AU$252:AU$261,Constantes!$Z$10:$Z$19),0),0)</f>
        <v>0</v>
      </c>
      <c r="AV268" s="104">
        <f ca="1">IF(AV60&lt;&gt;0,ROUNDDOWN(SUMPRODUCT(AV$235:AV$244,Calcul!AV$252:AV$261,Constantes!$Z$10:$Z$19),0),0)</f>
        <v>0</v>
      </c>
      <c r="AW268" s="104">
        <f ca="1">IF(AW60&lt;&gt;0,ROUNDDOWN(SUMPRODUCT(AW$235:AW$244,Calcul!AW$252:AW$261,Constantes!$Z$10:$Z$19),0),0)</f>
        <v>0</v>
      </c>
      <c r="AX268" s="111">
        <f t="shared" ca="1" si="41"/>
        <v>0</v>
      </c>
    </row>
    <row r="269" spans="1:50" ht="21" customHeight="1" thickBot="1" x14ac:dyDescent="0.3">
      <c r="A269" s="15"/>
      <c r="B269" s="56" t="s">
        <v>157</v>
      </c>
      <c r="C269" s="198">
        <f>IF(C61&lt;&gt;0,ROUNDDOWN(SUMPRODUCT(C$235:C$244,Calcul!C$252:C$261,Constantes!$AA$10:$AA$19),0),0)</f>
        <v>0</v>
      </c>
      <c r="D269" s="199">
        <f ca="1">IF(D61&lt;&gt;0,ROUNDDOWN(SUMPRODUCT(D$235:D$244,Calcul!D$252:D$261,Constantes!$AA$10:$AA$19),0),0)</f>
        <v>0</v>
      </c>
      <c r="E269" s="262">
        <f ca="1">IF(E61&lt;&gt;0,ROUNDDOWN(SUMPRODUCT(E$235:E$244,Calcul!E$252:E$261,Constantes!$AA$10:$AA$19),0),0)</f>
        <v>0</v>
      </c>
      <c r="F269" s="260">
        <f t="shared" ca="1" si="37"/>
        <v>0</v>
      </c>
      <c r="L269" s="15"/>
      <c r="M269" s="56" t="s">
        <v>157</v>
      </c>
      <c r="N269" s="104">
        <f ca="1">IF(N61&lt;&gt;0,ROUNDDOWN(SUMPRODUCT(N$235:N$244,Calcul!N$252:N$261,Constantes!$AA$10:$AA$19),0),0)</f>
        <v>0</v>
      </c>
      <c r="O269" s="104">
        <f ca="1">IF(O61&lt;&gt;0,ROUNDDOWN(SUMPRODUCT(O$235:O$244,Calcul!O$252:O$261,Constantes!$AA$10:$AA$19),0),0)</f>
        <v>1</v>
      </c>
      <c r="P269" s="104">
        <f ca="1">IF(P61&lt;&gt;0,ROUNDDOWN(SUMPRODUCT(P$235:P$244,Calcul!P$252:P$261,Constantes!$AA$10:$AA$19),0),0)</f>
        <v>0</v>
      </c>
      <c r="Q269" s="111">
        <f t="shared" ca="1" si="38"/>
        <v>1</v>
      </c>
      <c r="R269" s="109"/>
      <c r="S269" s="109"/>
      <c r="T269" s="109"/>
      <c r="U269" s="109"/>
      <c r="W269" s="15"/>
      <c r="X269" s="56" t="s">
        <v>157</v>
      </c>
      <c r="Y269" s="104">
        <f ca="1">IF(Y61&lt;&gt;0,ROUNDDOWN(SUMPRODUCT(Y$235:Y$244,Calcul!Y$252:Y$261,Constantes!$AA$10:$AA$19),0),0)</f>
        <v>0</v>
      </c>
      <c r="Z269" s="104">
        <f ca="1">IF(Z61&lt;&gt;0,ROUNDDOWN(SUMPRODUCT(Z$235:Z$244,Calcul!Z$252:Z$261,Constantes!$AA$10:$AA$19),0),0)</f>
        <v>1</v>
      </c>
      <c r="AA269" s="104">
        <f ca="1">IF(AA61&lt;&gt;0,ROUNDDOWN(SUMPRODUCT(AA$235:AA$244,Calcul!AA$252:AA$261,Constantes!$AA$10:$AA$19),0),0)</f>
        <v>0</v>
      </c>
      <c r="AB269" s="111">
        <f t="shared" ca="1" si="39"/>
        <v>1</v>
      </c>
      <c r="AC269" s="109"/>
      <c r="AD269" s="109"/>
      <c r="AE269" s="109"/>
      <c r="AF269" s="109"/>
      <c r="AH269" s="15"/>
      <c r="AI269" s="56" t="s">
        <v>157</v>
      </c>
      <c r="AJ269" s="104">
        <f ca="1">IF(AJ61&lt;&gt;0,ROUNDDOWN(SUMPRODUCT(AJ$235:AJ$244,Calcul!AJ$252:AJ$261,Constantes!$AA$10:$AA$19),0),0)</f>
        <v>0</v>
      </c>
      <c r="AK269" s="104">
        <f ca="1">IF(AK61&lt;&gt;0,ROUNDDOWN(SUMPRODUCT(AK$235:AK$244,Calcul!AK$252:AK$261,Constantes!$AA$10:$AA$19),0),0)</f>
        <v>0</v>
      </c>
      <c r="AL269" s="104">
        <f ca="1">IF(AL61&lt;&gt;0,ROUNDDOWN(SUMPRODUCT(AL$235:AL$244,Calcul!AL$252:AL$261,Constantes!$AA$10:$AA$19),0),0)</f>
        <v>0</v>
      </c>
      <c r="AM269" s="111">
        <f t="shared" ca="1" si="40"/>
        <v>0</v>
      </c>
      <c r="AN269" s="109"/>
      <c r="AO269" s="109"/>
      <c r="AP269" s="109"/>
      <c r="AQ269" s="109"/>
      <c r="AS269" s="15"/>
      <c r="AT269" s="56" t="s">
        <v>157</v>
      </c>
      <c r="AU269" s="104">
        <f ca="1">IF(AU61&lt;&gt;0,ROUNDDOWN(SUMPRODUCT(AU$235:AU$244,Calcul!AU$252:AU$261,Constantes!$AA$10:$AA$19),0),0)</f>
        <v>0</v>
      </c>
      <c r="AV269" s="104">
        <f ca="1">IF(AV61&lt;&gt;0,ROUNDDOWN(SUMPRODUCT(AV$235:AV$244,Calcul!AV$252:AV$261,Constantes!$AA$10:$AA$19),0),0)</f>
        <v>0</v>
      </c>
      <c r="AW269" s="104">
        <f ca="1">IF(AW61&lt;&gt;0,ROUNDDOWN(SUMPRODUCT(AW$235:AW$244,Calcul!AW$252:AW$261,Constantes!$AA$10:$AA$19),0),0)</f>
        <v>0</v>
      </c>
      <c r="AX269" s="111">
        <f t="shared" ca="1" si="41"/>
        <v>0</v>
      </c>
    </row>
    <row r="270" spans="1:50" ht="21" customHeight="1" x14ac:dyDescent="0.25">
      <c r="A270" s="12" t="s">
        <v>9</v>
      </c>
      <c r="B270" s="54" t="s">
        <v>32</v>
      </c>
      <c r="C270" s="209">
        <f>IF(C62&lt;&gt;0,ROUNDDOWN(SUMPRODUCT(C$235:C$244,Calcul!C$252:C$261,Constantes!$AB$10:$AB$19),0),0)</f>
        <v>0</v>
      </c>
      <c r="D270" s="210">
        <f ca="1">IF(D62&lt;&gt;0,ROUNDDOWN(SUMPRODUCT(D$235:D$244,Calcul!D$252:D$261,Constantes!$AB$10:$AB$19),0),0)</f>
        <v>2</v>
      </c>
      <c r="E270" s="261">
        <f>IF(E62&lt;&gt;0,ROUNDDOWN(SUMPRODUCT(E$235:E$244,Calcul!E$252:E$261,Constantes!$AB$10:$AB$19),0),0)</f>
        <v>0</v>
      </c>
      <c r="F270" s="260">
        <f t="shared" ca="1" si="37"/>
        <v>2</v>
      </c>
      <c r="L270" s="12" t="s">
        <v>9</v>
      </c>
      <c r="M270" s="54" t="s">
        <v>32</v>
      </c>
      <c r="N270" s="104">
        <f>IF(N62&lt;&gt;0,ROUNDDOWN(SUMPRODUCT(N$235:N$244,Calcul!N$252:N$261,Constantes!$AB$10:$AB$19),0),0)</f>
        <v>0</v>
      </c>
      <c r="O270" s="104">
        <f ca="1">IF(O62&lt;&gt;0,ROUNDDOWN(SUMPRODUCT(O$235:O$244,Calcul!O$252:O$261,Constantes!$AB$10:$AB$19),0),0)</f>
        <v>9</v>
      </c>
      <c r="P270" s="104">
        <f>IF(P62&lt;&gt;0,ROUNDDOWN(SUMPRODUCT(P$235:P$244,Calcul!P$252:P$261,Constantes!$AB$10:$AB$19),0),0)</f>
        <v>0</v>
      </c>
      <c r="Q270" s="111">
        <f t="shared" ca="1" si="38"/>
        <v>9</v>
      </c>
      <c r="R270" s="109"/>
      <c r="S270" s="109"/>
      <c r="T270" s="109"/>
      <c r="U270" s="109"/>
      <c r="W270" s="12" t="s">
        <v>9</v>
      </c>
      <c r="X270" s="54" t="s">
        <v>32</v>
      </c>
      <c r="Y270" s="104">
        <f>IF(Y62&lt;&gt;0,ROUNDDOWN(SUMPRODUCT(Y$235:Y$244,Calcul!Y$252:Y$261,Constantes!$AB$10:$AB$19),0),0)</f>
        <v>0</v>
      </c>
      <c r="Z270" s="104">
        <f ca="1">IF(Z62&lt;&gt;0,ROUNDDOWN(SUMPRODUCT(Z$235:Z$244,Calcul!Z$252:Z$261,Constantes!$AB$10:$AB$19),0),0)</f>
        <v>8</v>
      </c>
      <c r="AA270" s="104">
        <f ca="1">IF(AA62&lt;&gt;0,ROUNDDOWN(SUMPRODUCT(AA$235:AA$244,Calcul!AA$252:AA$261,Constantes!$AB$10:$AB$19),0),0)</f>
        <v>3</v>
      </c>
      <c r="AB270" s="111">
        <f t="shared" ca="1" si="39"/>
        <v>11</v>
      </c>
      <c r="AC270" s="109"/>
      <c r="AD270" s="109"/>
      <c r="AE270" s="109"/>
      <c r="AF270" s="109"/>
      <c r="AH270" s="12" t="s">
        <v>9</v>
      </c>
      <c r="AI270" s="54" t="s">
        <v>32</v>
      </c>
      <c r="AJ270" s="104">
        <f ca="1">IF(AJ62&lt;&gt;0,ROUNDDOWN(SUMPRODUCT(AJ$235:AJ$244,Calcul!AJ$252:AJ$261,Constantes!$AB$10:$AB$19),0),0)</f>
        <v>0</v>
      </c>
      <c r="AK270" s="104">
        <f ca="1">IF(AK62&lt;&gt;0,ROUNDDOWN(SUMPRODUCT(AK$235:AK$244,Calcul!AK$252:AK$261,Constantes!$AB$10:$AB$19),0),0)</f>
        <v>5</v>
      </c>
      <c r="AL270" s="104">
        <f ca="1">IF(AL62&lt;&gt;0,ROUNDDOWN(SUMPRODUCT(AL$235:AL$244,Calcul!AL$252:AL$261,Constantes!$AB$10:$AB$19),0),0)</f>
        <v>2</v>
      </c>
      <c r="AM270" s="111">
        <f t="shared" ca="1" si="40"/>
        <v>7</v>
      </c>
      <c r="AN270" s="109"/>
      <c r="AO270" s="109"/>
      <c r="AP270" s="109"/>
      <c r="AQ270" s="109"/>
      <c r="AS270" s="12" t="s">
        <v>9</v>
      </c>
      <c r="AT270" s="54" t="s">
        <v>32</v>
      </c>
      <c r="AU270" s="104">
        <f ca="1">IF(AU62&lt;&gt;0,ROUNDDOWN(SUMPRODUCT(AU$235:AU$244,Calcul!AU$252:AU$261,Constantes!$AB$10:$AB$19),0),0)</f>
        <v>0</v>
      </c>
      <c r="AV270" s="104">
        <f ca="1">IF(AV62&lt;&gt;0,ROUNDDOWN(SUMPRODUCT(AV$235:AV$244,Calcul!AV$252:AV$261,Constantes!$AB$10:$AB$19),0),0)</f>
        <v>7</v>
      </c>
      <c r="AW270" s="104">
        <f ca="1">IF(AW62&lt;&gt;0,ROUNDDOWN(SUMPRODUCT(AW$235:AW$244,Calcul!AW$252:AW$261,Constantes!$AB$10:$AB$19),0),0)</f>
        <v>6</v>
      </c>
      <c r="AX270" s="111">
        <f t="shared" ca="1" si="41"/>
        <v>13</v>
      </c>
    </row>
    <row r="271" spans="1:50" ht="21" customHeight="1" thickBot="1" x14ac:dyDescent="0.3">
      <c r="A271" s="15"/>
      <c r="B271" s="56" t="s">
        <v>10</v>
      </c>
      <c r="C271" s="198">
        <f>IF(C63&lt;&gt;0,ROUNDDOWN(SUMPRODUCT(C$235:C$244,Calcul!C$252:C$261,Constantes!$AC$10:$AC$19),0),0)</f>
        <v>0</v>
      </c>
      <c r="D271" s="199">
        <f ca="1">IF(D63&lt;&gt;0,ROUNDDOWN(SUMPRODUCT(D$235:D$244,Calcul!D$252:D$261,Constantes!$AC$10:$AC$19),0),0)</f>
        <v>1</v>
      </c>
      <c r="E271" s="262">
        <f ca="1">IF(E63&lt;&gt;0,ROUNDDOWN(SUMPRODUCT(E$235:E$244,Calcul!E$252:E$261,Constantes!$AC$10:$AC$19),0),0)</f>
        <v>1</v>
      </c>
      <c r="F271" s="260">
        <f ca="1">SUM(C271:E271)</f>
        <v>2</v>
      </c>
      <c r="L271" s="15"/>
      <c r="M271" s="56" t="s">
        <v>10</v>
      </c>
      <c r="N271" s="104">
        <f>IF(N63&lt;&gt;0,ROUNDDOWN(SUMPRODUCT(N$235:N$244,Calcul!N$252:N$261,Constantes!$AC$10:$AC$19),0),0)</f>
        <v>0</v>
      </c>
      <c r="O271" s="104">
        <f ca="1">IF(O63&lt;&gt;0,ROUNDDOWN(SUMPRODUCT(O$235:O$244,Calcul!O$252:O$261,Constantes!$AC$10:$AC$19),0),0)</f>
        <v>6</v>
      </c>
      <c r="P271" s="104">
        <f ca="1">IF(P63&lt;&gt;0,ROUNDDOWN(SUMPRODUCT(P$235:P$244,Calcul!P$252:P$261,Constantes!$AC$10:$AC$19),0),0)</f>
        <v>2</v>
      </c>
      <c r="Q271" s="111">
        <f t="shared" ca="1" si="38"/>
        <v>8</v>
      </c>
      <c r="R271" s="109"/>
      <c r="S271" s="109"/>
      <c r="T271" s="109"/>
      <c r="U271" s="109"/>
      <c r="W271" s="15"/>
      <c r="X271" s="56" t="s">
        <v>10</v>
      </c>
      <c r="Y271" s="104">
        <f>IF(Y63&lt;&gt;0,ROUNDDOWN(SUMPRODUCT(Y$235:Y$244,Calcul!Y$252:Y$261,Constantes!$AC$10:$AC$19),0),0)</f>
        <v>0</v>
      </c>
      <c r="Z271" s="104">
        <f ca="1">IF(Z63&lt;&gt;0,ROUNDDOWN(SUMPRODUCT(Z$235:Z$244,Calcul!Z$252:Z$261,Constantes!$AC$10:$AC$19),0),0)</f>
        <v>3</v>
      </c>
      <c r="AA271" s="104">
        <f ca="1">IF(AA63&lt;&gt;0,ROUNDDOWN(SUMPRODUCT(AA$235:AA$244,Calcul!AA$252:AA$261,Constantes!$AC$10:$AC$19),0),0)</f>
        <v>2</v>
      </c>
      <c r="AB271" s="111">
        <f t="shared" ca="1" si="39"/>
        <v>5</v>
      </c>
      <c r="AC271" s="109"/>
      <c r="AD271" s="109"/>
      <c r="AE271" s="109"/>
      <c r="AF271" s="109"/>
      <c r="AH271" s="15"/>
      <c r="AI271" s="56" t="s">
        <v>10</v>
      </c>
      <c r="AJ271" s="104">
        <f>IF(AJ63&lt;&gt;0,ROUNDDOWN(SUMPRODUCT(AJ$235:AJ$244,Calcul!AJ$252:AJ$261,Constantes!$AC$10:$AC$19),0),0)</f>
        <v>0</v>
      </c>
      <c r="AK271" s="104">
        <f ca="1">IF(AK63&lt;&gt;0,ROUNDDOWN(SUMPRODUCT(AK$235:AK$244,Calcul!AK$252:AK$261,Constantes!$AC$10:$AC$19),0),0)</f>
        <v>1</v>
      </c>
      <c r="AL271" s="104">
        <f ca="1">IF(AL63&lt;&gt;0,ROUNDDOWN(SUMPRODUCT(AL$235:AL$244,Calcul!AL$252:AL$261,Constantes!$AC$10:$AC$19),0),0)</f>
        <v>1</v>
      </c>
      <c r="AM271" s="111">
        <f t="shared" ca="1" si="40"/>
        <v>2</v>
      </c>
      <c r="AN271" s="109"/>
      <c r="AO271" s="109"/>
      <c r="AP271" s="109"/>
      <c r="AQ271" s="109"/>
      <c r="AS271" s="15"/>
      <c r="AT271" s="56" t="s">
        <v>10</v>
      </c>
      <c r="AU271" s="104">
        <f ca="1">IF(AU63&lt;&gt;0,ROUNDDOWN(SUMPRODUCT(AU$235:AU$244,Calcul!AU$252:AU$261,Constantes!$AC$10:$AC$19),0),0)</f>
        <v>1</v>
      </c>
      <c r="AV271" s="104">
        <f ca="1">IF(AV63&lt;&gt;0,ROUNDDOWN(SUMPRODUCT(AV$235:AV$244,Calcul!AV$252:AV$261,Constantes!$AC$10:$AC$19),0),0)</f>
        <v>2</v>
      </c>
      <c r="AW271" s="104">
        <f ca="1">IF(AW63&lt;&gt;0,ROUNDDOWN(SUMPRODUCT(AW$235:AW$244,Calcul!AW$252:AW$261,Constantes!$AC$10:$AC$19),0),0)</f>
        <v>3</v>
      </c>
      <c r="AX271" s="111">
        <f t="shared" ca="1" si="41"/>
        <v>6</v>
      </c>
    </row>
    <row r="272" spans="1:50" ht="21" customHeight="1" x14ac:dyDescent="0.25">
      <c r="A272" s="12" t="s">
        <v>11</v>
      </c>
      <c r="B272" s="54" t="s">
        <v>33</v>
      </c>
      <c r="C272" s="209">
        <f ca="1">IF(C64&lt;&gt;0,ROUNDDOWN(SUMPRODUCT(C$235:C$244,Calcul!C$252:C$261,Constantes!$AD$10:$AD$19),0),0)</f>
        <v>0</v>
      </c>
      <c r="D272" s="210">
        <f ca="1">IF(D64&lt;&gt;0,ROUNDDOWN(SUMPRODUCT(D$235:D$244,Calcul!D$252:D$261,Constantes!$AD$10:$AD$19),0),0)</f>
        <v>5</v>
      </c>
      <c r="E272" s="261">
        <f ca="1">IF(E64&lt;&gt;0,ROUNDDOWN(SUMPRODUCT(E$235:E$244,Calcul!E$252:E$261,Constantes!$AD$10:$AD$19),0),0)</f>
        <v>1</v>
      </c>
      <c r="F272" s="260">
        <f ca="1">SUM(C272:E272)</f>
        <v>6</v>
      </c>
      <c r="L272" s="12" t="s">
        <v>11</v>
      </c>
      <c r="M272" s="54" t="s">
        <v>33</v>
      </c>
      <c r="N272" s="104">
        <f ca="1">IF(N64&lt;&gt;0,ROUNDDOWN(SUMPRODUCT(N$235:N$244,Calcul!N$252:N$261,Constantes!$AD$10:$AD$19),0),0)</f>
        <v>0</v>
      </c>
      <c r="O272" s="104">
        <f ca="1">IF(O64&lt;&gt;0,ROUNDDOWN(SUMPRODUCT(O$235:O$244,Calcul!O$252:O$261,Constantes!$AD$10:$AD$19),0),0)</f>
        <v>6</v>
      </c>
      <c r="P272" s="104">
        <f ca="1">IF(P64&lt;&gt;0,ROUNDDOWN(SUMPRODUCT(P$235:P$244,Calcul!P$252:P$261,Constantes!$AD$10:$AD$19),0),0)</f>
        <v>0</v>
      </c>
      <c r="Q272" s="111">
        <f t="shared" ca="1" si="38"/>
        <v>6</v>
      </c>
      <c r="R272" s="109"/>
      <c r="S272" s="109"/>
      <c r="T272" s="109"/>
      <c r="U272" s="109"/>
      <c r="W272" s="12" t="s">
        <v>11</v>
      </c>
      <c r="X272" s="54" t="s">
        <v>33</v>
      </c>
      <c r="Y272" s="104">
        <f ca="1">IF(Y64&lt;&gt;0,ROUNDDOWN(SUMPRODUCT(Y$235:Y$244,Calcul!Y$252:Y$261,Constantes!$AD$10:$AD$19),0),0)</f>
        <v>0</v>
      </c>
      <c r="Z272" s="104">
        <f ca="1">IF(Z64&lt;&gt;0,ROUNDDOWN(SUMPRODUCT(Z$235:Z$244,Calcul!Z$252:Z$261,Constantes!$AD$10:$AD$19),0),0)</f>
        <v>5</v>
      </c>
      <c r="AA272" s="104">
        <f ca="1">IF(AA64&lt;&gt;0,ROUNDDOWN(SUMPRODUCT(AA$235:AA$244,Calcul!AA$252:AA$261,Constantes!$AD$10:$AD$19),0),0)</f>
        <v>1</v>
      </c>
      <c r="AB272" s="111">
        <f t="shared" ca="1" si="39"/>
        <v>6</v>
      </c>
      <c r="AC272" s="109"/>
      <c r="AD272" s="109"/>
      <c r="AE272" s="109"/>
      <c r="AF272" s="109"/>
      <c r="AH272" s="12" t="s">
        <v>11</v>
      </c>
      <c r="AI272" s="54" t="s">
        <v>33</v>
      </c>
      <c r="AJ272" s="104">
        <f ca="1">IF(AJ64&lt;&gt;0,ROUNDDOWN(SUMPRODUCT(AJ$235:AJ$244,Calcul!AJ$252:AJ$261,Constantes!$AD$10:$AD$19),0),0)</f>
        <v>0</v>
      </c>
      <c r="AK272" s="104">
        <f ca="1">IF(AK64&lt;&gt;0,ROUNDDOWN(SUMPRODUCT(AK$235:AK$244,Calcul!AK$252:AK$261,Constantes!$AD$10:$AD$19),0),0)</f>
        <v>3</v>
      </c>
      <c r="AL272" s="104">
        <f ca="1">IF(AL64&lt;&gt;0,ROUNDDOWN(SUMPRODUCT(AL$235:AL$244,Calcul!AL$252:AL$261,Constantes!$AD$10:$AD$19),0),0)</f>
        <v>1</v>
      </c>
      <c r="AM272" s="111">
        <f t="shared" ca="1" si="40"/>
        <v>4</v>
      </c>
      <c r="AN272" s="109"/>
      <c r="AO272" s="109"/>
      <c r="AP272" s="109"/>
      <c r="AQ272" s="109"/>
      <c r="AS272" s="12" t="s">
        <v>11</v>
      </c>
      <c r="AT272" s="54" t="s">
        <v>33</v>
      </c>
      <c r="AU272" s="104">
        <f ca="1">IF(AU64&lt;&gt;0,ROUNDDOWN(SUMPRODUCT(AU$235:AU$244,Calcul!AU$252:AU$261,Constantes!$AD$10:$AD$19),0),0)</f>
        <v>0</v>
      </c>
      <c r="AV272" s="104">
        <f ca="1">IF(AV64&lt;&gt;0,ROUNDDOWN(SUMPRODUCT(AV$235:AV$244,Calcul!AV$252:AV$261,Constantes!$AD$10:$AD$19),0),0)</f>
        <v>7</v>
      </c>
      <c r="AW272" s="104">
        <f ca="1">IF(AW64&lt;&gt;0,ROUNDDOWN(SUMPRODUCT(AW$235:AW$244,Calcul!AW$252:AW$261,Constantes!$AD$10:$AD$19),0),0)</f>
        <v>4</v>
      </c>
      <c r="AX272" s="111">
        <f t="shared" ca="1" si="41"/>
        <v>11</v>
      </c>
    </row>
    <row r="273" spans="1:50" ht="21" customHeight="1" x14ac:dyDescent="0.25">
      <c r="A273" s="17"/>
      <c r="B273" s="57" t="s">
        <v>34</v>
      </c>
      <c r="C273" s="197">
        <f ca="1">IF(C65&lt;&gt;0,ROUNDDOWN(SUMPRODUCT(C$235:C$244,Calcul!C$252:C$261,Constantes!$AE$10:$AE$19),0),0)</f>
        <v>0</v>
      </c>
      <c r="D273" s="104">
        <f ca="1">IF(D65&lt;&gt;0,ROUNDDOWN(SUMPRODUCT(D$235:D$244,Calcul!D$252:D$261,Constantes!$AE$10:$AE$19),0),0)</f>
        <v>0</v>
      </c>
      <c r="E273" s="263">
        <f ca="1">IF(E65&lt;&gt;0,ROUNDDOWN(SUMPRODUCT(E$235:E$244,Calcul!E$252:E$261,Constantes!$AE$10:$AE$19),0),0)</f>
        <v>3</v>
      </c>
      <c r="F273" s="260">
        <f ca="1">SUM(C273:E273)</f>
        <v>3</v>
      </c>
      <c r="L273" s="17"/>
      <c r="M273" s="57" t="s">
        <v>34</v>
      </c>
      <c r="N273" s="104">
        <f ca="1">IF(N65&lt;&gt;0,ROUNDDOWN(SUMPRODUCT(N$235:N$244,Calcul!N$252:N$261,Constantes!$AE$10:$AE$19),0),0)</f>
        <v>0</v>
      </c>
      <c r="O273" s="104">
        <f ca="1">IF(O65&lt;&gt;0,ROUNDDOWN(SUMPRODUCT(O$235:O$244,Calcul!O$252:O$261,Constantes!$AE$10:$AE$19),0),0)</f>
        <v>10</v>
      </c>
      <c r="P273" s="104">
        <f ca="1">IF(P65&lt;&gt;0,ROUNDDOWN(SUMPRODUCT(P$235:P$244,Calcul!P$252:P$261,Constantes!$AE$10:$AE$19),0),0)</f>
        <v>5</v>
      </c>
      <c r="Q273" s="111">
        <f t="shared" ca="1" si="38"/>
        <v>15</v>
      </c>
      <c r="R273" s="109"/>
      <c r="S273" s="109"/>
      <c r="T273" s="109"/>
      <c r="U273" s="109"/>
      <c r="W273" s="17"/>
      <c r="X273" s="57" t="s">
        <v>34</v>
      </c>
      <c r="Y273" s="104">
        <f ca="1">IF(Y65&lt;&gt;0,ROUNDDOWN(SUMPRODUCT(Y$235:Y$244,Calcul!Y$252:Y$261,Constantes!$AE$10:$AE$19),0),0)</f>
        <v>0</v>
      </c>
      <c r="Z273" s="104">
        <f ca="1">IF(Z65&lt;&gt;0,ROUNDDOWN(SUMPRODUCT(Z$235:Z$244,Calcul!Z$252:Z$261,Constantes!$AE$10:$AE$19),0),0)</f>
        <v>7</v>
      </c>
      <c r="AA273" s="104">
        <f ca="1">IF(AA65&lt;&gt;0,ROUNDDOWN(SUMPRODUCT(AA$235:AA$244,Calcul!AA$252:AA$261,Constantes!$AE$10:$AE$19),0),0)</f>
        <v>4</v>
      </c>
      <c r="AB273" s="111">
        <f t="shared" ca="1" si="39"/>
        <v>11</v>
      </c>
      <c r="AC273" s="109"/>
      <c r="AD273" s="109"/>
      <c r="AE273" s="109"/>
      <c r="AF273" s="109"/>
      <c r="AH273" s="17"/>
      <c r="AI273" s="57" t="s">
        <v>34</v>
      </c>
      <c r="AJ273" s="104">
        <f ca="1">IF(AJ65&lt;&gt;0,ROUNDDOWN(SUMPRODUCT(AJ$235:AJ$244,Calcul!AJ$252:AJ$261,Constantes!$AE$10:$AE$19),0),0)</f>
        <v>0</v>
      </c>
      <c r="AK273" s="104">
        <f ca="1">IF(AK65&lt;&gt;0,ROUNDDOWN(SUMPRODUCT(AK$235:AK$244,Calcul!AK$252:AK$261,Constantes!$AE$10:$AE$19),0),0)</f>
        <v>5</v>
      </c>
      <c r="AL273" s="104">
        <f ca="1">IF(AL65&lt;&gt;0,ROUNDDOWN(SUMPRODUCT(AL$235:AL$244,Calcul!AL$252:AL$261,Constantes!$AE$10:$AE$19),0),0)</f>
        <v>2</v>
      </c>
      <c r="AM273" s="111">
        <f t="shared" ca="1" si="40"/>
        <v>7</v>
      </c>
      <c r="AN273" s="109"/>
      <c r="AO273" s="109"/>
      <c r="AP273" s="109"/>
      <c r="AQ273" s="109"/>
      <c r="AS273" s="17"/>
      <c r="AT273" s="57" t="s">
        <v>34</v>
      </c>
      <c r="AU273" s="104">
        <f ca="1">IF(AU65&lt;&gt;0,ROUNDDOWN(SUMPRODUCT(AU$235:AU$244,Calcul!AU$252:AU$261,Constantes!$AE$10:$AE$19),0),0)</f>
        <v>0</v>
      </c>
      <c r="AV273" s="104">
        <f ca="1">IF(AV65&lt;&gt;0,ROUNDDOWN(SUMPRODUCT(AV$235:AV$244,Calcul!AV$252:AV$261,Constantes!$AE$10:$AE$19),0),0)</f>
        <v>7</v>
      </c>
      <c r="AW273" s="104">
        <f ca="1">IF(AW65&lt;&gt;0,ROUNDDOWN(SUMPRODUCT(AW$235:AW$244,Calcul!AW$252:AW$261,Constantes!$AE$10:$AE$19),0),0)</f>
        <v>9</v>
      </c>
      <c r="AX273" s="111">
        <f t="shared" ca="1" si="41"/>
        <v>16</v>
      </c>
    </row>
    <row r="274" spans="1:50" ht="21" customHeight="1" thickBot="1" x14ac:dyDescent="0.3">
      <c r="A274" s="15"/>
      <c r="B274" s="56" t="s">
        <v>12</v>
      </c>
      <c r="C274" s="198">
        <f>IF(C66&lt;&gt;0,ROUNDDOWN(SUMPRODUCT(C$235:C$244,Calcul!C$252:C$261,Constantes!$AF$10:$AF$19),0),0)</f>
        <v>0</v>
      </c>
      <c r="D274" s="199">
        <f>IF(D66&lt;&gt;0,ROUNDDOWN(SUMPRODUCT(D$235:D$244,Calcul!D$252:D$261,Constantes!$AF$10:$AF$19),0),0)</f>
        <v>0</v>
      </c>
      <c r="E274" s="262">
        <f>IF(E66&lt;&gt;0,ROUNDDOWN(SUMPRODUCT(E$235:E$244,Calcul!E$252:E$261,Constantes!$AF$10:$AF$19),0),0)</f>
        <v>0</v>
      </c>
      <c r="F274" s="260">
        <f>SUM(C274:E274)</f>
        <v>0</v>
      </c>
      <c r="L274" s="15"/>
      <c r="M274" s="56" t="s">
        <v>12</v>
      </c>
      <c r="N274" s="104">
        <f>IF(N66&lt;&gt;0,ROUNDDOWN(SUMPRODUCT(N$235:N$244,Calcul!N$252:N$261,Constantes!$AF$10:$AF$19),0),0)</f>
        <v>0</v>
      </c>
      <c r="O274" s="104">
        <f>IF(O66&lt;&gt;0,ROUNDDOWN(SUMPRODUCT(O$235:O$244,Calcul!O$252:O$261,Constantes!$AF$10:$AF$19),0),0)</f>
        <v>0</v>
      </c>
      <c r="P274" s="104">
        <f>IF(P66&lt;&gt;0,ROUNDDOWN(SUMPRODUCT(P$235:P$244,Calcul!P$252:P$261,Constantes!$AF$10:$AF$19),0),0)</f>
        <v>0</v>
      </c>
      <c r="Q274" s="111">
        <f t="shared" si="38"/>
        <v>0</v>
      </c>
      <c r="R274" s="109"/>
      <c r="S274" s="109"/>
      <c r="T274" s="109"/>
      <c r="U274" s="109"/>
      <c r="W274" s="15"/>
      <c r="X274" s="56" t="s">
        <v>12</v>
      </c>
      <c r="Y274" s="104">
        <f ca="1">IF(Y66&lt;&gt;0,ROUNDDOWN(SUMPRODUCT(Y$235:Y$244,Calcul!Y$252:Y$261,Constantes!$AF$10:$AF$19),0),0)</f>
        <v>0</v>
      </c>
      <c r="Z274" s="104">
        <f>IF(Z66&lt;&gt;0,ROUNDDOWN(SUMPRODUCT(Z$235:Z$244,Calcul!Z$252:Z$261,Constantes!$AF$10:$AF$19),0),0)</f>
        <v>0</v>
      </c>
      <c r="AA274" s="104">
        <f ca="1">IF(AA66&lt;&gt;0,ROUNDDOWN(SUMPRODUCT(AA$235:AA$244,Calcul!AA$252:AA$261,Constantes!$AF$10:$AF$19),0),0)</f>
        <v>0</v>
      </c>
      <c r="AB274" s="111">
        <f t="shared" ca="1" si="39"/>
        <v>0</v>
      </c>
      <c r="AC274" s="109"/>
      <c r="AD274" s="109"/>
      <c r="AE274" s="109"/>
      <c r="AF274" s="109"/>
      <c r="AH274" s="15"/>
      <c r="AI274" s="56" t="s">
        <v>12</v>
      </c>
      <c r="AJ274" s="104">
        <f ca="1">IF(AJ66&lt;&gt;0,ROUNDDOWN(SUMPRODUCT(AJ$235:AJ$244,Calcul!AJ$252:AJ$261,Constantes!$AF$10:$AF$19),0),0)</f>
        <v>0</v>
      </c>
      <c r="AK274" s="104">
        <f ca="1">IF(AK66&lt;&gt;0,ROUNDDOWN(SUMPRODUCT(AK$235:AK$244,Calcul!AK$252:AK$261,Constantes!$AF$10:$AF$19),0),0)</f>
        <v>3</v>
      </c>
      <c r="AL274" s="104">
        <f ca="1">IF(AL66&lt;&gt;0,ROUNDDOWN(SUMPRODUCT(AL$235:AL$244,Calcul!AL$252:AL$261,Constantes!$AF$10:$AF$19),0),0)</f>
        <v>0</v>
      </c>
      <c r="AM274" s="111">
        <f t="shared" ca="1" si="40"/>
        <v>3</v>
      </c>
      <c r="AN274" s="109"/>
      <c r="AO274" s="109"/>
      <c r="AP274" s="109"/>
      <c r="AQ274" s="109"/>
      <c r="AS274" s="15"/>
      <c r="AT274" s="56" t="s">
        <v>12</v>
      </c>
      <c r="AU274" s="104">
        <f ca="1">IF(AU66&lt;&gt;0,ROUNDDOWN(SUMPRODUCT(AU$235:AU$244,Calcul!AU$252:AU$261,Constantes!$AF$10:$AF$19),0),0)</f>
        <v>0</v>
      </c>
      <c r="AV274" s="104">
        <f ca="1">IF(AV66&lt;&gt;0,ROUNDDOWN(SUMPRODUCT(AV$235:AV$244,Calcul!AV$252:AV$261,Constantes!$AF$10:$AF$19),0),0)</f>
        <v>5</v>
      </c>
      <c r="AW274" s="104">
        <f ca="1">IF(AW66&lt;&gt;0,ROUNDDOWN(SUMPRODUCT(AW$235:AW$244,Calcul!AW$252:AW$261,Constantes!$AF$10:$AF$19),0),0)</f>
        <v>0</v>
      </c>
      <c r="AX274" s="111">
        <f t="shared" ca="1" si="41"/>
        <v>5</v>
      </c>
    </row>
    <row r="275" spans="1:50" ht="21" customHeight="1" x14ac:dyDescent="0.25"/>
    <row r="276" spans="1:50" ht="21" customHeight="1" x14ac:dyDescent="0.25">
      <c r="A276" s="749"/>
      <c r="B276" s="36" t="s">
        <v>249</v>
      </c>
      <c r="M276" s="36" t="s">
        <v>249</v>
      </c>
      <c r="X276" s="36" t="s">
        <v>249</v>
      </c>
      <c r="AI276" s="36" t="s">
        <v>249</v>
      </c>
      <c r="AT276" s="36" t="s">
        <v>249</v>
      </c>
    </row>
    <row r="277" spans="1:50" ht="21" customHeight="1" thickBot="1" x14ac:dyDescent="0.3">
      <c r="C277" s="75" t="str">
        <f>C264</f>
        <v>junior</v>
      </c>
      <c r="D277" s="75" t="str">
        <f>D264</f>
        <v>senior</v>
      </c>
      <c r="E277" s="75" t="str">
        <f>E264</f>
        <v>premium</v>
      </c>
      <c r="N277" s="221" t="str">
        <f>N264</f>
        <v>junior</v>
      </c>
      <c r="O277" s="221" t="str">
        <f>O264</f>
        <v>senior</v>
      </c>
      <c r="P277" s="221" t="str">
        <f>P264</f>
        <v>premium</v>
      </c>
      <c r="Y277" s="286" t="str">
        <f>Y264</f>
        <v>junior</v>
      </c>
      <c r="Z277" s="286" t="str">
        <f>Z264</f>
        <v>senior</v>
      </c>
      <c r="AA277" s="286" t="str">
        <f>AA264</f>
        <v>premium</v>
      </c>
      <c r="AJ277" s="286" t="str">
        <f>AJ264</f>
        <v>junior</v>
      </c>
      <c r="AK277" s="286" t="str">
        <f>AK264</f>
        <v>senior</v>
      </c>
      <c r="AL277" s="286" t="str">
        <f>AL264</f>
        <v>premium</v>
      </c>
      <c r="AU277" s="287" t="str">
        <f>AU264</f>
        <v>junior</v>
      </c>
      <c r="AV277" s="287" t="str">
        <f>AV264</f>
        <v>senior</v>
      </c>
      <c r="AW277" s="287" t="str">
        <f>AW264</f>
        <v>premium</v>
      </c>
    </row>
    <row r="278" spans="1:50" ht="21" customHeight="1" x14ac:dyDescent="0.25">
      <c r="A278" s="12" t="s">
        <v>4</v>
      </c>
      <c r="B278" s="54" t="s">
        <v>5</v>
      </c>
      <c r="C278" s="209">
        <f t="shared" ref="C278:E287" ca="1" si="42">C235+C265</f>
        <v>51</v>
      </c>
      <c r="D278" s="210">
        <f t="shared" ca="1" si="42"/>
        <v>12</v>
      </c>
      <c r="E278" s="261">
        <f t="shared" ca="1" si="42"/>
        <v>7</v>
      </c>
      <c r="F278" s="260">
        <f t="shared" ref="F278:F287" ca="1" si="43">SUM(C278:E278)</f>
        <v>70</v>
      </c>
      <c r="L278" s="12" t="s">
        <v>4</v>
      </c>
      <c r="M278" s="54" t="s">
        <v>5</v>
      </c>
      <c r="N278" s="104">
        <f t="shared" ref="N278:P287" ca="1" si="44">N235+N265</f>
        <v>28</v>
      </c>
      <c r="O278" s="104">
        <f t="shared" ca="1" si="44"/>
        <v>42</v>
      </c>
      <c r="P278" s="104">
        <f t="shared" ca="1" si="44"/>
        <v>8</v>
      </c>
      <c r="Q278" s="111">
        <f t="shared" ref="Q278:Q287" ca="1" si="45">SUM(N278:P278)</f>
        <v>78</v>
      </c>
      <c r="R278" s="109"/>
      <c r="S278" s="109"/>
      <c r="T278" s="109"/>
      <c r="U278" s="109"/>
      <c r="W278" s="12" t="s">
        <v>4</v>
      </c>
      <c r="X278" s="54" t="s">
        <v>5</v>
      </c>
      <c r="Y278" s="104">
        <f t="shared" ref="Y278:AA287" ca="1" si="46">Y235+Y265</f>
        <v>17</v>
      </c>
      <c r="Z278" s="104">
        <f t="shared" ca="1" si="46"/>
        <v>23</v>
      </c>
      <c r="AA278" s="104">
        <f t="shared" ca="1" si="46"/>
        <v>10</v>
      </c>
      <c r="AB278" s="111">
        <f t="shared" ref="AB278:AB287" ca="1" si="47">SUM(Y278:AA278)</f>
        <v>50</v>
      </c>
      <c r="AC278" s="109"/>
      <c r="AD278" s="109"/>
      <c r="AE278" s="109"/>
      <c r="AF278" s="109"/>
      <c r="AH278" s="12" t="s">
        <v>4</v>
      </c>
      <c r="AI278" s="54" t="s">
        <v>5</v>
      </c>
      <c r="AJ278" s="104">
        <f t="shared" ref="AJ278:AL287" ca="1" si="48">AJ235+AJ265</f>
        <v>10</v>
      </c>
      <c r="AK278" s="104">
        <f t="shared" ca="1" si="48"/>
        <v>6</v>
      </c>
      <c r="AL278" s="104">
        <f t="shared" ca="1" si="48"/>
        <v>3</v>
      </c>
      <c r="AM278" s="111">
        <f t="shared" ref="AM278:AM287" ca="1" si="49">SUM(AJ278:AL278)</f>
        <v>19</v>
      </c>
      <c r="AN278" s="109"/>
      <c r="AO278" s="109"/>
      <c r="AP278" s="109"/>
      <c r="AQ278" s="109"/>
      <c r="AS278" s="12" t="s">
        <v>4</v>
      </c>
      <c r="AT278" s="54" t="s">
        <v>5</v>
      </c>
      <c r="AU278" s="104">
        <f t="shared" ref="AU278:AW287" ca="1" si="50">AU235+AU265</f>
        <v>9</v>
      </c>
      <c r="AV278" s="104">
        <f t="shared" ca="1" si="50"/>
        <v>16</v>
      </c>
      <c r="AW278" s="104">
        <f t="shared" ca="1" si="50"/>
        <v>12</v>
      </c>
      <c r="AX278" s="111">
        <f t="shared" ref="AX278:AX287" ca="1" si="51">SUM(AU278:AW278)</f>
        <v>37</v>
      </c>
    </row>
    <row r="279" spans="1:50" ht="21" customHeight="1" thickBot="1" x14ac:dyDescent="0.3">
      <c r="A279" s="15"/>
      <c r="B279" s="56" t="s">
        <v>31</v>
      </c>
      <c r="C279" s="198">
        <f t="shared" ca="1" si="42"/>
        <v>0</v>
      </c>
      <c r="D279" s="199">
        <f t="shared" ca="1" si="42"/>
        <v>4</v>
      </c>
      <c r="E279" s="262">
        <f t="shared" ca="1" si="42"/>
        <v>6</v>
      </c>
      <c r="F279" s="260">
        <f t="shared" ca="1" si="43"/>
        <v>10</v>
      </c>
      <c r="L279" s="15"/>
      <c r="M279" s="56" t="s">
        <v>31</v>
      </c>
      <c r="N279" s="104">
        <f t="shared" ca="1" si="44"/>
        <v>0</v>
      </c>
      <c r="O279" s="104">
        <f t="shared" ca="1" si="44"/>
        <v>11</v>
      </c>
      <c r="P279" s="104">
        <f t="shared" ca="1" si="44"/>
        <v>26</v>
      </c>
      <c r="Q279" s="111">
        <f t="shared" ca="1" si="45"/>
        <v>37</v>
      </c>
      <c r="R279" s="109"/>
      <c r="S279" s="109"/>
      <c r="T279" s="109"/>
      <c r="U279" s="109"/>
      <c r="W279" s="15"/>
      <c r="X279" s="56" t="s">
        <v>31</v>
      </c>
      <c r="Y279" s="104">
        <f t="shared" ca="1" si="46"/>
        <v>5</v>
      </c>
      <c r="Z279" s="104">
        <f t="shared" ca="1" si="46"/>
        <v>12</v>
      </c>
      <c r="AA279" s="104">
        <f t="shared" ca="1" si="46"/>
        <v>11</v>
      </c>
      <c r="AB279" s="111">
        <f t="shared" ca="1" si="47"/>
        <v>28</v>
      </c>
      <c r="AC279" s="109"/>
      <c r="AD279" s="109"/>
      <c r="AE279" s="109"/>
      <c r="AF279" s="109"/>
      <c r="AH279" s="15"/>
      <c r="AI279" s="56" t="s">
        <v>31</v>
      </c>
      <c r="AJ279" s="104">
        <f t="shared" ca="1" si="48"/>
        <v>4</v>
      </c>
      <c r="AK279" s="104">
        <f t="shared" ca="1" si="48"/>
        <v>3</v>
      </c>
      <c r="AL279" s="104">
        <f t="shared" ca="1" si="48"/>
        <v>7</v>
      </c>
      <c r="AM279" s="111">
        <f t="shared" ca="1" si="49"/>
        <v>14</v>
      </c>
      <c r="AN279" s="109"/>
      <c r="AO279" s="109"/>
      <c r="AP279" s="109"/>
      <c r="AQ279" s="109"/>
      <c r="AS279" s="15"/>
      <c r="AT279" s="56" t="s">
        <v>31</v>
      </c>
      <c r="AU279" s="104">
        <f t="shared" ca="1" si="50"/>
        <v>5</v>
      </c>
      <c r="AV279" s="104">
        <f t="shared" ca="1" si="50"/>
        <v>11</v>
      </c>
      <c r="AW279" s="104">
        <f t="shared" ca="1" si="50"/>
        <v>13</v>
      </c>
      <c r="AX279" s="111">
        <f t="shared" ca="1" si="51"/>
        <v>29</v>
      </c>
    </row>
    <row r="280" spans="1:50" ht="21" customHeight="1" x14ac:dyDescent="0.25">
      <c r="A280" s="12" t="s">
        <v>6</v>
      </c>
      <c r="B280" s="54" t="s">
        <v>7</v>
      </c>
      <c r="C280" s="209">
        <f t="shared" ca="1" si="42"/>
        <v>0</v>
      </c>
      <c r="D280" s="210">
        <f t="shared" ca="1" si="42"/>
        <v>6</v>
      </c>
      <c r="E280" s="261">
        <f t="shared" ca="1" si="42"/>
        <v>12</v>
      </c>
      <c r="F280" s="260">
        <f t="shared" ca="1" si="43"/>
        <v>18</v>
      </c>
      <c r="L280" s="12" t="s">
        <v>6</v>
      </c>
      <c r="M280" s="54" t="s">
        <v>7</v>
      </c>
      <c r="N280" s="104">
        <f t="shared" ca="1" si="44"/>
        <v>0</v>
      </c>
      <c r="O280" s="104">
        <f t="shared" ca="1" si="44"/>
        <v>2</v>
      </c>
      <c r="P280" s="104">
        <f t="shared" ca="1" si="44"/>
        <v>6</v>
      </c>
      <c r="Q280" s="111">
        <f t="shared" ca="1" si="45"/>
        <v>8</v>
      </c>
      <c r="R280" s="109"/>
      <c r="S280" s="109"/>
      <c r="T280" s="109"/>
      <c r="U280" s="109"/>
      <c r="W280" s="12" t="s">
        <v>6</v>
      </c>
      <c r="X280" s="54" t="s">
        <v>7</v>
      </c>
      <c r="Y280" s="104">
        <f t="shared" ca="1" si="46"/>
        <v>0</v>
      </c>
      <c r="Z280" s="104">
        <f t="shared" ca="1" si="46"/>
        <v>3</v>
      </c>
      <c r="AA280" s="104">
        <f t="shared" ca="1" si="46"/>
        <v>10</v>
      </c>
      <c r="AB280" s="111">
        <f t="shared" ca="1" si="47"/>
        <v>13</v>
      </c>
      <c r="AC280" s="109"/>
      <c r="AD280" s="109"/>
      <c r="AE280" s="109"/>
      <c r="AF280" s="109"/>
      <c r="AH280" s="12" t="s">
        <v>6</v>
      </c>
      <c r="AI280" s="54" t="s">
        <v>7</v>
      </c>
      <c r="AJ280" s="104">
        <f t="shared" ca="1" si="48"/>
        <v>0</v>
      </c>
      <c r="AK280" s="104">
        <f t="shared" ca="1" si="48"/>
        <v>2</v>
      </c>
      <c r="AL280" s="104">
        <f t="shared" ca="1" si="48"/>
        <v>3</v>
      </c>
      <c r="AM280" s="111">
        <f t="shared" ca="1" si="49"/>
        <v>5</v>
      </c>
      <c r="AN280" s="109"/>
      <c r="AO280" s="109"/>
      <c r="AP280" s="109"/>
      <c r="AQ280" s="109"/>
      <c r="AS280" s="12" t="s">
        <v>6</v>
      </c>
      <c r="AT280" s="54" t="s">
        <v>7</v>
      </c>
      <c r="AU280" s="104">
        <f t="shared" ca="1" si="50"/>
        <v>1</v>
      </c>
      <c r="AV280" s="104">
        <f t="shared" ca="1" si="50"/>
        <v>2</v>
      </c>
      <c r="AW280" s="104">
        <f t="shared" ca="1" si="50"/>
        <v>10</v>
      </c>
      <c r="AX280" s="111">
        <f t="shared" ca="1" si="51"/>
        <v>13</v>
      </c>
    </row>
    <row r="281" spans="1:50" ht="21" customHeight="1" x14ac:dyDescent="0.25">
      <c r="A281" s="17"/>
      <c r="B281" s="57" t="s">
        <v>8</v>
      </c>
      <c r="C281" s="197">
        <f t="shared" ca="1" si="42"/>
        <v>8</v>
      </c>
      <c r="D281" s="104">
        <f t="shared" ca="1" si="42"/>
        <v>6</v>
      </c>
      <c r="E281" s="263">
        <f t="shared" ca="1" si="42"/>
        <v>6</v>
      </c>
      <c r="F281" s="260">
        <f t="shared" ca="1" si="43"/>
        <v>20</v>
      </c>
      <c r="L281" s="17"/>
      <c r="M281" s="57" t="s">
        <v>8</v>
      </c>
      <c r="N281" s="104">
        <f t="shared" ca="1" si="44"/>
        <v>9</v>
      </c>
      <c r="O281" s="104">
        <f t="shared" ca="1" si="44"/>
        <v>9</v>
      </c>
      <c r="P281" s="104">
        <f t="shared" ca="1" si="44"/>
        <v>9</v>
      </c>
      <c r="Q281" s="111">
        <f t="shared" ca="1" si="45"/>
        <v>27</v>
      </c>
      <c r="R281" s="109"/>
      <c r="S281" s="109"/>
      <c r="T281" s="109"/>
      <c r="U281" s="109"/>
      <c r="W281" s="17"/>
      <c r="X281" s="57" t="s">
        <v>8</v>
      </c>
      <c r="Y281" s="104">
        <f t="shared" ca="1" si="46"/>
        <v>5</v>
      </c>
      <c r="Z281" s="104">
        <f t="shared" ca="1" si="46"/>
        <v>10</v>
      </c>
      <c r="AA281" s="104">
        <f t="shared" ca="1" si="46"/>
        <v>6</v>
      </c>
      <c r="AB281" s="111">
        <f t="shared" ca="1" si="47"/>
        <v>21</v>
      </c>
      <c r="AC281" s="109"/>
      <c r="AD281" s="109"/>
      <c r="AE281" s="109"/>
      <c r="AF281" s="109"/>
      <c r="AH281" s="17"/>
      <c r="AI281" s="57" t="s">
        <v>8</v>
      </c>
      <c r="AJ281" s="104">
        <f t="shared" ca="1" si="48"/>
        <v>4</v>
      </c>
      <c r="AK281" s="104">
        <f t="shared" ca="1" si="48"/>
        <v>6</v>
      </c>
      <c r="AL281" s="104">
        <f t="shared" ca="1" si="48"/>
        <v>7</v>
      </c>
      <c r="AM281" s="111">
        <f t="shared" ca="1" si="49"/>
        <v>17</v>
      </c>
      <c r="AN281" s="109"/>
      <c r="AO281" s="109"/>
      <c r="AP281" s="109"/>
      <c r="AQ281" s="109"/>
      <c r="AS281" s="17"/>
      <c r="AT281" s="57" t="s">
        <v>8</v>
      </c>
      <c r="AU281" s="104">
        <f t="shared" ca="1" si="50"/>
        <v>2</v>
      </c>
      <c r="AV281" s="104">
        <f t="shared" ca="1" si="50"/>
        <v>3</v>
      </c>
      <c r="AW281" s="104">
        <f t="shared" ca="1" si="50"/>
        <v>7</v>
      </c>
      <c r="AX281" s="111">
        <f t="shared" ca="1" si="51"/>
        <v>12</v>
      </c>
    </row>
    <row r="282" spans="1:50" ht="21" customHeight="1" thickBot="1" x14ac:dyDescent="0.3">
      <c r="A282" s="15"/>
      <c r="B282" s="56" t="s">
        <v>157</v>
      </c>
      <c r="C282" s="198">
        <f t="shared" ca="1" si="42"/>
        <v>0</v>
      </c>
      <c r="D282" s="199">
        <f t="shared" ca="1" si="42"/>
        <v>7</v>
      </c>
      <c r="E282" s="262">
        <f t="shared" ca="1" si="42"/>
        <v>4</v>
      </c>
      <c r="F282" s="260">
        <f t="shared" ca="1" si="43"/>
        <v>11</v>
      </c>
      <c r="L282" s="15"/>
      <c r="M282" s="56" t="s">
        <v>157</v>
      </c>
      <c r="N282" s="104">
        <f t="shared" ca="1" si="44"/>
        <v>13</v>
      </c>
      <c r="O282" s="104">
        <f t="shared" ca="1" si="44"/>
        <v>14</v>
      </c>
      <c r="P282" s="104">
        <f t="shared" ca="1" si="44"/>
        <v>10</v>
      </c>
      <c r="Q282" s="111">
        <f t="shared" ca="1" si="45"/>
        <v>37</v>
      </c>
      <c r="R282" s="109"/>
      <c r="S282" s="109"/>
      <c r="T282" s="109"/>
      <c r="U282" s="109"/>
      <c r="W282" s="15"/>
      <c r="X282" s="56" t="s">
        <v>157</v>
      </c>
      <c r="Y282" s="104">
        <f t="shared" ca="1" si="46"/>
        <v>8</v>
      </c>
      <c r="Z282" s="104">
        <f t="shared" ca="1" si="46"/>
        <v>9</v>
      </c>
      <c r="AA282" s="104">
        <f t="shared" ca="1" si="46"/>
        <v>2</v>
      </c>
      <c r="AB282" s="111">
        <f t="shared" ca="1" si="47"/>
        <v>19</v>
      </c>
      <c r="AC282" s="109"/>
      <c r="AD282" s="109"/>
      <c r="AE282" s="109"/>
      <c r="AF282" s="109"/>
      <c r="AH282" s="15"/>
      <c r="AI282" s="56" t="s">
        <v>157</v>
      </c>
      <c r="AJ282" s="104">
        <f t="shared" ca="1" si="48"/>
        <v>10</v>
      </c>
      <c r="AK282" s="104">
        <f t="shared" ca="1" si="48"/>
        <v>5</v>
      </c>
      <c r="AL282" s="104">
        <f t="shared" ca="1" si="48"/>
        <v>3</v>
      </c>
      <c r="AM282" s="111">
        <f t="shared" ca="1" si="49"/>
        <v>18</v>
      </c>
      <c r="AN282" s="109"/>
      <c r="AO282" s="109"/>
      <c r="AP282" s="109"/>
      <c r="AQ282" s="109"/>
      <c r="AS282" s="15"/>
      <c r="AT282" s="56" t="s">
        <v>157</v>
      </c>
      <c r="AU282" s="104">
        <f t="shared" ca="1" si="50"/>
        <v>7</v>
      </c>
      <c r="AV282" s="104">
        <f t="shared" ca="1" si="50"/>
        <v>3</v>
      </c>
      <c r="AW282" s="104">
        <f t="shared" ca="1" si="50"/>
        <v>3</v>
      </c>
      <c r="AX282" s="111">
        <f t="shared" ca="1" si="51"/>
        <v>13</v>
      </c>
    </row>
    <row r="283" spans="1:50" ht="21" customHeight="1" x14ac:dyDescent="0.25">
      <c r="A283" s="12" t="s">
        <v>9</v>
      </c>
      <c r="B283" s="54" t="s">
        <v>32</v>
      </c>
      <c r="C283" s="209">
        <f t="shared" ca="1" si="42"/>
        <v>0</v>
      </c>
      <c r="D283" s="210">
        <f t="shared" ca="1" si="42"/>
        <v>15</v>
      </c>
      <c r="E283" s="261">
        <f t="shared" ca="1" si="42"/>
        <v>0</v>
      </c>
      <c r="F283" s="260">
        <f t="shared" ca="1" si="43"/>
        <v>15</v>
      </c>
      <c r="L283" s="12" t="s">
        <v>9</v>
      </c>
      <c r="M283" s="54" t="s">
        <v>32</v>
      </c>
      <c r="N283" s="104">
        <f t="shared" ca="1" si="44"/>
        <v>0</v>
      </c>
      <c r="O283" s="104">
        <f t="shared" ca="1" si="44"/>
        <v>17</v>
      </c>
      <c r="P283" s="104">
        <f t="shared" ca="1" si="44"/>
        <v>0</v>
      </c>
      <c r="Q283" s="111">
        <f t="shared" ca="1" si="45"/>
        <v>17</v>
      </c>
      <c r="R283" s="109"/>
      <c r="S283" s="109"/>
      <c r="T283" s="109"/>
      <c r="U283" s="109"/>
      <c r="W283" s="12" t="s">
        <v>9</v>
      </c>
      <c r="X283" s="54" t="s">
        <v>32</v>
      </c>
      <c r="Y283" s="104">
        <f t="shared" ca="1" si="46"/>
        <v>0</v>
      </c>
      <c r="Z283" s="104">
        <f t="shared" ca="1" si="46"/>
        <v>14</v>
      </c>
      <c r="AA283" s="104">
        <f t="shared" ca="1" si="46"/>
        <v>12</v>
      </c>
      <c r="AB283" s="111">
        <f t="shared" ca="1" si="47"/>
        <v>26</v>
      </c>
      <c r="AC283" s="109"/>
      <c r="AD283" s="109"/>
      <c r="AE283" s="109"/>
      <c r="AF283" s="109"/>
      <c r="AH283" s="12" t="s">
        <v>9</v>
      </c>
      <c r="AI283" s="54" t="s">
        <v>32</v>
      </c>
      <c r="AJ283" s="104">
        <f t="shared" ca="1" si="48"/>
        <v>2</v>
      </c>
      <c r="AK283" s="104">
        <f t="shared" ca="1" si="48"/>
        <v>11</v>
      </c>
      <c r="AL283" s="104">
        <f t="shared" ca="1" si="48"/>
        <v>8</v>
      </c>
      <c r="AM283" s="111">
        <f t="shared" ca="1" si="49"/>
        <v>21</v>
      </c>
      <c r="AN283" s="109"/>
      <c r="AO283" s="109"/>
      <c r="AP283" s="109"/>
      <c r="AQ283" s="109"/>
      <c r="AS283" s="12" t="s">
        <v>9</v>
      </c>
      <c r="AT283" s="54" t="s">
        <v>32</v>
      </c>
      <c r="AU283" s="104">
        <f t="shared" ca="1" si="50"/>
        <v>4</v>
      </c>
      <c r="AV283" s="104">
        <f t="shared" ca="1" si="50"/>
        <v>18</v>
      </c>
      <c r="AW283" s="104">
        <f t="shared" ca="1" si="50"/>
        <v>16</v>
      </c>
      <c r="AX283" s="111">
        <f t="shared" ca="1" si="51"/>
        <v>38</v>
      </c>
    </row>
    <row r="284" spans="1:50" ht="21" customHeight="1" thickBot="1" x14ac:dyDescent="0.3">
      <c r="A284" s="15"/>
      <c r="B284" s="56" t="s">
        <v>10</v>
      </c>
      <c r="C284" s="198">
        <f t="shared" ca="1" si="42"/>
        <v>0</v>
      </c>
      <c r="D284" s="199">
        <f t="shared" ca="1" si="42"/>
        <v>7</v>
      </c>
      <c r="E284" s="262">
        <f t="shared" ca="1" si="42"/>
        <v>16</v>
      </c>
      <c r="F284" s="260">
        <f t="shared" ca="1" si="43"/>
        <v>23</v>
      </c>
      <c r="L284" s="15"/>
      <c r="M284" s="56" t="s">
        <v>10</v>
      </c>
      <c r="N284" s="104">
        <f t="shared" ca="1" si="44"/>
        <v>0</v>
      </c>
      <c r="O284" s="104">
        <f t="shared" ca="1" si="44"/>
        <v>14</v>
      </c>
      <c r="P284" s="104">
        <f t="shared" ca="1" si="44"/>
        <v>17</v>
      </c>
      <c r="Q284" s="111">
        <f t="shared" ca="1" si="45"/>
        <v>31</v>
      </c>
      <c r="R284" s="109"/>
      <c r="S284" s="109"/>
      <c r="T284" s="109"/>
      <c r="U284" s="109"/>
      <c r="W284" s="15"/>
      <c r="X284" s="56" t="s">
        <v>10</v>
      </c>
      <c r="Y284" s="104">
        <f t="shared" ca="1" si="46"/>
        <v>0</v>
      </c>
      <c r="Z284" s="104">
        <f t="shared" ca="1" si="46"/>
        <v>9</v>
      </c>
      <c r="AA284" s="104">
        <f t="shared" ca="1" si="46"/>
        <v>6</v>
      </c>
      <c r="AB284" s="111">
        <f t="shared" ca="1" si="47"/>
        <v>15</v>
      </c>
      <c r="AC284" s="109"/>
      <c r="AD284" s="109"/>
      <c r="AE284" s="109"/>
      <c r="AF284" s="109"/>
      <c r="AH284" s="15"/>
      <c r="AI284" s="56" t="s">
        <v>10</v>
      </c>
      <c r="AJ284" s="104">
        <f t="shared" ca="1" si="48"/>
        <v>0</v>
      </c>
      <c r="AK284" s="104">
        <f t="shared" ca="1" si="48"/>
        <v>4</v>
      </c>
      <c r="AL284" s="104">
        <f t="shared" ca="1" si="48"/>
        <v>4</v>
      </c>
      <c r="AM284" s="111">
        <f t="shared" ca="1" si="49"/>
        <v>8</v>
      </c>
      <c r="AN284" s="109"/>
      <c r="AO284" s="109"/>
      <c r="AP284" s="109"/>
      <c r="AQ284" s="109"/>
      <c r="AS284" s="15"/>
      <c r="AT284" s="56" t="s">
        <v>10</v>
      </c>
      <c r="AU284" s="104">
        <f t="shared" ca="1" si="50"/>
        <v>2</v>
      </c>
      <c r="AV284" s="104">
        <f t="shared" ca="1" si="50"/>
        <v>7</v>
      </c>
      <c r="AW284" s="104">
        <f t="shared" ca="1" si="50"/>
        <v>8</v>
      </c>
      <c r="AX284" s="111">
        <f t="shared" ca="1" si="51"/>
        <v>17</v>
      </c>
    </row>
    <row r="285" spans="1:50" ht="21" customHeight="1" x14ac:dyDescent="0.25">
      <c r="A285" s="12" t="s">
        <v>11</v>
      </c>
      <c r="B285" s="54" t="s">
        <v>33</v>
      </c>
      <c r="C285" s="209">
        <f t="shared" ca="1" si="42"/>
        <v>28</v>
      </c>
      <c r="D285" s="210">
        <f t="shared" ca="1" si="42"/>
        <v>16</v>
      </c>
      <c r="E285" s="261">
        <f t="shared" ca="1" si="42"/>
        <v>16</v>
      </c>
      <c r="F285" s="260">
        <f t="shared" ca="1" si="43"/>
        <v>60</v>
      </c>
      <c r="L285" s="12" t="s">
        <v>11</v>
      </c>
      <c r="M285" s="54" t="s">
        <v>33</v>
      </c>
      <c r="N285" s="104">
        <f t="shared" ca="1" si="44"/>
        <v>79</v>
      </c>
      <c r="O285" s="104">
        <f t="shared" ca="1" si="44"/>
        <v>35</v>
      </c>
      <c r="P285" s="104">
        <f t="shared" ca="1" si="44"/>
        <v>19</v>
      </c>
      <c r="Q285" s="111">
        <f t="shared" ca="1" si="45"/>
        <v>133</v>
      </c>
      <c r="R285" s="109"/>
      <c r="S285" s="109"/>
      <c r="T285" s="109"/>
      <c r="U285" s="109"/>
      <c r="W285" s="12" t="s">
        <v>11</v>
      </c>
      <c r="X285" s="54" t="s">
        <v>33</v>
      </c>
      <c r="Y285" s="104">
        <f t="shared" ca="1" si="46"/>
        <v>24</v>
      </c>
      <c r="Z285" s="104">
        <f t="shared" ca="1" si="46"/>
        <v>19</v>
      </c>
      <c r="AA285" s="104">
        <f t="shared" ca="1" si="46"/>
        <v>8</v>
      </c>
      <c r="AB285" s="111">
        <f t="shared" ca="1" si="47"/>
        <v>51</v>
      </c>
      <c r="AC285" s="109"/>
      <c r="AD285" s="109"/>
      <c r="AE285" s="109"/>
      <c r="AF285" s="109"/>
      <c r="AH285" s="12" t="s">
        <v>11</v>
      </c>
      <c r="AI285" s="54" t="s">
        <v>33</v>
      </c>
      <c r="AJ285" s="104">
        <f t="shared" ca="1" si="48"/>
        <v>20</v>
      </c>
      <c r="AK285" s="104">
        <f t="shared" ca="1" si="48"/>
        <v>18</v>
      </c>
      <c r="AL285" s="104">
        <f t="shared" ca="1" si="48"/>
        <v>12</v>
      </c>
      <c r="AM285" s="111">
        <f t="shared" ca="1" si="49"/>
        <v>50</v>
      </c>
      <c r="AN285" s="109"/>
      <c r="AO285" s="109"/>
      <c r="AP285" s="109"/>
      <c r="AQ285" s="109"/>
      <c r="AS285" s="12" t="s">
        <v>11</v>
      </c>
      <c r="AT285" s="54" t="s">
        <v>33</v>
      </c>
      <c r="AU285" s="104">
        <f t="shared" ca="1" si="50"/>
        <v>20</v>
      </c>
      <c r="AV285" s="104">
        <f t="shared" ca="1" si="50"/>
        <v>20</v>
      </c>
      <c r="AW285" s="104">
        <f t="shared" ca="1" si="50"/>
        <v>13</v>
      </c>
      <c r="AX285" s="111">
        <f t="shared" ca="1" si="51"/>
        <v>53</v>
      </c>
    </row>
    <row r="286" spans="1:50" ht="21" customHeight="1" x14ac:dyDescent="0.25">
      <c r="A286" s="17"/>
      <c r="B286" s="57" t="s">
        <v>34</v>
      </c>
      <c r="C286" s="197">
        <f t="shared" ca="1" si="42"/>
        <v>59</v>
      </c>
      <c r="D286" s="104">
        <f t="shared" ca="1" si="42"/>
        <v>22</v>
      </c>
      <c r="E286" s="263">
        <f t="shared" ca="1" si="42"/>
        <v>9</v>
      </c>
      <c r="F286" s="260">
        <f t="shared" ca="1" si="43"/>
        <v>90</v>
      </c>
      <c r="L286" s="17"/>
      <c r="M286" s="57" t="s">
        <v>34</v>
      </c>
      <c r="N286" s="104">
        <f t="shared" ca="1" si="44"/>
        <v>34</v>
      </c>
      <c r="O286" s="104">
        <f t="shared" ca="1" si="44"/>
        <v>33</v>
      </c>
      <c r="P286" s="104">
        <f t="shared" ca="1" si="44"/>
        <v>21</v>
      </c>
      <c r="Q286" s="111">
        <f t="shared" ca="1" si="45"/>
        <v>88</v>
      </c>
      <c r="R286" s="109"/>
      <c r="S286" s="109"/>
      <c r="T286" s="109"/>
      <c r="U286" s="109"/>
      <c r="W286" s="17"/>
      <c r="X286" s="57" t="s">
        <v>34</v>
      </c>
      <c r="Y286" s="104">
        <f t="shared" ca="1" si="46"/>
        <v>19</v>
      </c>
      <c r="Z286" s="104">
        <f t="shared" ca="1" si="46"/>
        <v>20</v>
      </c>
      <c r="AA286" s="104">
        <f t="shared" ca="1" si="46"/>
        <v>11</v>
      </c>
      <c r="AB286" s="111">
        <f t="shared" ca="1" si="47"/>
        <v>50</v>
      </c>
      <c r="AC286" s="109"/>
      <c r="AD286" s="109"/>
      <c r="AE286" s="109"/>
      <c r="AF286" s="109"/>
      <c r="AH286" s="17"/>
      <c r="AI286" s="57" t="s">
        <v>34</v>
      </c>
      <c r="AJ286" s="104">
        <f t="shared" ca="1" si="48"/>
        <v>11</v>
      </c>
      <c r="AK286" s="104">
        <f t="shared" ca="1" si="48"/>
        <v>9</v>
      </c>
      <c r="AL286" s="104">
        <f t="shared" ca="1" si="48"/>
        <v>7</v>
      </c>
      <c r="AM286" s="111">
        <f t="shared" ca="1" si="49"/>
        <v>27</v>
      </c>
      <c r="AN286" s="109"/>
      <c r="AO286" s="109"/>
      <c r="AP286" s="109"/>
      <c r="AQ286" s="109"/>
      <c r="AS286" s="17"/>
      <c r="AT286" s="57" t="s">
        <v>34</v>
      </c>
      <c r="AU286" s="104">
        <f t="shared" ca="1" si="50"/>
        <v>8</v>
      </c>
      <c r="AV286" s="104">
        <f t="shared" ca="1" si="50"/>
        <v>26</v>
      </c>
      <c r="AW286" s="104">
        <f t="shared" ca="1" si="50"/>
        <v>18</v>
      </c>
      <c r="AX286" s="111">
        <f t="shared" ca="1" si="51"/>
        <v>52</v>
      </c>
    </row>
    <row r="287" spans="1:50" ht="21" customHeight="1" thickBot="1" x14ac:dyDescent="0.3">
      <c r="A287" s="15"/>
      <c r="B287" s="56" t="s">
        <v>12</v>
      </c>
      <c r="C287" s="198">
        <f t="shared" ca="1" si="42"/>
        <v>0</v>
      </c>
      <c r="D287" s="199">
        <f t="shared" ca="1" si="42"/>
        <v>0</v>
      </c>
      <c r="E287" s="262">
        <f t="shared" ca="1" si="42"/>
        <v>0</v>
      </c>
      <c r="F287" s="260">
        <f t="shared" ca="1" si="43"/>
        <v>0</v>
      </c>
      <c r="L287" s="15"/>
      <c r="M287" s="56" t="s">
        <v>12</v>
      </c>
      <c r="N287" s="104">
        <f t="shared" ca="1" si="44"/>
        <v>0</v>
      </c>
      <c r="O287" s="104">
        <f t="shared" ca="1" si="44"/>
        <v>0</v>
      </c>
      <c r="P287" s="104">
        <f t="shared" ca="1" si="44"/>
        <v>0</v>
      </c>
      <c r="Q287" s="111">
        <f t="shared" ca="1" si="45"/>
        <v>0</v>
      </c>
      <c r="R287" s="109"/>
      <c r="S287" s="109"/>
      <c r="T287" s="109"/>
      <c r="U287" s="109"/>
      <c r="W287" s="15"/>
      <c r="X287" s="56" t="s">
        <v>12</v>
      </c>
      <c r="Y287" s="104">
        <f t="shared" ca="1" si="46"/>
        <v>13</v>
      </c>
      <c r="Z287" s="104">
        <f t="shared" ca="1" si="46"/>
        <v>0</v>
      </c>
      <c r="AA287" s="104">
        <f t="shared" ca="1" si="46"/>
        <v>6</v>
      </c>
      <c r="AB287" s="111">
        <f t="shared" ca="1" si="47"/>
        <v>19</v>
      </c>
      <c r="AC287" s="109"/>
      <c r="AD287" s="109"/>
      <c r="AE287" s="109"/>
      <c r="AF287" s="109"/>
      <c r="AH287" s="15"/>
      <c r="AI287" s="56" t="s">
        <v>12</v>
      </c>
      <c r="AJ287" s="104">
        <f t="shared" ca="1" si="48"/>
        <v>7</v>
      </c>
      <c r="AK287" s="104">
        <f t="shared" ca="1" si="48"/>
        <v>7</v>
      </c>
      <c r="AL287" s="104">
        <f t="shared" ca="1" si="48"/>
        <v>2</v>
      </c>
      <c r="AM287" s="111">
        <f t="shared" ca="1" si="49"/>
        <v>16</v>
      </c>
      <c r="AN287" s="109"/>
      <c r="AO287" s="109"/>
      <c r="AP287" s="109"/>
      <c r="AQ287" s="109"/>
      <c r="AS287" s="15"/>
      <c r="AT287" s="56" t="s">
        <v>12</v>
      </c>
      <c r="AU287" s="104">
        <f t="shared" ca="1" si="50"/>
        <v>7</v>
      </c>
      <c r="AV287" s="104">
        <f t="shared" ca="1" si="50"/>
        <v>7</v>
      </c>
      <c r="AW287" s="104">
        <f t="shared" ca="1" si="50"/>
        <v>7</v>
      </c>
      <c r="AX287" s="111">
        <f t="shared" ca="1" si="51"/>
        <v>21</v>
      </c>
    </row>
    <row r="288" spans="1:50" ht="21" customHeight="1" x14ac:dyDescent="0.25"/>
    <row r="289" spans="1:49" ht="21" customHeight="1" x14ac:dyDescent="0.25">
      <c r="B289" s="31" t="s">
        <v>235</v>
      </c>
      <c r="C289" s="128">
        <f ca="1">OFFSET(Constantes!$E$111,Décisions!I$4-1,0)</f>
        <v>0</v>
      </c>
      <c r="M289" s="1" t="s">
        <v>235</v>
      </c>
      <c r="N289" s="128">
        <f ca="1">OFFSET(Constantes!$E$111,Décisions!T$4-1,0)</f>
        <v>0</v>
      </c>
      <c r="X289" s="1" t="s">
        <v>235</v>
      </c>
      <c r="Y289" s="128">
        <f ca="1">OFFSET(Constantes!$E$111,Décisions!AE$4-1,0)</f>
        <v>0.05</v>
      </c>
      <c r="AI289" s="1" t="s">
        <v>235</v>
      </c>
      <c r="AJ289" s="128">
        <f ca="1">OFFSET(Constantes!$E$111,Décisions!AP$4-1,0)</f>
        <v>0.05</v>
      </c>
      <c r="AT289" s="1" t="s">
        <v>235</v>
      </c>
      <c r="AU289" s="128">
        <f ca="1">OFFSET(Constantes!$E$111,Décisions!BA$4-1,0)</f>
        <v>0.05</v>
      </c>
    </row>
    <row r="290" spans="1:49" ht="21" customHeight="1" x14ac:dyDescent="0.25">
      <c r="B290" s="31" t="s">
        <v>424</v>
      </c>
      <c r="C290" s="139">
        <f>IF(Décisions!F10&lt;=Constantes!$F$99,Constantes!$L$99,IF(Décisions!F10&lt;Constantes!$G$99,_xlfn.FORECAST.LINEAR(Décisions!F10,Constantes!$L$99:$M$99,Constantes!$F$99:$G$99),IF(Décisions!F10&lt;Constantes!$H$99,_xlfn.FORECAST.LINEAR(Décisions!F10,Constantes!$M$99:$N$99,Constantes!$G$99:$H$99),Constantes!$N$99)))</f>
        <v>0</v>
      </c>
      <c r="M290" s="31" t="s">
        <v>424</v>
      </c>
      <c r="N290" s="139">
        <f>IF(Décisions!Q10&lt;=Constantes!$F$99,Constantes!$L$99,IF(Décisions!Q10&lt;Constantes!$G$99,_xlfn.FORECAST.LINEAR(Décisions!Q10,Constantes!$L$99:$M$99,Constantes!$F$99:$G$99),IF(Décisions!Q10&lt;Constantes!$H$99,_xlfn.FORECAST.LINEAR(Décisions!Q10,Constantes!$M$99:$N$99,Constantes!$G$99:$H$99),Constantes!$N$99)))</f>
        <v>0</v>
      </c>
      <c r="X290" s="31" t="s">
        <v>424</v>
      </c>
      <c r="Y290" s="139">
        <f>IF(Décisions!AB10&lt;=Constantes!$F$99,Constantes!$L$99,IF(Décisions!AB10&lt;Constantes!$G$99,_xlfn.FORECAST.LINEAR(Décisions!AB10,Constantes!$L$99:$M$99,Constantes!$F$99:$G$99),IF(Décisions!AB10&lt;Constantes!$H$99,_xlfn.FORECAST.LINEAR(Décisions!AB10,Constantes!$M$99:$N$99,Constantes!$G$99:$H$99),Constantes!$N$99)))</f>
        <v>0</v>
      </c>
      <c r="AI290" s="31" t="s">
        <v>424</v>
      </c>
      <c r="AJ290" s="139">
        <f>IF(Décisions!AM10&lt;=Constantes!$F$99,Constantes!$L$99,IF(Décisions!AM10&lt;Constantes!$G$99,_xlfn.FORECAST.LINEAR(Décisions!AM10,Constantes!$L$99:$M$99,Constantes!$F$99:$G$99),IF(Décisions!AM10&lt;Constantes!$H$99,_xlfn.FORECAST.LINEAR(Décisions!AM10,Constantes!$M$99:$N$99,Constantes!$G$99:$H$99),Constantes!$N$99)))</f>
        <v>0</v>
      </c>
      <c r="AT290" s="31" t="s">
        <v>424</v>
      </c>
      <c r="AU290" s="139">
        <f>IF(Décisions!AX10&lt;=Constantes!$F$99,Constantes!$L$99,IF(Décisions!AX10&lt;Constantes!$G$99,_xlfn.FORECAST.LINEAR(Décisions!AX10,Constantes!$L$99:$M$99,Constantes!$F$99:$G$99),IF(Décisions!AX10&lt;Constantes!$H$99,_xlfn.FORECAST.LINEAR(Décisions!AX10,Constantes!$M$99:$N$99,Constantes!$G$99:$H$99),Constantes!$N$99)))</f>
        <v>0</v>
      </c>
    </row>
    <row r="291" spans="1:49" ht="21" customHeight="1" x14ac:dyDescent="0.25"/>
    <row r="292" spans="1:49" ht="21" customHeight="1" x14ac:dyDescent="0.25">
      <c r="A292" s="749"/>
      <c r="B292" s="757" t="s">
        <v>251</v>
      </c>
      <c r="M292" s="36" t="s">
        <v>251</v>
      </c>
      <c r="X292" s="36" t="s">
        <v>251</v>
      </c>
      <c r="AI292" s="36" t="s">
        <v>251</v>
      </c>
      <c r="AT292" s="36" t="s">
        <v>251</v>
      </c>
    </row>
    <row r="293" spans="1:49" ht="21" customHeight="1" thickBot="1" x14ac:dyDescent="0.3">
      <c r="C293" s="75" t="str">
        <f>C277</f>
        <v>junior</v>
      </c>
      <c r="D293" s="75" t="str">
        <f>D277</f>
        <v>senior</v>
      </c>
      <c r="E293" s="75" t="str">
        <f>E277</f>
        <v>premium</v>
      </c>
      <c r="N293" s="221" t="str">
        <f>N277</f>
        <v>junior</v>
      </c>
      <c r="O293" s="221" t="str">
        <f>O277</f>
        <v>senior</v>
      </c>
      <c r="P293" s="221" t="str">
        <f>P277</f>
        <v>premium</v>
      </c>
      <c r="Y293" s="286" t="str">
        <f>Y277</f>
        <v>junior</v>
      </c>
      <c r="Z293" s="286" t="str">
        <f>Z277</f>
        <v>senior</v>
      </c>
      <c r="AA293" s="286" t="str">
        <f>AA277</f>
        <v>premium</v>
      </c>
      <c r="AJ293" s="286" t="str">
        <f>AJ277</f>
        <v>junior</v>
      </c>
      <c r="AK293" s="286" t="str">
        <f>AK277</f>
        <v>senior</v>
      </c>
      <c r="AL293" s="286" t="str">
        <f>AL277</f>
        <v>premium</v>
      </c>
      <c r="AU293" s="287" t="str">
        <f>AU277</f>
        <v>junior</v>
      </c>
      <c r="AV293" s="287" t="str">
        <f>AV277</f>
        <v>senior</v>
      </c>
      <c r="AW293" s="287" t="str">
        <f>AW277</f>
        <v>premium</v>
      </c>
    </row>
    <row r="294" spans="1:49" ht="21" customHeight="1" x14ac:dyDescent="0.25">
      <c r="A294" s="12" t="s">
        <v>4</v>
      </c>
      <c r="B294" s="54" t="s">
        <v>5</v>
      </c>
      <c r="C294" s="264">
        <f ca="1">Constantes!$N10*(1+$C$289+$C$290+IF(C57&lt;&gt;0,OFFSET(Constantes!$C$38,C57-1,0),0))</f>
        <v>0</v>
      </c>
      <c r="D294" s="265">
        <f ca="1">Constantes!$O10*(1+$C$289+$C$290+IF(D57&lt;&gt;0,OFFSET(Constantes!$C$38,D57-1,0),0))</f>
        <v>0</v>
      </c>
      <c r="E294" s="266">
        <f ca="1">Constantes!$P10*(1+$C$289+$C$290+IF(E57&lt;&gt;0,OFFSET(Constantes!$C$38,E57-1,0),0))</f>
        <v>0</v>
      </c>
      <c r="L294" s="12" t="s">
        <v>4</v>
      </c>
      <c r="M294" s="54" t="s">
        <v>5</v>
      </c>
      <c r="N294" s="112">
        <f ca="1">Constantes!$N10*(1+$N$289+$N$290+IF(N57&lt;&gt;0,OFFSET(Constantes!$C$38,N57-1,0),0))</f>
        <v>0</v>
      </c>
      <c r="O294" s="112">
        <f ca="1">Constantes!$O10*(1+$N$289+$N$290+IF(O57&lt;&gt;0,OFFSET(Constantes!$C$38,O57-1,0),0))</f>
        <v>0</v>
      </c>
      <c r="P294" s="112">
        <f ca="1">Constantes!$P10*(1+$N$289+$N$290+IF(P57&lt;&gt;0,OFFSET(Constantes!$C$38,P57-1,0),0))</f>
        <v>0</v>
      </c>
      <c r="W294" s="12" t="s">
        <v>4</v>
      </c>
      <c r="X294" s="54" t="s">
        <v>5</v>
      </c>
      <c r="Y294" s="112">
        <f ca="1">Constantes!$N10*(1+$Y$289+$Y$290+IF(Y57&lt;&gt;0,OFFSET(Constantes!$C$38,Y57-1,0),0))</f>
        <v>0</v>
      </c>
      <c r="Z294" s="112">
        <f ca="1">Constantes!$O10*(1+$Y$289+$Y$290+IF(Z57&lt;&gt;0,OFFSET(Constantes!$C$38,Z57-1,0),0))</f>
        <v>0</v>
      </c>
      <c r="AA294" s="112">
        <f ca="1">Constantes!$P10*(1+$Y$289+$Y$290+IF(AA57&lt;&gt;0,OFFSET(Constantes!$C$38,AA57-1,0),0))</f>
        <v>0</v>
      </c>
      <c r="AH294" s="12" t="s">
        <v>4</v>
      </c>
      <c r="AI294" s="54" t="s">
        <v>5</v>
      </c>
      <c r="AJ294" s="112">
        <f ca="1">Constantes!$N10*(1+$AJ$289+$AJ$290+IF(AJ57&lt;&gt;0,OFFSET(Constantes!$C$38,AJ57-1,0),0))</f>
        <v>0</v>
      </c>
      <c r="AK294" s="112">
        <f ca="1">Constantes!$O10*(1+$AJ$289+$AJ$290+IF(AK57&lt;&gt;0,OFFSET(Constantes!$C$38,AK57-1,0),0))</f>
        <v>0</v>
      </c>
      <c r="AL294" s="112">
        <f ca="1">Constantes!$P10*(1+$AJ$289+$AJ$290+IF(AL57&lt;&gt;0,OFFSET(Constantes!$C$38,AL57-1,0),0))</f>
        <v>0</v>
      </c>
      <c r="AS294" s="12" t="s">
        <v>4</v>
      </c>
      <c r="AT294" s="54" t="s">
        <v>5</v>
      </c>
      <c r="AU294" s="112">
        <f ca="1">Constantes!$N10*(1+$AU$289+$AU$290+IF(AU57&lt;&gt;0,OFFSET(Constantes!$C$38,AU57-1,0),0))</f>
        <v>0</v>
      </c>
      <c r="AV294" s="112">
        <f ca="1">Constantes!$O10*(1+$AU$289+$AU$290+IF(AV57&lt;&gt;0,OFFSET(Constantes!$C$38,AV57-1,0),0))</f>
        <v>0</v>
      </c>
      <c r="AW294" s="112">
        <f ca="1">Constantes!$P10*(1+$AU$289+$AU$290+IF(AW57&lt;&gt;0,OFFSET(Constantes!$C$38,AW57-1,0),0))</f>
        <v>0</v>
      </c>
    </row>
    <row r="295" spans="1:49" ht="21" customHeight="1" thickBot="1" x14ac:dyDescent="0.3">
      <c r="A295" s="15"/>
      <c r="B295" s="56" t="s">
        <v>31</v>
      </c>
      <c r="C295" s="267">
        <f ca="1">Constantes!$N11*(1+$C$289+$C$290+IF(C58&lt;&gt;0,OFFSET(Constantes!$C$38,C58-1,0),0))</f>
        <v>0</v>
      </c>
      <c r="D295" s="268">
        <f ca="1">Constantes!$O11*(1+$C$289+$C$290+IF(D58&lt;&gt;0,OFFSET(Constantes!$C$38,D58-1,0),0))</f>
        <v>0</v>
      </c>
      <c r="E295" s="269">
        <f ca="1">Constantes!$P11*(1+$C$289+$C$290+IF(E58&lt;&gt;0,OFFSET(Constantes!$C$38,E58-1,0),0))</f>
        <v>0</v>
      </c>
      <c r="L295" s="15"/>
      <c r="M295" s="56" t="s">
        <v>31</v>
      </c>
      <c r="N295" s="112">
        <f ca="1">Constantes!$N11*(1+$N$289+$N$290+IF(N58&lt;&gt;0,OFFSET(Constantes!$C$38,N58-1,0),0))</f>
        <v>0</v>
      </c>
      <c r="O295" s="112">
        <f ca="1">Constantes!$O11*(1+$N$289+$N$290+IF(O58&lt;&gt;0,OFFSET(Constantes!$C$38,O58-1,0),0))</f>
        <v>0</v>
      </c>
      <c r="P295" s="112">
        <f ca="1">Constantes!$P11*(1+$N$289+$N$290+IF(P58&lt;&gt;0,OFFSET(Constantes!$C$38,P58-1,0),0))</f>
        <v>0</v>
      </c>
      <c r="W295" s="15"/>
      <c r="X295" s="56" t="s">
        <v>31</v>
      </c>
      <c r="Y295" s="112">
        <f ca="1">Constantes!$N11*(1+$Y$289+$Y$290+IF(Y58&lt;&gt;0,OFFSET(Constantes!$C$38,Y58-1,0),0))</f>
        <v>0</v>
      </c>
      <c r="Z295" s="112">
        <f ca="1">Constantes!$O11*(1+$Y$289+$Y$290+IF(Z58&lt;&gt;0,OFFSET(Constantes!$C$38,Z58-1,0),0))</f>
        <v>0</v>
      </c>
      <c r="AA295" s="112">
        <f ca="1">Constantes!$P11*(1+$Y$289+$Y$290+IF(AA58&lt;&gt;0,OFFSET(Constantes!$C$38,AA58-1,0),0))</f>
        <v>0</v>
      </c>
      <c r="AH295" s="15"/>
      <c r="AI295" s="56" t="s">
        <v>31</v>
      </c>
      <c r="AJ295" s="112">
        <f ca="1">Constantes!$N11*(1+$AJ$289+$AJ$290+IF(AJ58&lt;&gt;0,OFFSET(Constantes!$C$38,AJ58-1,0),0))</f>
        <v>0</v>
      </c>
      <c r="AK295" s="112">
        <f ca="1">Constantes!$O11*(1+$AJ$289+$AJ$290+IF(AK58&lt;&gt;0,OFFSET(Constantes!$C$38,AK58-1,0),0))</f>
        <v>0</v>
      </c>
      <c r="AL295" s="112">
        <f ca="1">Constantes!$P11*(1+$AJ$289+$AJ$290+IF(AL58&lt;&gt;0,OFFSET(Constantes!$C$38,AL58-1,0),0))</f>
        <v>0</v>
      </c>
      <c r="AS295" s="15"/>
      <c r="AT295" s="56" t="s">
        <v>31</v>
      </c>
      <c r="AU295" s="112">
        <f ca="1">Constantes!$N11*(1+$AU$289+$AU$290+IF(AU58&lt;&gt;0,OFFSET(Constantes!$C$38,AU58-1,0),0))</f>
        <v>0</v>
      </c>
      <c r="AV295" s="112">
        <f ca="1">Constantes!$O11*(1+$AU$289+$AU$290+IF(AV58&lt;&gt;0,OFFSET(Constantes!$C$38,AV58-1,0),0))</f>
        <v>0</v>
      </c>
      <c r="AW295" s="112">
        <f ca="1">Constantes!$P11*(1+$AU$289+$AU$290+IF(AW58&lt;&gt;0,OFFSET(Constantes!$C$38,AW58-1,0),0))</f>
        <v>0</v>
      </c>
    </row>
    <row r="296" spans="1:49" ht="21" customHeight="1" x14ac:dyDescent="0.25">
      <c r="A296" s="12" t="s">
        <v>6</v>
      </c>
      <c r="B296" s="54" t="s">
        <v>7</v>
      </c>
      <c r="C296" s="264">
        <f ca="1">Constantes!$N12*(1+$C$289+$C$290+IF(C59&lt;&gt;0,OFFSET(Constantes!$C$38,C59-1,0),0))</f>
        <v>0</v>
      </c>
      <c r="D296" s="265">
        <f ca="1">Constantes!$O12*(1+$C$289+$C$290+IF(D59&lt;&gt;0,OFFSET(Constantes!$C$38,D59-1,0),0))</f>
        <v>0</v>
      </c>
      <c r="E296" s="266">
        <f ca="1">Constantes!$P12*(1+$C$289+$C$290+IF(E59&lt;&gt;0,OFFSET(Constantes!$C$38,E59-1,0),0))</f>
        <v>0</v>
      </c>
      <c r="L296" s="12" t="s">
        <v>6</v>
      </c>
      <c r="M296" s="54" t="s">
        <v>7</v>
      </c>
      <c r="N296" s="112">
        <f ca="1">Constantes!$N12*(1+$N$289+$N$290+IF(N59&lt;&gt;0,OFFSET(Constantes!$C$38,N59-1,0),0))</f>
        <v>0</v>
      </c>
      <c r="O296" s="112">
        <f ca="1">Constantes!$O12*(1+$N$289+$N$290+IF(O59&lt;&gt;0,OFFSET(Constantes!$C$38,O59-1,0),0))</f>
        <v>0</v>
      </c>
      <c r="P296" s="112">
        <f ca="1">Constantes!$P12*(1+$N$289+$N$290+IF(P59&lt;&gt;0,OFFSET(Constantes!$C$38,P59-1,0),0))</f>
        <v>0</v>
      </c>
      <c r="W296" s="12" t="s">
        <v>6</v>
      </c>
      <c r="X296" s="54" t="s">
        <v>7</v>
      </c>
      <c r="Y296" s="112">
        <f ca="1">Constantes!$N12*(1+$Y$289+$Y$290+IF(Y59&lt;&gt;0,OFFSET(Constantes!$C$38,Y59-1,0),0))</f>
        <v>0</v>
      </c>
      <c r="Z296" s="112">
        <f ca="1">Constantes!$O12*(1+$Y$289+$Y$290+IF(Z59&lt;&gt;0,OFFSET(Constantes!$C$38,Z59-1,0),0))</f>
        <v>0</v>
      </c>
      <c r="AA296" s="112">
        <f ca="1">Constantes!$P12*(1+$Y$289+$Y$290+IF(AA59&lt;&gt;0,OFFSET(Constantes!$C$38,AA59-1,0),0))</f>
        <v>0</v>
      </c>
      <c r="AH296" s="12" t="s">
        <v>6</v>
      </c>
      <c r="AI296" s="54" t="s">
        <v>7</v>
      </c>
      <c r="AJ296" s="112">
        <f ca="1">Constantes!$N12*(1+$AJ$289+$AJ$290+IF(AJ59&lt;&gt;0,OFFSET(Constantes!$C$38,AJ59-1,0),0))</f>
        <v>0</v>
      </c>
      <c r="AK296" s="112">
        <f ca="1">Constantes!$O12*(1+$AJ$289+$AJ$290+IF(AK59&lt;&gt;0,OFFSET(Constantes!$C$38,AK59-1,0),0))</f>
        <v>0</v>
      </c>
      <c r="AL296" s="112">
        <f ca="1">Constantes!$P12*(1+$AJ$289+$AJ$290+IF(AL59&lt;&gt;0,OFFSET(Constantes!$C$38,AL59-1,0),0))</f>
        <v>0</v>
      </c>
      <c r="AS296" s="12" t="s">
        <v>6</v>
      </c>
      <c r="AT296" s="54" t="s">
        <v>7</v>
      </c>
      <c r="AU296" s="112">
        <f ca="1">Constantes!$N12*(1+$AU$289+$AU$290+IF(AU59&lt;&gt;0,OFFSET(Constantes!$C$38,AU59-1,0),0))</f>
        <v>0</v>
      </c>
      <c r="AV296" s="112">
        <f ca="1">Constantes!$O12*(1+$AU$289+$AU$290+IF(AV59&lt;&gt;0,OFFSET(Constantes!$C$38,AV59-1,0),0))</f>
        <v>0</v>
      </c>
      <c r="AW296" s="112">
        <f ca="1">Constantes!$P12*(1+$AU$289+$AU$290+IF(AW59&lt;&gt;0,OFFSET(Constantes!$C$38,AW59-1,0),0))</f>
        <v>0</v>
      </c>
    </row>
    <row r="297" spans="1:49" ht="21" customHeight="1" x14ac:dyDescent="0.25">
      <c r="A297" s="17"/>
      <c r="B297" s="57" t="s">
        <v>8</v>
      </c>
      <c r="C297" s="270">
        <f ca="1">Constantes!$N13*(1+$C$289+$C$290+IF(C60&lt;&gt;0,OFFSET(Constantes!$C$38,C60-1,0),0))</f>
        <v>0</v>
      </c>
      <c r="D297" s="147">
        <f ca="1">Constantes!$O13*(1+$C$289+$C$290+IF(D60&lt;&gt;0,OFFSET(Constantes!$C$38,D60-1,0),0))</f>
        <v>0</v>
      </c>
      <c r="E297" s="271">
        <f ca="1">Constantes!$P13*(1+$C$289+$C$290+IF(E60&lt;&gt;0,OFFSET(Constantes!$C$38,E60-1,0),0))</f>
        <v>0</v>
      </c>
      <c r="L297" s="17"/>
      <c r="M297" s="57" t="s">
        <v>8</v>
      </c>
      <c r="N297" s="112">
        <f ca="1">Constantes!$N13*(1+$N$289+$N$290+IF(N60&lt;&gt;0,OFFSET(Constantes!$C$38,N60-1,0),0))</f>
        <v>0</v>
      </c>
      <c r="O297" s="112">
        <f ca="1">Constantes!$O13*(1+$N$289+$N$290+IF(O60&lt;&gt;0,OFFSET(Constantes!$C$38,O60-1,0),0))</f>
        <v>0</v>
      </c>
      <c r="P297" s="112">
        <f ca="1">Constantes!$P13*(1+$N$289+$N$290+IF(P60&lt;&gt;0,OFFSET(Constantes!$C$38,P60-1,0),0))</f>
        <v>0</v>
      </c>
      <c r="W297" s="17"/>
      <c r="X297" s="57" t="s">
        <v>8</v>
      </c>
      <c r="Y297" s="112">
        <f ca="1">Constantes!$N13*(1+$Y$289+$Y$290+IF(Y60&lt;&gt;0,OFFSET(Constantes!$C$38,Y60-1,0),0))</f>
        <v>0</v>
      </c>
      <c r="Z297" s="112">
        <f ca="1">Constantes!$O13*(1+$Y$289+$Y$290+IF(Z60&lt;&gt;0,OFFSET(Constantes!$C$38,Z60-1,0),0))</f>
        <v>0</v>
      </c>
      <c r="AA297" s="112">
        <f ca="1">Constantes!$P13*(1+$Y$289+$Y$290+IF(AA60&lt;&gt;0,OFFSET(Constantes!$C$38,AA60-1,0),0))</f>
        <v>0</v>
      </c>
      <c r="AH297" s="17"/>
      <c r="AI297" s="57" t="s">
        <v>8</v>
      </c>
      <c r="AJ297" s="112">
        <f ca="1">Constantes!$N13*(1+$AJ$289+$AJ$290+IF(AJ60&lt;&gt;0,OFFSET(Constantes!$C$38,AJ60-1,0),0))</f>
        <v>0</v>
      </c>
      <c r="AK297" s="112">
        <f ca="1">Constantes!$O13*(1+$AJ$289+$AJ$290+IF(AK60&lt;&gt;0,OFFSET(Constantes!$C$38,AK60-1,0),0))</f>
        <v>0</v>
      </c>
      <c r="AL297" s="112">
        <f ca="1">Constantes!$P13*(1+$AJ$289+$AJ$290+IF(AL60&lt;&gt;0,OFFSET(Constantes!$C$38,AL60-1,0),0))</f>
        <v>0</v>
      </c>
      <c r="AS297" s="17"/>
      <c r="AT297" s="57" t="s">
        <v>8</v>
      </c>
      <c r="AU297" s="112">
        <f ca="1">Constantes!$N13*(1+$AU$289+$AU$290+IF(AU60&lt;&gt;0,OFFSET(Constantes!$C$38,AU60-1,0),0))</f>
        <v>0</v>
      </c>
      <c r="AV297" s="112">
        <f ca="1">Constantes!$O13*(1+$AU$289+$AU$290+IF(AV60&lt;&gt;0,OFFSET(Constantes!$C$38,AV60-1,0),0))</f>
        <v>0</v>
      </c>
      <c r="AW297" s="112">
        <f ca="1">Constantes!$P13*(1+$AU$289+$AU$290+IF(AW60&lt;&gt;0,OFFSET(Constantes!$C$38,AW60-1,0),0))</f>
        <v>0</v>
      </c>
    </row>
    <row r="298" spans="1:49" ht="21" customHeight="1" thickBot="1" x14ac:dyDescent="0.3">
      <c r="A298" s="15"/>
      <c r="B298" s="56" t="s">
        <v>157</v>
      </c>
      <c r="C298" s="267">
        <f ca="1">Constantes!$N14*(1+$C$289+$C$290+IF(C61&lt;&gt;0,OFFSET(Constantes!$C$38,C61-1,0),0))</f>
        <v>0</v>
      </c>
      <c r="D298" s="268">
        <f ca="1">Constantes!$O14*(1+$C$289+$C$290+IF(D61&lt;&gt;0,OFFSET(Constantes!$C$38,D61-1,0),0))</f>
        <v>0</v>
      </c>
      <c r="E298" s="269">
        <f ca="1">Constantes!$P14*(1+$C$289+$C$290+IF(E61&lt;&gt;0,OFFSET(Constantes!$C$38,E61-1,0),0))</f>
        <v>0</v>
      </c>
      <c r="L298" s="15"/>
      <c r="M298" s="56" t="s">
        <v>157</v>
      </c>
      <c r="N298" s="112">
        <f ca="1">Constantes!$N14*(1+$N$289+$N$290+IF(N61&lt;&gt;0,OFFSET(Constantes!$C$38,N61-1,0),0))</f>
        <v>0</v>
      </c>
      <c r="O298" s="112">
        <f ca="1">Constantes!$O14*(1+$N$289+$N$290+IF(O61&lt;&gt;0,OFFSET(Constantes!$C$38,O61-1,0),0))</f>
        <v>0</v>
      </c>
      <c r="P298" s="112">
        <f ca="1">Constantes!$P14*(1+$N$289+$N$290+IF(P61&lt;&gt;0,OFFSET(Constantes!$C$38,P61-1,0),0))</f>
        <v>0</v>
      </c>
      <c r="W298" s="15"/>
      <c r="X298" s="56" t="s">
        <v>157</v>
      </c>
      <c r="Y298" s="112">
        <f ca="1">Constantes!$N14*(1+$Y$289+$Y$290+IF(Y61&lt;&gt;0,OFFSET(Constantes!$C$38,Y61-1,0),0))</f>
        <v>0</v>
      </c>
      <c r="Z298" s="112">
        <f ca="1">Constantes!$O14*(1+$Y$289+$Y$290+IF(Z61&lt;&gt;0,OFFSET(Constantes!$C$38,Z61-1,0),0))</f>
        <v>0</v>
      </c>
      <c r="AA298" s="112">
        <f ca="1">Constantes!$P14*(1+$Y$289+$Y$290+IF(AA61&lt;&gt;0,OFFSET(Constantes!$C$38,AA61-1,0),0))</f>
        <v>0</v>
      </c>
      <c r="AH298" s="15"/>
      <c r="AI298" s="56" t="s">
        <v>157</v>
      </c>
      <c r="AJ298" s="112">
        <f ca="1">Constantes!$N14*(1+$AJ$289+$AJ$290+IF(AJ61&lt;&gt;0,OFFSET(Constantes!$C$38,AJ61-1,0),0))</f>
        <v>0</v>
      </c>
      <c r="AK298" s="112">
        <f ca="1">Constantes!$O14*(1+$AJ$289+$AJ$290+IF(AK61&lt;&gt;0,OFFSET(Constantes!$C$38,AK61-1,0),0))</f>
        <v>0</v>
      </c>
      <c r="AL298" s="112">
        <f ca="1">Constantes!$P14*(1+$AJ$289+$AJ$290+IF(AL61&lt;&gt;0,OFFSET(Constantes!$C$38,AL61-1,0),0))</f>
        <v>0</v>
      </c>
      <c r="AS298" s="15"/>
      <c r="AT298" s="56" t="s">
        <v>157</v>
      </c>
      <c r="AU298" s="112">
        <f ca="1">Constantes!$N14*(1+$AU$289+$AU$290+IF(AU61&lt;&gt;0,OFFSET(Constantes!$C$38,AU61-1,0),0))</f>
        <v>0</v>
      </c>
      <c r="AV298" s="112">
        <f ca="1">Constantes!$O14*(1+$AU$289+$AU$290+IF(AV61&lt;&gt;0,OFFSET(Constantes!$C$38,AV61-1,0),0))</f>
        <v>0</v>
      </c>
      <c r="AW298" s="112">
        <f ca="1">Constantes!$P14*(1+$AU$289+$AU$290+IF(AW61&lt;&gt;0,OFFSET(Constantes!$C$38,AW61-1,0),0))</f>
        <v>0</v>
      </c>
    </row>
    <row r="299" spans="1:49" ht="21" customHeight="1" x14ac:dyDescent="0.25">
      <c r="A299" s="12" t="s">
        <v>9</v>
      </c>
      <c r="B299" s="54" t="s">
        <v>32</v>
      </c>
      <c r="C299" s="264">
        <f ca="1">Constantes!$N15*(1+$C$289+$C$290+IF(C62&lt;&gt;0,OFFSET(Constantes!$C$38,C62-1,0),0))</f>
        <v>100</v>
      </c>
      <c r="D299" s="265">
        <f ca="1">Constantes!$O15*(1+$C$289+$C$290+IF(D62&lt;&gt;0,OFFSET(Constantes!$C$38,D62-1,0),0))</f>
        <v>100</v>
      </c>
      <c r="E299" s="266">
        <f ca="1">Constantes!$P15*(1+$C$289+$C$290+IF(E62&lt;&gt;0,OFFSET(Constantes!$C$38,E62-1,0),0))</f>
        <v>100</v>
      </c>
      <c r="L299" s="12" t="s">
        <v>9</v>
      </c>
      <c r="M299" s="54" t="s">
        <v>32</v>
      </c>
      <c r="N299" s="112">
        <f ca="1">Constantes!$N15*(1+$N$289+$N$290+IF(N62&lt;&gt;0,OFFSET(Constantes!$C$38,N62-1,0),0))</f>
        <v>100</v>
      </c>
      <c r="O299" s="112">
        <f ca="1">Constantes!$O15*(1+$N$289+$N$290+IF(O62&lt;&gt;0,OFFSET(Constantes!$C$38,O62-1,0),0))</f>
        <v>100</v>
      </c>
      <c r="P299" s="112">
        <f ca="1">Constantes!$P15*(1+$N$289+$N$290+IF(P62&lt;&gt;0,OFFSET(Constantes!$C$38,P62-1,0),0))</f>
        <v>100</v>
      </c>
      <c r="W299" s="12" t="s">
        <v>9</v>
      </c>
      <c r="X299" s="54" t="s">
        <v>32</v>
      </c>
      <c r="Y299" s="112">
        <f ca="1">Constantes!$N15*(1+$Y$289+$Y$290+IF(Y62&lt;&gt;0,OFFSET(Constantes!$C$38,Y62-1,0),0))</f>
        <v>105</v>
      </c>
      <c r="Z299" s="112">
        <f ca="1">Constantes!$O15*(1+$Y$289+$Y$290+IF(Z62&lt;&gt;0,OFFSET(Constantes!$C$38,Z62-1,0),0))</f>
        <v>105</v>
      </c>
      <c r="AA299" s="112">
        <f ca="1">Constantes!$P15*(1+$Y$289+$Y$290+IF(AA62&lt;&gt;0,OFFSET(Constantes!$C$38,AA62-1,0),0))</f>
        <v>105</v>
      </c>
      <c r="AH299" s="12" t="s">
        <v>9</v>
      </c>
      <c r="AI299" s="54" t="s">
        <v>32</v>
      </c>
      <c r="AJ299" s="112">
        <f ca="1">Constantes!$N15*(1+$AJ$289+$AJ$290+IF(AJ62&lt;&gt;0,OFFSET(Constantes!$C$38,AJ62-1,0),0))</f>
        <v>105</v>
      </c>
      <c r="AK299" s="112">
        <f ca="1">Constantes!$O15*(1+$AJ$289+$AJ$290+IF(AK62&lt;&gt;0,OFFSET(Constantes!$C$38,AK62-1,0),0))</f>
        <v>105</v>
      </c>
      <c r="AL299" s="112">
        <f ca="1">Constantes!$P15*(1+$AJ$289+$AJ$290+IF(AL62&lt;&gt;0,OFFSET(Constantes!$C$38,AL62-1,0),0))</f>
        <v>105</v>
      </c>
      <c r="AS299" s="12" t="s">
        <v>9</v>
      </c>
      <c r="AT299" s="54" t="s">
        <v>32</v>
      </c>
      <c r="AU299" s="112">
        <f ca="1">Constantes!$N15*(1+$AU$289+$AU$290+IF(AU62&lt;&gt;0,OFFSET(Constantes!$C$38,AU62-1,0),0))</f>
        <v>105</v>
      </c>
      <c r="AV299" s="112">
        <f ca="1">Constantes!$O15*(1+$AU$289+$AU$290+IF(AV62&lt;&gt;0,OFFSET(Constantes!$C$38,AV62-1,0),0))</f>
        <v>115.00000000000001</v>
      </c>
      <c r="AW299" s="112">
        <f ca="1">Constantes!$P15*(1+$AU$289+$AU$290+IF(AW62&lt;&gt;0,OFFSET(Constantes!$C$38,AW62-1,0),0))</f>
        <v>105</v>
      </c>
    </row>
    <row r="300" spans="1:49" ht="21" customHeight="1" thickBot="1" x14ac:dyDescent="0.3">
      <c r="A300" s="15"/>
      <c r="B300" s="56" t="s">
        <v>10</v>
      </c>
      <c r="C300" s="267">
        <f ca="1">Constantes!$N16*(1+$C$289+$C$290+IF(C63&lt;&gt;0,OFFSET(Constantes!$C$38,C63-1,0),0))</f>
        <v>20</v>
      </c>
      <c r="D300" s="268">
        <f ca="1">Constantes!$O16*(1+$C$289+$C$290+IF(D63&lt;&gt;0,OFFSET(Constantes!$C$38,D63-1,0),0))</f>
        <v>40</v>
      </c>
      <c r="E300" s="269">
        <f ca="1">Constantes!$P16*(1+$C$289+$C$290+IF(E63&lt;&gt;0,OFFSET(Constantes!$C$38,E63-1,0),0))</f>
        <v>65</v>
      </c>
      <c r="L300" s="15"/>
      <c r="M300" s="56" t="s">
        <v>10</v>
      </c>
      <c r="N300" s="112">
        <f ca="1">Constantes!$N16*(1+$N$289+$N$290+IF(N63&lt;&gt;0,OFFSET(Constantes!$C$38,N63-1,0),0))</f>
        <v>20</v>
      </c>
      <c r="O300" s="112">
        <f ca="1">Constantes!$O16*(1+$N$289+$N$290+IF(O63&lt;&gt;0,OFFSET(Constantes!$C$38,O63-1,0),0))</f>
        <v>40</v>
      </c>
      <c r="P300" s="112">
        <f ca="1">Constantes!$P16*(1+$N$289+$N$290+IF(P63&lt;&gt;0,OFFSET(Constantes!$C$38,P63-1,0),0))</f>
        <v>71.5</v>
      </c>
      <c r="W300" s="15"/>
      <c r="X300" s="56" t="s">
        <v>10</v>
      </c>
      <c r="Y300" s="112">
        <f ca="1">Constantes!$N16*(1+$Y$289+$Y$290+IF(Y63&lt;&gt;0,OFFSET(Constantes!$C$38,Y63-1,0),0))</f>
        <v>21</v>
      </c>
      <c r="Z300" s="112">
        <f ca="1">Constantes!$O16*(1+$Y$289+$Y$290+IF(Z63&lt;&gt;0,OFFSET(Constantes!$C$38,Z63-1,0),0))</f>
        <v>46.000000000000007</v>
      </c>
      <c r="AA300" s="112">
        <f ca="1">Constantes!$P16*(1+$Y$289+$Y$290+IF(AA63&lt;&gt;0,OFFSET(Constantes!$C$38,AA63-1,0),0))</f>
        <v>74.750000000000014</v>
      </c>
      <c r="AH300" s="15"/>
      <c r="AI300" s="56" t="s">
        <v>10</v>
      </c>
      <c r="AJ300" s="112">
        <f ca="1">Constantes!$N16*(1+$AJ$289+$AJ$290+IF(AJ63&lt;&gt;0,OFFSET(Constantes!$C$38,AJ63-1,0),0))</f>
        <v>21</v>
      </c>
      <c r="AK300" s="112">
        <f ca="1">Constantes!$O16*(1+$AJ$289+$AJ$290+IF(AK63&lt;&gt;0,OFFSET(Constantes!$C$38,AK63-1,0),0))</f>
        <v>46.000000000000007</v>
      </c>
      <c r="AL300" s="112">
        <f ca="1">Constantes!$P16*(1+$AJ$289+$AJ$290+IF(AL63&lt;&gt;0,OFFSET(Constantes!$C$38,AL63-1,0),0))</f>
        <v>74.750000000000014</v>
      </c>
      <c r="AS300" s="15"/>
      <c r="AT300" s="56" t="s">
        <v>10</v>
      </c>
      <c r="AU300" s="112">
        <f ca="1">Constantes!$N16*(1+$AU$289+$AU$290+IF(AU63&lt;&gt;0,OFFSET(Constantes!$C$38,AU63-1,0),0))</f>
        <v>21</v>
      </c>
      <c r="AV300" s="112">
        <f ca="1">Constantes!$O16*(1+$AU$289+$AU$290+IF(AV63&lt;&gt;0,OFFSET(Constantes!$C$38,AV63-1,0),0))</f>
        <v>46.000000000000007</v>
      </c>
      <c r="AW300" s="112">
        <f ca="1">Constantes!$P16*(1+$AU$289+$AU$290+IF(AW63&lt;&gt;0,OFFSET(Constantes!$C$38,AW63-1,0),0))</f>
        <v>74.750000000000014</v>
      </c>
    </row>
    <row r="301" spans="1:49" ht="21" customHeight="1" x14ac:dyDescent="0.25">
      <c r="A301" s="12" t="s">
        <v>11</v>
      </c>
      <c r="B301" s="54" t="s">
        <v>33</v>
      </c>
      <c r="C301" s="264">
        <f ca="1">Constantes!$N17*(1+$C$289+$C$290+IF(C64&lt;&gt;0,OFFSET(Constantes!$C$38,C64-1,0),0))</f>
        <v>20</v>
      </c>
      <c r="D301" s="265">
        <f ca="1">Constantes!$O17*(1+$C$289+$C$290+IF(D64&lt;&gt;0,OFFSET(Constantes!$C$38,D64-1,0),0))</f>
        <v>25</v>
      </c>
      <c r="E301" s="266">
        <f ca="1">Constantes!$P17*(1+$C$289+$C$290+IF(E64&lt;&gt;0,OFFSET(Constantes!$C$38,E64-1,0),0))</f>
        <v>50</v>
      </c>
      <c r="L301" s="12" t="s">
        <v>11</v>
      </c>
      <c r="M301" s="54" t="s">
        <v>33</v>
      </c>
      <c r="N301" s="112">
        <f ca="1">Constantes!$N17*(1+$N$289+$N$290+IF(N64&lt;&gt;0,OFFSET(Constantes!$C$38,N64-1,0),0))</f>
        <v>20</v>
      </c>
      <c r="O301" s="112">
        <f ca="1">Constantes!$O17*(1+$N$289+$N$290+IF(O64&lt;&gt;0,OFFSET(Constantes!$C$38,O64-1,0),0))</f>
        <v>27.500000000000004</v>
      </c>
      <c r="P301" s="112">
        <f ca="1">Constantes!$P17*(1+$N$289+$N$290+IF(P64&lt;&gt;0,OFFSET(Constantes!$C$38,P64-1,0),0))</f>
        <v>50</v>
      </c>
      <c r="W301" s="12" t="s">
        <v>11</v>
      </c>
      <c r="X301" s="54" t="s">
        <v>33</v>
      </c>
      <c r="Y301" s="112">
        <f ca="1">Constantes!$N17*(1+$Y$289+$Y$290+IF(Y64&lt;&gt;0,OFFSET(Constantes!$C$38,Y64-1,0),0))</f>
        <v>21</v>
      </c>
      <c r="Z301" s="112">
        <f ca="1">Constantes!$O17*(1+$Y$289+$Y$290+IF(Z64&lt;&gt;0,OFFSET(Constantes!$C$38,Z64-1,0),0))</f>
        <v>28.750000000000004</v>
      </c>
      <c r="AA301" s="112">
        <f ca="1">Constantes!$P17*(1+$Y$289+$Y$290+IF(AA64&lt;&gt;0,OFFSET(Constantes!$C$38,AA64-1,0),0))</f>
        <v>52.5</v>
      </c>
      <c r="AH301" s="12" t="s">
        <v>11</v>
      </c>
      <c r="AI301" s="54" t="s">
        <v>33</v>
      </c>
      <c r="AJ301" s="112">
        <f ca="1">Constantes!$N17*(1+$AJ$289+$AJ$290+IF(AJ64&lt;&gt;0,OFFSET(Constantes!$C$38,AJ64-1,0),0))</f>
        <v>21</v>
      </c>
      <c r="AK301" s="112">
        <f ca="1">Constantes!$O17*(1+$AJ$289+$AJ$290+IF(AK64&lt;&gt;0,OFFSET(Constantes!$C$38,AK64-1,0),0))</f>
        <v>28.750000000000004</v>
      </c>
      <c r="AL301" s="112">
        <f ca="1">Constantes!$P17*(1+$AJ$289+$AJ$290+IF(AL64&lt;&gt;0,OFFSET(Constantes!$C$38,AL64-1,0),0))</f>
        <v>52.5</v>
      </c>
      <c r="AS301" s="12" t="s">
        <v>11</v>
      </c>
      <c r="AT301" s="54" t="s">
        <v>33</v>
      </c>
      <c r="AU301" s="112">
        <f ca="1">Constantes!$N17*(1+$AU$289+$AU$290+IF(AU64&lt;&gt;0,OFFSET(Constantes!$C$38,AU64-1,0),0))</f>
        <v>21</v>
      </c>
      <c r="AV301" s="112">
        <f ca="1">Constantes!$O17*(1+$AU$289+$AU$290+IF(AV64&lt;&gt;0,OFFSET(Constantes!$C$38,AV64-1,0),0))</f>
        <v>28.750000000000004</v>
      </c>
      <c r="AW301" s="112">
        <f ca="1">Constantes!$P17*(1+$AU$289+$AU$290+IF(AW64&lt;&gt;0,OFFSET(Constantes!$C$38,AW64-1,0),0))</f>
        <v>52.5</v>
      </c>
    </row>
    <row r="302" spans="1:49" ht="21" customHeight="1" x14ac:dyDescent="0.25">
      <c r="A302" s="17"/>
      <c r="B302" s="57" t="s">
        <v>34</v>
      </c>
      <c r="C302" s="270">
        <f ca="1">Constantes!$N18*(1+$C$289+$C$290+IF(C65&lt;&gt;0,OFFSET(Constantes!$C$38,C65-1,0),0))</f>
        <v>20</v>
      </c>
      <c r="D302" s="147">
        <f ca="1">Constantes!$O18*(1+$C$289+$C$290+IF(D65&lt;&gt;0,OFFSET(Constantes!$C$38,D65-1,0),0))</f>
        <v>27.500000000000004</v>
      </c>
      <c r="E302" s="271">
        <f ca="1">Constantes!$P18*(1+$C$289+$C$290+IF(E65&lt;&gt;0,OFFSET(Constantes!$C$38,E65-1,0),0))</f>
        <v>25</v>
      </c>
      <c r="L302" s="17"/>
      <c r="M302" s="57" t="s">
        <v>34</v>
      </c>
      <c r="N302" s="112">
        <f ca="1">Constantes!$N18*(1+$N$289+$N$290+IF(N65&lt;&gt;0,OFFSET(Constantes!$C$38,N65-1,0),0))</f>
        <v>20</v>
      </c>
      <c r="O302" s="112">
        <f ca="1">Constantes!$O18*(1+$N$289+$N$290+IF(O65&lt;&gt;0,OFFSET(Constantes!$C$38,O65-1,0),0))</f>
        <v>27.500000000000004</v>
      </c>
      <c r="P302" s="112">
        <f ca="1">Constantes!$P18*(1+$N$289+$N$290+IF(P65&lt;&gt;0,OFFSET(Constantes!$C$38,P65-1,0),0))</f>
        <v>25</v>
      </c>
      <c r="W302" s="17"/>
      <c r="X302" s="57" t="s">
        <v>34</v>
      </c>
      <c r="Y302" s="112">
        <f ca="1">Constantes!$N18*(1+$Y$289+$Y$290+IF(Y65&lt;&gt;0,OFFSET(Constantes!$C$38,Y65-1,0),0))</f>
        <v>21</v>
      </c>
      <c r="Z302" s="112">
        <f ca="1">Constantes!$O18*(1+$Y$289+$Y$290+IF(Z65&lt;&gt;0,OFFSET(Constantes!$C$38,Z65-1,0),0))</f>
        <v>28.750000000000004</v>
      </c>
      <c r="AA302" s="112">
        <f ca="1">Constantes!$P18*(1+$Y$289+$Y$290+IF(AA65&lt;&gt;0,OFFSET(Constantes!$C$38,AA65-1,0),0))</f>
        <v>26.25</v>
      </c>
      <c r="AH302" s="17"/>
      <c r="AI302" s="57" t="s">
        <v>34</v>
      </c>
      <c r="AJ302" s="112">
        <f ca="1">Constantes!$N18*(1+$AJ$289+$AJ$290+IF(AJ65&lt;&gt;0,OFFSET(Constantes!$C$38,AJ65-1,0),0))</f>
        <v>21</v>
      </c>
      <c r="AK302" s="112">
        <f ca="1">Constantes!$O18*(1+$AJ$289+$AJ$290+IF(AK65&lt;&gt;0,OFFSET(Constantes!$C$38,AK65-1,0),0))</f>
        <v>28.750000000000004</v>
      </c>
      <c r="AL302" s="112">
        <f ca="1">Constantes!$P18*(1+$AJ$289+$AJ$290+IF(AL65&lt;&gt;0,OFFSET(Constantes!$C$38,AL65-1,0),0))</f>
        <v>26.25</v>
      </c>
      <c r="AS302" s="17"/>
      <c r="AT302" s="57" t="s">
        <v>34</v>
      </c>
      <c r="AU302" s="112">
        <f ca="1">Constantes!$N18*(1+$AU$289+$AU$290+IF(AU65&lt;&gt;0,OFFSET(Constantes!$C$38,AU65-1,0),0))</f>
        <v>21</v>
      </c>
      <c r="AV302" s="112">
        <f ca="1">Constantes!$O18*(1+$AU$289+$AU$290+IF(AV65&lt;&gt;0,OFFSET(Constantes!$C$38,AV65-1,0),0))</f>
        <v>28.750000000000004</v>
      </c>
      <c r="AW302" s="112">
        <f ca="1">Constantes!$P18*(1+$AU$289+$AU$290+IF(AW65&lt;&gt;0,OFFSET(Constantes!$C$38,AW65-1,0),0))</f>
        <v>26.25</v>
      </c>
    </row>
    <row r="303" spans="1:49" ht="21" customHeight="1" thickBot="1" x14ac:dyDescent="0.3">
      <c r="A303" s="15"/>
      <c r="B303" s="56" t="s">
        <v>12</v>
      </c>
      <c r="C303" s="267">
        <f ca="1">Constantes!$N19*(1+$C$289+$C$290+IF(C66&lt;&gt;0,OFFSET(Constantes!$C$38,C66-1,0),0))</f>
        <v>75</v>
      </c>
      <c r="D303" s="268">
        <f ca="1">Constantes!$O19*(1+$C$289+$C$290+IF(D66&lt;&gt;0,OFFSET(Constantes!$C$38,D66-1,0),0))</f>
        <v>75</v>
      </c>
      <c r="E303" s="269">
        <f ca="1">Constantes!$P19*(1+$C$289+$C$290+IF(E66&lt;&gt;0,OFFSET(Constantes!$C$38,E66-1,0),0))</f>
        <v>75</v>
      </c>
      <c r="L303" s="15"/>
      <c r="M303" s="56" t="s">
        <v>12</v>
      </c>
      <c r="N303" s="112">
        <f ca="1">Constantes!$N19*(1+$N$289+$N$290+IF(N66&lt;&gt;0,OFFSET(Constantes!$C$38,N66-1,0),0))</f>
        <v>75</v>
      </c>
      <c r="O303" s="112">
        <f ca="1">Constantes!$O19*(1+$N$289+$N$290+IF(O66&lt;&gt;0,OFFSET(Constantes!$C$38,O66-1,0),0))</f>
        <v>75</v>
      </c>
      <c r="P303" s="112">
        <f ca="1">Constantes!$P19*(1+$N$289+$N$290+IF(P66&lt;&gt;0,OFFSET(Constantes!$C$38,P66-1,0),0))</f>
        <v>75</v>
      </c>
      <c r="W303" s="15"/>
      <c r="X303" s="56" t="s">
        <v>12</v>
      </c>
      <c r="Y303" s="112">
        <f ca="1">Constantes!$N19*(1+$Y$289+$Y$290+IF(Y66&lt;&gt;0,OFFSET(Constantes!$C$38,Y66-1,0),0))</f>
        <v>78.75</v>
      </c>
      <c r="Z303" s="112">
        <f ca="1">Constantes!$O19*(1+$Y$289+$Y$290+IF(Z66&lt;&gt;0,OFFSET(Constantes!$C$38,Z66-1,0),0))</f>
        <v>78.75</v>
      </c>
      <c r="AA303" s="112">
        <f ca="1">Constantes!$P19*(1+$Y$289+$Y$290+IF(AA66&lt;&gt;0,OFFSET(Constantes!$C$38,AA66-1,0),0))</f>
        <v>78.75</v>
      </c>
      <c r="AH303" s="15"/>
      <c r="AI303" s="56" t="s">
        <v>12</v>
      </c>
      <c r="AJ303" s="112">
        <f ca="1">Constantes!$N19*(1+$AJ$289+$AJ$290+IF(AJ66&lt;&gt;0,OFFSET(Constantes!$C$38,AJ66-1,0),0))</f>
        <v>78.75</v>
      </c>
      <c r="AK303" s="112">
        <f ca="1">Constantes!$O19*(1+$AJ$289+$AJ$290+IF(AK66&lt;&gt;0,OFFSET(Constantes!$C$38,AK66-1,0),0))</f>
        <v>78.75</v>
      </c>
      <c r="AL303" s="112">
        <f ca="1">Constantes!$P19*(1+$AJ$289+$AJ$290+IF(AL66&lt;&gt;0,OFFSET(Constantes!$C$38,AL66-1,0),0))</f>
        <v>78.75</v>
      </c>
      <c r="AS303" s="15"/>
      <c r="AT303" s="56" t="s">
        <v>12</v>
      </c>
      <c r="AU303" s="112">
        <f ca="1">Constantes!$N19*(1+$AU$289+$AU$290+IF(AU66&lt;&gt;0,OFFSET(Constantes!$C$38,AU66-1,0),0))</f>
        <v>78.75</v>
      </c>
      <c r="AV303" s="112">
        <f ca="1">Constantes!$O19*(1+$AU$289+$AU$290+IF(AV66&lt;&gt;0,OFFSET(Constantes!$C$38,AV66-1,0),0))</f>
        <v>78.75</v>
      </c>
      <c r="AW303" s="112">
        <f ca="1">Constantes!$P19*(1+$AU$289+$AU$290+IF(AW66&lt;&gt;0,OFFSET(Constantes!$C$38,AW66-1,0),0))</f>
        <v>86.250000000000014</v>
      </c>
    </row>
    <row r="304" spans="1:49" ht="21" customHeight="1" x14ac:dyDescent="0.25"/>
    <row r="305" spans="1:49" ht="21" customHeight="1" x14ac:dyDescent="0.25">
      <c r="A305" s="749"/>
      <c r="B305" s="757" t="s">
        <v>256</v>
      </c>
      <c r="M305" s="36" t="s">
        <v>256</v>
      </c>
      <c r="X305" s="36" t="s">
        <v>256</v>
      </c>
      <c r="AI305" s="36" t="s">
        <v>256</v>
      </c>
      <c r="AT305" s="36" t="s">
        <v>256</v>
      </c>
    </row>
    <row r="306" spans="1:49" ht="21" customHeight="1" thickBot="1" x14ac:dyDescent="0.3">
      <c r="C306" s="75" t="str">
        <f>C293</f>
        <v>junior</v>
      </c>
      <c r="D306" s="75" t="str">
        <f>D293</f>
        <v>senior</v>
      </c>
      <c r="E306" s="75" t="str">
        <f>E293</f>
        <v>premium</v>
      </c>
      <c r="N306" s="221" t="str">
        <f>N293</f>
        <v>junior</v>
      </c>
      <c r="O306" s="221" t="str">
        <f>O293</f>
        <v>senior</v>
      </c>
      <c r="P306" s="221" t="str">
        <f>P293</f>
        <v>premium</v>
      </c>
      <c r="Y306" s="286" t="str">
        <f>Y293</f>
        <v>junior</v>
      </c>
      <c r="Z306" s="286" t="str">
        <f>Z293</f>
        <v>senior</v>
      </c>
      <c r="AA306" s="286" t="str">
        <f>AA293</f>
        <v>premium</v>
      </c>
      <c r="AJ306" s="286" t="str">
        <f>AJ293</f>
        <v>junior</v>
      </c>
      <c r="AK306" s="286" t="str">
        <f>AK293</f>
        <v>senior</v>
      </c>
      <c r="AL306" s="286" t="str">
        <f>AL293</f>
        <v>premium</v>
      </c>
      <c r="AU306" s="287" t="str">
        <f>AU293</f>
        <v>junior</v>
      </c>
      <c r="AV306" s="287" t="str">
        <f>AV293</f>
        <v>senior</v>
      </c>
      <c r="AW306" s="287" t="str">
        <f>AW293</f>
        <v>premium</v>
      </c>
    </row>
    <row r="307" spans="1:49" ht="21" customHeight="1" x14ac:dyDescent="0.25">
      <c r="A307" s="12" t="s">
        <v>4</v>
      </c>
      <c r="B307" s="54" t="s">
        <v>5</v>
      </c>
      <c r="C307" s="264">
        <f ca="1">Constantes!$Q10*(1+$C$289+$C$290+IF(C57&lt;&gt;0,OFFSET(Constantes!$C$38,C57-1,0),0))</f>
        <v>2500</v>
      </c>
      <c r="D307" s="265">
        <f ca="1">Constantes!$R10*(1+$C$289+$C$290+IF(D57&lt;&gt;0,OFFSET(Constantes!$C$38,D57-1,0),0))</f>
        <v>4400</v>
      </c>
      <c r="E307" s="266">
        <f ca="1">Constantes!$S10*(1+$C$289+$C$290+IF(E57&lt;&gt;0,OFFSET(Constantes!$C$38,E57-1,0),0))</f>
        <v>7700.0000000000009</v>
      </c>
      <c r="L307" s="12" t="s">
        <v>4</v>
      </c>
      <c r="M307" s="54" t="s">
        <v>5</v>
      </c>
      <c r="N307" s="147">
        <f ca="1">Constantes!$Q10*(1+$N$289+$N$290+IF(N57&lt;&gt;0,OFFSET(Constantes!$C$38,N57-1,0),0))</f>
        <v>2500</v>
      </c>
      <c r="O307" s="147">
        <f ca="1">Constantes!$R10*(1+$N$289+$N$290+IF(O57&lt;&gt;0,OFFSET(Constantes!$C$38,O57-1,0),0))</f>
        <v>4400</v>
      </c>
      <c r="P307" s="147">
        <f ca="1">Constantes!$S10*(1+$N$289+$N$290+IF(P57&lt;&gt;0,OFFSET(Constantes!$C$38,P57-1,0),0))</f>
        <v>7700.0000000000009</v>
      </c>
      <c r="W307" s="12" t="s">
        <v>4</v>
      </c>
      <c r="X307" s="54" t="s">
        <v>5</v>
      </c>
      <c r="Y307" s="147">
        <f ca="1">Constantes!$Q10*(1+$Y$289+$Y$290+IF(Y57&lt;&gt;0,OFFSET(Constantes!$C$38,Y57-1,0),0))</f>
        <v>2625</v>
      </c>
      <c r="Z307" s="147">
        <f ca="1">Constantes!$R10*(1+$Y$289+$Y$290+IF(Z57&lt;&gt;0,OFFSET(Constantes!$C$38,Z57-1,0),0))</f>
        <v>4600.0000000000009</v>
      </c>
      <c r="AA307" s="147">
        <f ca="1">Constantes!$S10*(1+$Y$289+$Y$290+IF(AA57&lt;&gt;0,OFFSET(Constantes!$C$38,AA57-1,0),0))</f>
        <v>8050.0000000000009</v>
      </c>
      <c r="AH307" s="12" t="s">
        <v>4</v>
      </c>
      <c r="AI307" s="54" t="s">
        <v>5</v>
      </c>
      <c r="AJ307" s="147">
        <f ca="1">Constantes!$Q10*(1+$AJ$289+$AJ$290+IF(AJ57&lt;&gt;0,OFFSET(Constantes!$C$38,AJ57-1,0),0))</f>
        <v>2625</v>
      </c>
      <c r="AK307" s="147">
        <f ca="1">Constantes!$R10*(1+$AJ$289+$AJ$290+IF(AK57&lt;&gt;0,OFFSET(Constantes!$C$38,AK57-1,0),0))</f>
        <v>4600.0000000000009</v>
      </c>
      <c r="AL307" s="147">
        <f ca="1">Constantes!$S10*(1+$AJ$289+$AJ$290+IF(AL57&lt;&gt;0,OFFSET(Constantes!$C$38,AL57-1,0),0))</f>
        <v>8050.0000000000009</v>
      </c>
      <c r="AS307" s="12" t="s">
        <v>4</v>
      </c>
      <c r="AT307" s="54" t="s">
        <v>5</v>
      </c>
      <c r="AU307" s="147">
        <f ca="1">Constantes!$Q10*(1+$AU$289+$AU$290+IF(AU57&lt;&gt;0,OFFSET(Constantes!$C$38,AU57-1,0),0))</f>
        <v>2875.0000000000005</v>
      </c>
      <c r="AV307" s="147">
        <f ca="1">Constantes!$R10*(1+$AU$289+$AU$290+IF(AV57&lt;&gt;0,OFFSET(Constantes!$C$38,AV57-1,0),0))</f>
        <v>4600.0000000000009</v>
      </c>
      <c r="AW307" s="147">
        <f ca="1">Constantes!$S10*(1+$AU$289+$AU$290+IF(AW57&lt;&gt;0,OFFSET(Constantes!$C$38,AW57-1,0),0))</f>
        <v>8050.0000000000009</v>
      </c>
    </row>
    <row r="308" spans="1:49" ht="21" customHeight="1" thickBot="1" x14ac:dyDescent="0.3">
      <c r="A308" s="15"/>
      <c r="B308" s="56" t="s">
        <v>31</v>
      </c>
      <c r="C308" s="267">
        <f ca="1">Constantes!$Q11*(1+$C$289+$C$290+IF(C58&lt;&gt;0,OFFSET(Constantes!$C$38,C58-1,0),0))</f>
        <v>8000</v>
      </c>
      <c r="D308" s="268">
        <f ca="1">Constantes!$R11*(1+$C$289+$C$290+IF(D58&lt;&gt;0,OFFSET(Constantes!$C$38,D58-1,0),0))</f>
        <v>18000</v>
      </c>
      <c r="E308" s="269">
        <f ca="1">Constantes!$S11*(1+$C$289+$C$290+IF(E58&lt;&gt;0,OFFSET(Constantes!$C$38,E58-1,0),0))</f>
        <v>30000</v>
      </c>
      <c r="L308" s="15"/>
      <c r="M308" s="56" t="s">
        <v>31</v>
      </c>
      <c r="N308" s="147">
        <f ca="1">Constantes!$Q11*(1+$N$289+$N$290+IF(N58&lt;&gt;0,OFFSET(Constantes!$C$38,N58-1,0),0))</f>
        <v>8000</v>
      </c>
      <c r="O308" s="147">
        <f ca="1">Constantes!$R11*(1+$N$289+$N$290+IF(O58&lt;&gt;0,OFFSET(Constantes!$C$38,O58-1,0),0))</f>
        <v>18000</v>
      </c>
      <c r="P308" s="147">
        <f ca="1">Constantes!$S11*(1+$N$289+$N$290+IF(P58&lt;&gt;0,OFFSET(Constantes!$C$38,P58-1,0),0))</f>
        <v>33000</v>
      </c>
      <c r="W308" s="15"/>
      <c r="X308" s="56" t="s">
        <v>31</v>
      </c>
      <c r="Y308" s="147">
        <f ca="1">Constantes!$Q11*(1+$Y$289+$Y$290+IF(Y58&lt;&gt;0,OFFSET(Constantes!$C$38,Y58-1,0),0))</f>
        <v>8400</v>
      </c>
      <c r="Z308" s="147">
        <f ca="1">Constantes!$R11*(1+$Y$289+$Y$290+IF(Z58&lt;&gt;0,OFFSET(Constantes!$C$38,Z58-1,0),0))</f>
        <v>18900</v>
      </c>
      <c r="AA308" s="147">
        <f ca="1">Constantes!$S11*(1+$Y$289+$Y$290+IF(AA58&lt;&gt;0,OFFSET(Constantes!$C$38,AA58-1,0),0))</f>
        <v>34500.000000000007</v>
      </c>
      <c r="AH308" s="15"/>
      <c r="AI308" s="56" t="s">
        <v>31</v>
      </c>
      <c r="AJ308" s="147">
        <f ca="1">Constantes!$Q11*(1+$AJ$289+$AJ$290+IF(AJ58&lt;&gt;0,OFFSET(Constantes!$C$38,AJ58-1,0),0))</f>
        <v>8400</v>
      </c>
      <c r="AK308" s="147">
        <f ca="1">Constantes!$R11*(1+$AJ$289+$AJ$290+IF(AK58&lt;&gt;0,OFFSET(Constantes!$C$38,AK58-1,0),0))</f>
        <v>18900</v>
      </c>
      <c r="AL308" s="147">
        <f ca="1">Constantes!$S11*(1+$AJ$289+$AJ$290+IF(AL58&lt;&gt;0,OFFSET(Constantes!$C$38,AL58-1,0),0))</f>
        <v>34500.000000000007</v>
      </c>
      <c r="AS308" s="15"/>
      <c r="AT308" s="56" t="s">
        <v>31</v>
      </c>
      <c r="AU308" s="147">
        <f ca="1">Constantes!$Q11*(1+$AU$289+$AU$290+IF(AU58&lt;&gt;0,OFFSET(Constantes!$C$38,AU58-1,0),0))</f>
        <v>8400</v>
      </c>
      <c r="AV308" s="147">
        <f ca="1">Constantes!$R11*(1+$AU$289+$AU$290+IF(AV58&lt;&gt;0,OFFSET(Constantes!$C$38,AV58-1,0),0))</f>
        <v>18900</v>
      </c>
      <c r="AW308" s="147">
        <f ca="1">Constantes!$S11*(1+$AU$289+$AU$290+IF(AW58&lt;&gt;0,OFFSET(Constantes!$C$38,AW58-1,0),0))</f>
        <v>34500.000000000007</v>
      </c>
    </row>
    <row r="309" spans="1:49" ht="21" customHeight="1" x14ac:dyDescent="0.25">
      <c r="A309" s="12" t="s">
        <v>6</v>
      </c>
      <c r="B309" s="54" t="s">
        <v>7</v>
      </c>
      <c r="C309" s="264">
        <f ca="1">Constantes!$Q12*(1+$C$289+$C$290+IF(C59&lt;&gt;0,OFFSET(Constantes!$C$38,C59-1,0),0))</f>
        <v>100000</v>
      </c>
      <c r="D309" s="265">
        <f ca="1">Constantes!$R12*(1+$C$289+$C$290+IF(D59&lt;&gt;0,OFFSET(Constantes!$C$38,D59-1,0),0))</f>
        <v>150000</v>
      </c>
      <c r="E309" s="266">
        <f ca="1">Constantes!$S12*(1+$C$289+$C$290+IF(E59&lt;&gt;0,OFFSET(Constantes!$C$38,E59-1,0),0))</f>
        <v>275000</v>
      </c>
      <c r="L309" s="12" t="s">
        <v>6</v>
      </c>
      <c r="M309" s="54" t="s">
        <v>7</v>
      </c>
      <c r="N309" s="147">
        <f ca="1">Constantes!$Q12*(1+$N$289+$N$290+IF(N59&lt;&gt;0,OFFSET(Constantes!$C$38,N59-1,0),0))</f>
        <v>100000</v>
      </c>
      <c r="O309" s="147">
        <f ca="1">Constantes!$R12*(1+$N$289+$N$290+IF(O59&lt;&gt;0,OFFSET(Constantes!$C$38,O59-1,0),0))</f>
        <v>150000</v>
      </c>
      <c r="P309" s="147">
        <f ca="1">Constantes!$S12*(1+$N$289+$N$290+IF(P59&lt;&gt;0,OFFSET(Constantes!$C$38,P59-1,0),0))</f>
        <v>275000</v>
      </c>
      <c r="W309" s="12" t="s">
        <v>6</v>
      </c>
      <c r="X309" s="54" t="s">
        <v>7</v>
      </c>
      <c r="Y309" s="147">
        <f ca="1">Constantes!$Q12*(1+$Y$289+$Y$290+IF(Y59&lt;&gt;0,OFFSET(Constantes!$C$38,Y59-1,0),0))</f>
        <v>105000</v>
      </c>
      <c r="Z309" s="147">
        <f ca="1">Constantes!$R12*(1+$Y$289+$Y$290+IF(Z59&lt;&gt;0,OFFSET(Constantes!$C$38,Z59-1,0),0))</f>
        <v>172500.00000000003</v>
      </c>
      <c r="AA309" s="147">
        <f ca="1">Constantes!$S12*(1+$Y$289+$Y$290+IF(AA59&lt;&gt;0,OFFSET(Constantes!$C$38,AA59-1,0),0))</f>
        <v>287500.00000000006</v>
      </c>
      <c r="AH309" s="12" t="s">
        <v>6</v>
      </c>
      <c r="AI309" s="54" t="s">
        <v>7</v>
      </c>
      <c r="AJ309" s="147">
        <f ca="1">Constantes!$Q12*(1+$AJ$289+$AJ$290+IF(AJ59&lt;&gt;0,OFFSET(Constantes!$C$38,AJ59-1,0),0))</f>
        <v>105000</v>
      </c>
      <c r="AK309" s="147">
        <f ca="1">Constantes!$R12*(1+$AJ$289+$AJ$290+IF(AK59&lt;&gt;0,OFFSET(Constantes!$C$38,AK59-1,0),0))</f>
        <v>172500.00000000003</v>
      </c>
      <c r="AL309" s="147">
        <f ca="1">Constantes!$S12*(1+$AJ$289+$AJ$290+IF(AL59&lt;&gt;0,OFFSET(Constantes!$C$38,AL59-1,0),0))</f>
        <v>300000</v>
      </c>
      <c r="AS309" s="12" t="s">
        <v>6</v>
      </c>
      <c r="AT309" s="54" t="s">
        <v>7</v>
      </c>
      <c r="AU309" s="147">
        <f ca="1">Constantes!$Q12*(1+$AU$289+$AU$290+IF(AU59&lt;&gt;0,OFFSET(Constantes!$C$38,AU59-1,0),0))</f>
        <v>105000</v>
      </c>
      <c r="AV309" s="147">
        <f ca="1">Constantes!$R12*(1+$AU$289+$AU$290+IF(AV59&lt;&gt;0,OFFSET(Constantes!$C$38,AV59-1,0),0))</f>
        <v>180000</v>
      </c>
      <c r="AW309" s="147">
        <f ca="1">Constantes!$S12*(1+$AU$289+$AU$290+IF(AW59&lt;&gt;0,OFFSET(Constantes!$C$38,AW59-1,0),0))</f>
        <v>300000</v>
      </c>
    </row>
    <row r="310" spans="1:49" ht="21" customHeight="1" x14ac:dyDescent="0.25">
      <c r="A310" s="17"/>
      <c r="B310" s="57" t="s">
        <v>8</v>
      </c>
      <c r="C310" s="270">
        <f ca="1">Constantes!$Q13*(1+$C$289+$C$290+IF(C60&lt;&gt;0,OFFSET(Constantes!$C$38,C60-1,0),0))</f>
        <v>2000</v>
      </c>
      <c r="D310" s="147">
        <f ca="1">Constantes!$R13*(1+$C$289+$C$290+IF(D60&lt;&gt;0,OFFSET(Constantes!$C$38,D60-1,0),0))</f>
        <v>4000</v>
      </c>
      <c r="E310" s="271">
        <f ca="1">Constantes!$S13*(1+$C$289+$C$290+IF(E60&lt;&gt;0,OFFSET(Constantes!$C$38,E60-1,0),0))</f>
        <v>6000</v>
      </c>
      <c r="L310" s="17"/>
      <c r="M310" s="57" t="s">
        <v>8</v>
      </c>
      <c r="N310" s="147">
        <f ca="1">Constantes!$Q13*(1+$N$289+$N$290+IF(N60&lt;&gt;0,OFFSET(Constantes!$C$38,N60-1,0),0))</f>
        <v>2000</v>
      </c>
      <c r="O310" s="147">
        <f ca="1">Constantes!$R13*(1+$N$289+$N$290+IF(O60&lt;&gt;0,OFFSET(Constantes!$C$38,O60-1,0),0))</f>
        <v>4400</v>
      </c>
      <c r="P310" s="147">
        <f ca="1">Constantes!$S13*(1+$N$289+$N$290+IF(P60&lt;&gt;0,OFFSET(Constantes!$C$38,P60-1,0),0))</f>
        <v>6000</v>
      </c>
      <c r="W310" s="17"/>
      <c r="X310" s="57" t="s">
        <v>8</v>
      </c>
      <c r="Y310" s="147">
        <f ca="1">Constantes!$Q13*(1+$Y$289+$Y$290+IF(Y60&lt;&gt;0,OFFSET(Constantes!$C$38,Y60-1,0),0))</f>
        <v>2100</v>
      </c>
      <c r="Z310" s="147">
        <f ca="1">Constantes!$R13*(1+$Y$289+$Y$290+IF(Z60&lt;&gt;0,OFFSET(Constantes!$C$38,Z60-1,0),0))</f>
        <v>4600.0000000000009</v>
      </c>
      <c r="AA310" s="147">
        <f ca="1">Constantes!$S13*(1+$Y$289+$Y$290+IF(AA60&lt;&gt;0,OFFSET(Constantes!$C$38,AA60-1,0),0))</f>
        <v>6300</v>
      </c>
      <c r="AH310" s="17"/>
      <c r="AI310" s="57" t="s">
        <v>8</v>
      </c>
      <c r="AJ310" s="147">
        <f ca="1">Constantes!$Q13*(1+$AJ$289+$AJ$290+IF(AJ60&lt;&gt;0,OFFSET(Constantes!$C$38,AJ60-1,0),0))</f>
        <v>2100</v>
      </c>
      <c r="AK310" s="147">
        <f ca="1">Constantes!$R13*(1+$AJ$289+$AJ$290+IF(AK60&lt;&gt;0,OFFSET(Constantes!$C$38,AK60-1,0),0))</f>
        <v>4600.0000000000009</v>
      </c>
      <c r="AL310" s="147">
        <f ca="1">Constantes!$S13*(1+$AJ$289+$AJ$290+IF(AL60&lt;&gt;0,OFFSET(Constantes!$C$38,AL60-1,0),0))</f>
        <v>6900.0000000000009</v>
      </c>
      <c r="AS310" s="17"/>
      <c r="AT310" s="57" t="s">
        <v>8</v>
      </c>
      <c r="AU310" s="147">
        <f ca="1">Constantes!$Q13*(1+$AU$289+$AU$290+IF(AU60&lt;&gt;0,OFFSET(Constantes!$C$38,AU60-1,0),0))</f>
        <v>2100</v>
      </c>
      <c r="AV310" s="147">
        <f ca="1">Constantes!$R13*(1+$AU$289+$AU$290+IF(AV60&lt;&gt;0,OFFSET(Constantes!$C$38,AV60-1,0),0))</f>
        <v>4600.0000000000009</v>
      </c>
      <c r="AW310" s="147">
        <f ca="1">Constantes!$S13*(1+$AU$289+$AU$290+IF(AW60&lt;&gt;0,OFFSET(Constantes!$C$38,AW60-1,0),0))</f>
        <v>6900.0000000000009</v>
      </c>
    </row>
    <row r="311" spans="1:49" ht="21" customHeight="1" thickBot="1" x14ac:dyDescent="0.3">
      <c r="A311" s="15"/>
      <c r="B311" s="56" t="s">
        <v>157</v>
      </c>
      <c r="C311" s="267">
        <f ca="1">Constantes!$Q14*(1+$C$289+$C$290+IF(C61&lt;&gt;0,OFFSET(Constantes!$C$38,C61-1,0),0))</f>
        <v>1500</v>
      </c>
      <c r="D311" s="268">
        <f ca="1">Constantes!$R14*(1+$C$289+$C$290+IF(D61&lt;&gt;0,OFFSET(Constantes!$C$38,D61-1,0),0))</f>
        <v>2000</v>
      </c>
      <c r="E311" s="269">
        <f ca="1">Constantes!$S14*(1+$C$289+$C$290+IF(E61&lt;&gt;0,OFFSET(Constantes!$C$38,E61-1,0),0))</f>
        <v>2500</v>
      </c>
      <c r="L311" s="15"/>
      <c r="M311" s="56" t="s">
        <v>157</v>
      </c>
      <c r="N311" s="147">
        <f ca="1">Constantes!$Q14*(1+$N$289+$N$290+IF(N61&lt;&gt;0,OFFSET(Constantes!$C$38,N61-1,0),0))</f>
        <v>1500</v>
      </c>
      <c r="O311" s="147">
        <f ca="1">Constantes!$R14*(1+$N$289+$N$290+IF(O61&lt;&gt;0,OFFSET(Constantes!$C$38,O61-1,0),0))</f>
        <v>2000</v>
      </c>
      <c r="P311" s="147">
        <f ca="1">Constantes!$S14*(1+$N$289+$N$290+IF(P61&lt;&gt;0,OFFSET(Constantes!$C$38,P61-1,0),0))</f>
        <v>2500</v>
      </c>
      <c r="W311" s="15"/>
      <c r="X311" s="56" t="s">
        <v>157</v>
      </c>
      <c r="Y311" s="147">
        <f ca="1">Constantes!$Q14*(1+$Y$289+$Y$290+IF(Y61&lt;&gt;0,OFFSET(Constantes!$C$38,Y61-1,0),0))</f>
        <v>1575</v>
      </c>
      <c r="Z311" s="147">
        <f ca="1">Constantes!$R14*(1+$Y$289+$Y$290+IF(Z61&lt;&gt;0,OFFSET(Constantes!$C$38,Z61-1,0),0))</f>
        <v>2100</v>
      </c>
      <c r="AA311" s="147">
        <f ca="1">Constantes!$S14*(1+$Y$289+$Y$290+IF(AA61&lt;&gt;0,OFFSET(Constantes!$C$38,AA61-1,0),0))</f>
        <v>2625</v>
      </c>
      <c r="AH311" s="15"/>
      <c r="AI311" s="56" t="s">
        <v>157</v>
      </c>
      <c r="AJ311" s="147">
        <f ca="1">Constantes!$Q14*(1+$AJ$289+$AJ$290+IF(AJ61&lt;&gt;0,OFFSET(Constantes!$C$38,AJ61-1,0),0))</f>
        <v>1575</v>
      </c>
      <c r="AK311" s="147">
        <f ca="1">Constantes!$R14*(1+$AJ$289+$AJ$290+IF(AK61&lt;&gt;0,OFFSET(Constantes!$C$38,AK61-1,0),0))</f>
        <v>2300.0000000000005</v>
      </c>
      <c r="AL311" s="147">
        <f ca="1">Constantes!$S14*(1+$AJ$289+$AJ$290+IF(AL61&lt;&gt;0,OFFSET(Constantes!$C$38,AL61-1,0),0))</f>
        <v>2625</v>
      </c>
      <c r="AS311" s="15"/>
      <c r="AT311" s="56" t="s">
        <v>157</v>
      </c>
      <c r="AU311" s="147">
        <f ca="1">Constantes!$Q14*(1+$AU$289+$AU$290+IF(AU61&lt;&gt;0,OFFSET(Constantes!$C$38,AU61-1,0),0))</f>
        <v>1575</v>
      </c>
      <c r="AV311" s="147">
        <f ca="1">Constantes!$R14*(1+$AU$289+$AU$290+IF(AV61&lt;&gt;0,OFFSET(Constantes!$C$38,AV61-1,0),0))</f>
        <v>2300.0000000000005</v>
      </c>
      <c r="AW311" s="147">
        <f ca="1">Constantes!$S14*(1+$AU$289+$AU$290+IF(AW61&lt;&gt;0,OFFSET(Constantes!$C$38,AW61-1,0),0))</f>
        <v>2875.0000000000005</v>
      </c>
    </row>
    <row r="312" spans="1:49" ht="21" customHeight="1" x14ac:dyDescent="0.25">
      <c r="A312" s="12" t="s">
        <v>9</v>
      </c>
      <c r="B312" s="54" t="s">
        <v>32</v>
      </c>
      <c r="C312" s="264">
        <f ca="1">Constantes!$Q15*(1+$C$289+$C$290+IF(C62&lt;&gt;0,OFFSET(Constantes!$C$38,C62-1,0),0))</f>
        <v>30</v>
      </c>
      <c r="D312" s="265">
        <f ca="1">Constantes!$R15*(1+$C$289+$C$290+IF(D62&lt;&gt;0,OFFSET(Constantes!$C$38,D62-1,0),0))</f>
        <v>30</v>
      </c>
      <c r="E312" s="266">
        <f ca="1">Constantes!$S15*(1+$C$289+$C$290+IF(E62&lt;&gt;0,OFFSET(Constantes!$C$38,E62-1,0),0))</f>
        <v>30</v>
      </c>
      <c r="L312" s="12" t="s">
        <v>9</v>
      </c>
      <c r="M312" s="54" t="s">
        <v>32</v>
      </c>
      <c r="N312" s="147">
        <f ca="1">Constantes!$Q15*(1+$N$289+$N$290+IF(N62&lt;&gt;0,OFFSET(Constantes!$C$38,N62-1,0),0))</f>
        <v>30</v>
      </c>
      <c r="O312" s="147">
        <f ca="1">Constantes!$R15*(1+$N$289+$N$290+IF(O62&lt;&gt;0,OFFSET(Constantes!$C$38,O62-1,0),0))</f>
        <v>30</v>
      </c>
      <c r="P312" s="147">
        <f ca="1">Constantes!$S15*(1+$N$289+$N$290+IF(P62&lt;&gt;0,OFFSET(Constantes!$C$38,P62-1,0),0))</f>
        <v>30</v>
      </c>
      <c r="W312" s="12" t="s">
        <v>9</v>
      </c>
      <c r="X312" s="54" t="s">
        <v>32</v>
      </c>
      <c r="Y312" s="147">
        <f ca="1">Constantes!$Q15*(1+$Y$289+$Y$290+IF(Y62&lt;&gt;0,OFFSET(Constantes!$C$38,Y62-1,0),0))</f>
        <v>31.5</v>
      </c>
      <c r="Z312" s="147">
        <f ca="1">Constantes!$R15*(1+$Y$289+$Y$290+IF(Z62&lt;&gt;0,OFFSET(Constantes!$C$38,Z62-1,0),0))</f>
        <v>31.5</v>
      </c>
      <c r="AA312" s="147">
        <f ca="1">Constantes!$S15*(1+$Y$289+$Y$290+IF(AA62&lt;&gt;0,OFFSET(Constantes!$C$38,AA62-1,0),0))</f>
        <v>31.5</v>
      </c>
      <c r="AH312" s="12" t="s">
        <v>9</v>
      </c>
      <c r="AI312" s="54" t="s">
        <v>32</v>
      </c>
      <c r="AJ312" s="147">
        <f ca="1">Constantes!$Q15*(1+$AJ$289+$AJ$290+IF(AJ62&lt;&gt;0,OFFSET(Constantes!$C$38,AJ62-1,0),0))</f>
        <v>31.5</v>
      </c>
      <c r="AK312" s="147">
        <f ca="1">Constantes!$R15*(1+$AJ$289+$AJ$290+IF(AK62&lt;&gt;0,OFFSET(Constantes!$C$38,AK62-1,0),0))</f>
        <v>31.5</v>
      </c>
      <c r="AL312" s="147">
        <f ca="1">Constantes!$S15*(1+$AJ$289+$AJ$290+IF(AL62&lt;&gt;0,OFFSET(Constantes!$C$38,AL62-1,0),0))</f>
        <v>31.5</v>
      </c>
      <c r="AS312" s="12" t="s">
        <v>9</v>
      </c>
      <c r="AT312" s="54" t="s">
        <v>32</v>
      </c>
      <c r="AU312" s="147">
        <f ca="1">Constantes!$Q15*(1+$AU$289+$AU$290+IF(AU62&lt;&gt;0,OFFSET(Constantes!$C$38,AU62-1,0),0))</f>
        <v>31.5</v>
      </c>
      <c r="AV312" s="147">
        <f ca="1">Constantes!$R15*(1+$AU$289+$AU$290+IF(AV62&lt;&gt;0,OFFSET(Constantes!$C$38,AV62-1,0),0))</f>
        <v>34.500000000000007</v>
      </c>
      <c r="AW312" s="147">
        <f ca="1">Constantes!$S15*(1+$AU$289+$AU$290+IF(AW62&lt;&gt;0,OFFSET(Constantes!$C$38,AW62-1,0),0))</f>
        <v>31.5</v>
      </c>
    </row>
    <row r="313" spans="1:49" ht="21" customHeight="1" thickBot="1" x14ac:dyDescent="0.3">
      <c r="A313" s="15"/>
      <c r="B313" s="56" t="s">
        <v>10</v>
      </c>
      <c r="C313" s="267">
        <f ca="1">Constantes!$Q16*(1+$C$289+$C$290+IF(C63&lt;&gt;0,OFFSET(Constantes!$C$38,C63-1,0),0))</f>
        <v>6</v>
      </c>
      <c r="D313" s="268">
        <f ca="1">Constantes!$R16*(1+$C$289+$C$290+IF(D63&lt;&gt;0,OFFSET(Constantes!$C$38,D63-1,0),0))</f>
        <v>12</v>
      </c>
      <c r="E313" s="269">
        <f ca="1">Constantes!$S16*(1+$C$289+$C$290+IF(E63&lt;&gt;0,OFFSET(Constantes!$C$38,E63-1,0),0))</f>
        <v>20</v>
      </c>
      <c r="L313" s="15"/>
      <c r="M313" s="56" t="s">
        <v>10</v>
      </c>
      <c r="N313" s="147">
        <f ca="1">Constantes!$Q16*(1+$N$289+$N$290+IF(N63&lt;&gt;0,OFFSET(Constantes!$C$38,N63-1,0),0))</f>
        <v>6</v>
      </c>
      <c r="O313" s="147">
        <f ca="1">Constantes!$R16*(1+$N$289+$N$290+IF(O63&lt;&gt;0,OFFSET(Constantes!$C$38,O63-1,0),0))</f>
        <v>12</v>
      </c>
      <c r="P313" s="147">
        <f ca="1">Constantes!$S16*(1+$N$289+$N$290+IF(P63&lt;&gt;0,OFFSET(Constantes!$C$38,P63-1,0),0))</f>
        <v>22</v>
      </c>
      <c r="W313" s="15"/>
      <c r="X313" s="56" t="s">
        <v>10</v>
      </c>
      <c r="Y313" s="147">
        <f ca="1">Constantes!$Q16*(1+$Y$289+$Y$290+IF(Y63&lt;&gt;0,OFFSET(Constantes!$C$38,Y63-1,0),0))</f>
        <v>6.3000000000000007</v>
      </c>
      <c r="Z313" s="147">
        <f ca="1">Constantes!$R16*(1+$Y$289+$Y$290+IF(Z63&lt;&gt;0,OFFSET(Constantes!$C$38,Z63-1,0),0))</f>
        <v>13.8</v>
      </c>
      <c r="AA313" s="147">
        <f ca="1">Constantes!$S16*(1+$Y$289+$Y$290+IF(AA63&lt;&gt;0,OFFSET(Constantes!$C$38,AA63-1,0),0))</f>
        <v>23.000000000000004</v>
      </c>
      <c r="AH313" s="15"/>
      <c r="AI313" s="56" t="s">
        <v>10</v>
      </c>
      <c r="AJ313" s="147">
        <f ca="1">Constantes!$Q16*(1+$AJ$289+$AJ$290+IF(AJ63&lt;&gt;0,OFFSET(Constantes!$C$38,AJ63-1,0),0))</f>
        <v>6.3000000000000007</v>
      </c>
      <c r="AK313" s="147">
        <f ca="1">Constantes!$R16*(1+$AJ$289+$AJ$290+IF(AK63&lt;&gt;0,OFFSET(Constantes!$C$38,AK63-1,0),0))</f>
        <v>13.8</v>
      </c>
      <c r="AL313" s="147">
        <f ca="1">Constantes!$S16*(1+$AJ$289+$AJ$290+IF(AL63&lt;&gt;0,OFFSET(Constantes!$C$38,AL63-1,0),0))</f>
        <v>23.000000000000004</v>
      </c>
      <c r="AS313" s="15"/>
      <c r="AT313" s="56" t="s">
        <v>10</v>
      </c>
      <c r="AU313" s="147">
        <f ca="1">Constantes!$Q16*(1+$AU$289+$AU$290+IF(AU63&lt;&gt;0,OFFSET(Constantes!$C$38,AU63-1,0),0))</f>
        <v>6.3000000000000007</v>
      </c>
      <c r="AV313" s="147">
        <f ca="1">Constantes!$R16*(1+$AU$289+$AU$290+IF(AV63&lt;&gt;0,OFFSET(Constantes!$C$38,AV63-1,0),0))</f>
        <v>13.8</v>
      </c>
      <c r="AW313" s="147">
        <f ca="1">Constantes!$S16*(1+$AU$289+$AU$290+IF(AW63&lt;&gt;0,OFFSET(Constantes!$C$38,AW63-1,0),0))</f>
        <v>23.000000000000004</v>
      </c>
    </row>
    <row r="314" spans="1:49" ht="21" customHeight="1" x14ac:dyDescent="0.25">
      <c r="A314" s="12" t="s">
        <v>11</v>
      </c>
      <c r="B314" s="54" t="s">
        <v>33</v>
      </c>
      <c r="C314" s="264">
        <f ca="1">Constantes!$Q17*(1+$C$289+$C$290+IF(C64&lt;&gt;0,OFFSET(Constantes!$C$38,C64-1,0),0))</f>
        <v>6</v>
      </c>
      <c r="D314" s="265">
        <f ca="1">Constantes!$R17*(1+$C$289+$C$290+IF(D64&lt;&gt;0,OFFSET(Constantes!$C$38,D64-1,0),0))</f>
        <v>8</v>
      </c>
      <c r="E314" s="266">
        <f ca="1">Constantes!$S17*(1+$C$289+$C$290+IF(E64&lt;&gt;0,OFFSET(Constantes!$C$38,E64-1,0),0))</f>
        <v>16</v>
      </c>
      <c r="L314" s="12" t="s">
        <v>11</v>
      </c>
      <c r="M314" s="54" t="s">
        <v>33</v>
      </c>
      <c r="N314" s="147">
        <f ca="1">Constantes!$Q17*(1+$N$289+$N$290+IF(N64&lt;&gt;0,OFFSET(Constantes!$C$38,N64-1,0),0))</f>
        <v>6</v>
      </c>
      <c r="O314" s="147">
        <f ca="1">Constantes!$R17*(1+$N$289+$N$290+IF(O64&lt;&gt;0,OFFSET(Constantes!$C$38,O64-1,0),0))</f>
        <v>8.8000000000000007</v>
      </c>
      <c r="P314" s="147">
        <f ca="1">Constantes!$S17*(1+$N$289+$N$290+IF(P64&lt;&gt;0,OFFSET(Constantes!$C$38,P64-1,0),0))</f>
        <v>16</v>
      </c>
      <c r="W314" s="12" t="s">
        <v>11</v>
      </c>
      <c r="X314" s="54" t="s">
        <v>33</v>
      </c>
      <c r="Y314" s="147">
        <f ca="1">Constantes!$Q17*(1+$Y$289+$Y$290+IF(Y64&lt;&gt;0,OFFSET(Constantes!$C$38,Y64-1,0),0))</f>
        <v>6.3000000000000007</v>
      </c>
      <c r="Z314" s="147">
        <f ca="1">Constantes!$R17*(1+$Y$289+$Y$290+IF(Z64&lt;&gt;0,OFFSET(Constantes!$C$38,Z64-1,0),0))</f>
        <v>9.2000000000000011</v>
      </c>
      <c r="AA314" s="147">
        <f ca="1">Constantes!$S17*(1+$Y$289+$Y$290+IF(AA64&lt;&gt;0,OFFSET(Constantes!$C$38,AA64-1,0),0))</f>
        <v>16.8</v>
      </c>
      <c r="AH314" s="12" t="s">
        <v>11</v>
      </c>
      <c r="AI314" s="54" t="s">
        <v>33</v>
      </c>
      <c r="AJ314" s="147">
        <f ca="1">Constantes!$Q17*(1+$AJ$289+$AJ$290+IF(AJ64&lt;&gt;0,OFFSET(Constantes!$C$38,AJ64-1,0),0))</f>
        <v>6.3000000000000007</v>
      </c>
      <c r="AK314" s="147">
        <f ca="1">Constantes!$R17*(1+$AJ$289+$AJ$290+IF(AK64&lt;&gt;0,OFFSET(Constantes!$C$38,AK64-1,0),0))</f>
        <v>9.2000000000000011</v>
      </c>
      <c r="AL314" s="147">
        <f ca="1">Constantes!$S17*(1+$AJ$289+$AJ$290+IF(AL64&lt;&gt;0,OFFSET(Constantes!$C$38,AL64-1,0),0))</f>
        <v>16.8</v>
      </c>
      <c r="AS314" s="12" t="s">
        <v>11</v>
      </c>
      <c r="AT314" s="54" t="s">
        <v>33</v>
      </c>
      <c r="AU314" s="147">
        <f ca="1">Constantes!$Q17*(1+$AU$289+$AU$290+IF(AU64&lt;&gt;0,OFFSET(Constantes!$C$38,AU64-1,0),0))</f>
        <v>6.3000000000000007</v>
      </c>
      <c r="AV314" s="147">
        <f ca="1">Constantes!$R17*(1+$AU$289+$AU$290+IF(AV64&lt;&gt;0,OFFSET(Constantes!$C$38,AV64-1,0),0))</f>
        <v>9.2000000000000011</v>
      </c>
      <c r="AW314" s="147">
        <f ca="1">Constantes!$S17*(1+$AU$289+$AU$290+IF(AW64&lt;&gt;0,OFFSET(Constantes!$C$38,AW64-1,0),0))</f>
        <v>16.8</v>
      </c>
    </row>
    <row r="315" spans="1:49" ht="21" customHeight="1" x14ac:dyDescent="0.25">
      <c r="A315" s="17"/>
      <c r="B315" s="57" t="s">
        <v>34</v>
      </c>
      <c r="C315" s="270">
        <f ca="1">Constantes!$Q18*(1+$C$289+$C$290+IF(C65&lt;&gt;0,OFFSET(Constantes!$C$38,C65-1,0),0))</f>
        <v>6</v>
      </c>
      <c r="D315" s="147">
        <f ca="1">Constantes!$R18*(1+$C$289+$C$290+IF(D65&lt;&gt;0,OFFSET(Constantes!$C$38,D65-1,0),0))</f>
        <v>8.8000000000000007</v>
      </c>
      <c r="E315" s="271">
        <f ca="1">Constantes!$S18*(1+$C$289+$C$290+IF(E65&lt;&gt;0,OFFSET(Constantes!$C$38,E65-1,0),0))</f>
        <v>8</v>
      </c>
      <c r="L315" s="17"/>
      <c r="M315" s="57" t="s">
        <v>34</v>
      </c>
      <c r="N315" s="147">
        <f ca="1">Constantes!$Q18*(1+$N$289+$N$290+IF(N65&lt;&gt;0,OFFSET(Constantes!$C$38,N65-1,0),0))</f>
        <v>6</v>
      </c>
      <c r="O315" s="147">
        <f ca="1">Constantes!$R18*(1+$N$289+$N$290+IF(O65&lt;&gt;0,OFFSET(Constantes!$C$38,O65-1,0),0))</f>
        <v>8.8000000000000007</v>
      </c>
      <c r="P315" s="147">
        <f ca="1">Constantes!$S18*(1+$N$289+$N$290+IF(P65&lt;&gt;0,OFFSET(Constantes!$C$38,P65-1,0),0))</f>
        <v>8</v>
      </c>
      <c r="W315" s="17"/>
      <c r="X315" s="57" t="s">
        <v>34</v>
      </c>
      <c r="Y315" s="147">
        <f ca="1">Constantes!$Q18*(1+$Y$289+$Y$290+IF(Y65&lt;&gt;0,OFFSET(Constantes!$C$38,Y65-1,0),0))</f>
        <v>6.3000000000000007</v>
      </c>
      <c r="Z315" s="147">
        <f ca="1">Constantes!$R18*(1+$Y$289+$Y$290+IF(Z65&lt;&gt;0,OFFSET(Constantes!$C$38,Z65-1,0),0))</f>
        <v>9.2000000000000011</v>
      </c>
      <c r="AA315" s="147">
        <f ca="1">Constantes!$S18*(1+$Y$289+$Y$290+IF(AA65&lt;&gt;0,OFFSET(Constantes!$C$38,AA65-1,0),0))</f>
        <v>8.4</v>
      </c>
      <c r="AH315" s="17"/>
      <c r="AI315" s="57" t="s">
        <v>34</v>
      </c>
      <c r="AJ315" s="147">
        <f ca="1">Constantes!$Q18*(1+$AJ$289+$AJ$290+IF(AJ65&lt;&gt;0,OFFSET(Constantes!$C$38,AJ65-1,0),0))</f>
        <v>6.3000000000000007</v>
      </c>
      <c r="AK315" s="147">
        <f ca="1">Constantes!$R18*(1+$AJ$289+$AJ$290+IF(AK65&lt;&gt;0,OFFSET(Constantes!$C$38,AK65-1,0),0))</f>
        <v>9.2000000000000011</v>
      </c>
      <c r="AL315" s="147">
        <f ca="1">Constantes!$S18*(1+$AJ$289+$AJ$290+IF(AL65&lt;&gt;0,OFFSET(Constantes!$C$38,AL65-1,0),0))</f>
        <v>8.4</v>
      </c>
      <c r="AS315" s="17"/>
      <c r="AT315" s="57" t="s">
        <v>34</v>
      </c>
      <c r="AU315" s="147">
        <f ca="1">Constantes!$Q18*(1+$AU$289+$AU$290+IF(AU65&lt;&gt;0,OFFSET(Constantes!$C$38,AU65-1,0),0))</f>
        <v>6.3000000000000007</v>
      </c>
      <c r="AV315" s="147">
        <f ca="1">Constantes!$R18*(1+$AU$289+$AU$290+IF(AV65&lt;&gt;0,OFFSET(Constantes!$C$38,AV65-1,0),0))</f>
        <v>9.2000000000000011</v>
      </c>
      <c r="AW315" s="147">
        <f ca="1">Constantes!$S18*(1+$AU$289+$AU$290+IF(AW65&lt;&gt;0,OFFSET(Constantes!$C$38,AW65-1,0),0))</f>
        <v>8.4</v>
      </c>
    </row>
    <row r="316" spans="1:49" ht="21" customHeight="1" thickBot="1" x14ac:dyDescent="0.3">
      <c r="A316" s="15"/>
      <c r="B316" s="56" t="s">
        <v>12</v>
      </c>
      <c r="C316" s="267">
        <f ca="1">Constantes!$Q19*(1+$C$289+$C$290+IF(C66&lt;&gt;0,OFFSET(Constantes!$C$38,C66-1,0),0))</f>
        <v>25</v>
      </c>
      <c r="D316" s="268">
        <f ca="1">Constantes!$R19*(1+$C$289+$C$290+IF(D66&lt;&gt;0,OFFSET(Constantes!$C$38,D66-1,0),0))</f>
        <v>25</v>
      </c>
      <c r="E316" s="269">
        <f ca="1">Constantes!$S19*(1+$C$289+$C$290+IF(E66&lt;&gt;0,OFFSET(Constantes!$C$38,E66-1,0),0))</f>
        <v>25</v>
      </c>
      <c r="L316" s="15"/>
      <c r="M316" s="56" t="s">
        <v>12</v>
      </c>
      <c r="N316" s="147">
        <f ca="1">Constantes!$Q19*(1+$N$289+$N$290+IF(N66&lt;&gt;0,OFFSET(Constantes!$C$38,N66-1,0),0))</f>
        <v>25</v>
      </c>
      <c r="O316" s="147">
        <f ca="1">Constantes!$R19*(1+$N$289+$N$290+IF(O66&lt;&gt;0,OFFSET(Constantes!$C$38,O66-1,0),0))</f>
        <v>25</v>
      </c>
      <c r="P316" s="147">
        <f ca="1">Constantes!$S19*(1+$N$289+$N$290+IF(P66&lt;&gt;0,OFFSET(Constantes!$C$38,P66-1,0),0))</f>
        <v>25</v>
      </c>
      <c r="W316" s="15"/>
      <c r="X316" s="56" t="s">
        <v>12</v>
      </c>
      <c r="Y316" s="147">
        <f ca="1">Constantes!$Q19*(1+$Y$289+$Y$290+IF(Y66&lt;&gt;0,OFFSET(Constantes!$C$38,Y66-1,0),0))</f>
        <v>26.25</v>
      </c>
      <c r="Z316" s="147">
        <f ca="1">Constantes!$R19*(1+$Y$289+$Y$290+IF(Z66&lt;&gt;0,OFFSET(Constantes!$C$38,Z66-1,0),0))</f>
        <v>26.25</v>
      </c>
      <c r="AA316" s="147">
        <f ca="1">Constantes!$S19*(1+$Y$289+$Y$290+IF(AA66&lt;&gt;0,OFFSET(Constantes!$C$38,AA66-1,0),0))</f>
        <v>26.25</v>
      </c>
      <c r="AH316" s="15"/>
      <c r="AI316" s="56" t="s">
        <v>12</v>
      </c>
      <c r="AJ316" s="147">
        <f ca="1">Constantes!$Q19*(1+$AJ$289+$AJ$290+IF(AJ66&lt;&gt;0,OFFSET(Constantes!$C$38,AJ66-1,0),0))</f>
        <v>26.25</v>
      </c>
      <c r="AK316" s="147">
        <f ca="1">Constantes!$R19*(1+$AJ$289+$AJ$290+IF(AK66&lt;&gt;0,OFFSET(Constantes!$C$38,AK66-1,0),0))</f>
        <v>26.25</v>
      </c>
      <c r="AL316" s="147">
        <f ca="1">Constantes!$S19*(1+$AJ$289+$AJ$290+IF(AL66&lt;&gt;0,OFFSET(Constantes!$C$38,AL66-1,0),0))</f>
        <v>26.25</v>
      </c>
      <c r="AS316" s="15"/>
      <c r="AT316" s="56" t="s">
        <v>12</v>
      </c>
      <c r="AU316" s="147">
        <f ca="1">Constantes!$Q19*(1+$AU$289+$AU$290+IF(AU66&lt;&gt;0,OFFSET(Constantes!$C$38,AU66-1,0),0))</f>
        <v>26.25</v>
      </c>
      <c r="AV316" s="147">
        <f ca="1">Constantes!$R19*(1+$AU$289+$AU$290+IF(AV66&lt;&gt;0,OFFSET(Constantes!$C$38,AV66-1,0),0))</f>
        <v>26.25</v>
      </c>
      <c r="AW316" s="147">
        <f ca="1">Constantes!$S19*(1+$AU$289+$AU$290+IF(AW66&lt;&gt;0,OFFSET(Constantes!$C$38,AW66-1,0),0))</f>
        <v>28.750000000000004</v>
      </c>
    </row>
    <row r="317" spans="1:49" ht="21" customHeight="1" x14ac:dyDescent="0.25"/>
    <row r="318" spans="1:49" ht="21" customHeight="1" thickBot="1" x14ac:dyDescent="0.3">
      <c r="B318" s="36" t="s">
        <v>257</v>
      </c>
      <c r="C318" s="75" t="str">
        <f>C331</f>
        <v>junior</v>
      </c>
      <c r="D318" s="75" t="str">
        <f>D331</f>
        <v>senior</v>
      </c>
      <c r="E318" s="75" t="str">
        <f>E331</f>
        <v>premium</v>
      </c>
      <c r="M318" s="36" t="s">
        <v>257</v>
      </c>
      <c r="N318" s="221" t="str">
        <f>N331</f>
        <v>junior</v>
      </c>
      <c r="O318" s="221" t="str">
        <f>O331</f>
        <v>senior</v>
      </c>
      <c r="P318" s="221" t="str">
        <f>P331</f>
        <v>premium</v>
      </c>
      <c r="X318" s="36" t="s">
        <v>257</v>
      </c>
      <c r="Y318" s="286" t="str">
        <f>Y331</f>
        <v>junior</v>
      </c>
      <c r="Z318" s="286" t="str">
        <f>Z331</f>
        <v>senior</v>
      </c>
      <c r="AA318" s="286" t="str">
        <f>AA331</f>
        <v>premium</v>
      </c>
      <c r="AI318" s="36" t="s">
        <v>257</v>
      </c>
      <c r="AJ318" s="286" t="str">
        <f>AJ331</f>
        <v>junior</v>
      </c>
      <c r="AK318" s="286" t="str">
        <f>AK331</f>
        <v>senior</v>
      </c>
      <c r="AL318" s="286" t="str">
        <f>AL331</f>
        <v>premium</v>
      </c>
      <c r="AT318" s="36" t="s">
        <v>257</v>
      </c>
      <c r="AU318" s="287" t="str">
        <f>AU331</f>
        <v>junior</v>
      </c>
      <c r="AV318" s="287" t="str">
        <f>AV331</f>
        <v>senior</v>
      </c>
      <c r="AW318" s="287" t="str">
        <f>AW331</f>
        <v>premium</v>
      </c>
    </row>
    <row r="319" spans="1:49" ht="21" customHeight="1" x14ac:dyDescent="0.25">
      <c r="A319" s="12" t="s">
        <v>4</v>
      </c>
      <c r="B319" s="54" t="s">
        <v>5</v>
      </c>
      <c r="C319" s="264">
        <f ca="1">'Historique T=0'!F10*(1-Constantes!$AG10)+C278*C307/C$109</f>
        <v>2048.7800586510266</v>
      </c>
      <c r="D319" s="265">
        <f ca="1">'Historique T=0'!G10*(1-Constantes!$AG10)+D278*D307/D$109</f>
        <v>3599.6379947229548</v>
      </c>
      <c r="E319" s="266">
        <f ca="1">'Historique T=0'!H10*(1-Constantes!$AG10)+E278*E307/E$109</f>
        <v>6990.2971342383107</v>
      </c>
      <c r="L319" s="12" t="s">
        <v>4</v>
      </c>
      <c r="M319" s="54" t="s">
        <v>5</v>
      </c>
      <c r="N319" s="112">
        <f ca="1">C319*(1-Constantes!$AG10)+N278*N307/N$109</f>
        <v>2063.6396938221733</v>
      </c>
      <c r="O319" s="112">
        <f ca="1">D319*(1-Constantes!$AG10)+O278*O307/O$109</f>
        <v>3712.2905006189935</v>
      </c>
      <c r="P319" s="112">
        <f ca="1">E319*(1-Constantes!$AG10)+P278*P307/P$109</f>
        <v>6987.1725592425</v>
      </c>
      <c r="W319" s="12" t="s">
        <v>4</v>
      </c>
      <c r="X319" s="54" t="s">
        <v>5</v>
      </c>
      <c r="Y319" s="112">
        <f ca="1">N319*(1-Constantes!$AG10)+Y278*Y307/Y$109</f>
        <v>2062.3269575623481</v>
      </c>
      <c r="Z319" s="112">
        <f ca="1">O319*(1-Constantes!$AG10)+Z278*Z307/Z$109</f>
        <v>3749.6294296125648</v>
      </c>
      <c r="AA319" s="112">
        <f ca="1">P319*(1-Constantes!$AG10)+AA278*AA307/AA$109</f>
        <v>6999.9429195759512</v>
      </c>
      <c r="AH319" s="12" t="s">
        <v>4</v>
      </c>
      <c r="AI319" s="54" t="s">
        <v>5</v>
      </c>
      <c r="AJ319" s="112">
        <f ca="1">Y319*(1-Constantes!$AG10)+AJ278*AJ307/AJ$109</f>
        <v>2049.075591411558</v>
      </c>
      <c r="AK319" s="112">
        <f ca="1">Z319*(1-Constantes!$AG10)+AK278*AK307/AK$109</f>
        <v>3720.6833861954638</v>
      </c>
      <c r="AL319" s="112">
        <f ca="1">AA319*(1-Constantes!$AG10)+AL278*AL307/AL$109</f>
        <v>6935.0800252578274</v>
      </c>
      <c r="AS319" s="12" t="s">
        <v>4</v>
      </c>
      <c r="AT319" s="54" t="s">
        <v>5</v>
      </c>
      <c r="AU319" s="112">
        <f ca="1">AJ319*(1-Constantes!$AG10)+AU278*AU307/AU$109</f>
        <v>2036.2229044078108</v>
      </c>
      <c r="AV319" s="112">
        <f ca="1">AK319*(1-Constantes!$AG10)+AV278*AV307/AV$109</f>
        <v>3722.1452401573197</v>
      </c>
      <c r="AW319" s="112">
        <f ca="1">AL319*(1-Constantes!$AG10)+AW278*AW307/AW$109</f>
        <v>6941.8146569455239</v>
      </c>
    </row>
    <row r="320" spans="1:49" ht="21" customHeight="1" thickBot="1" x14ac:dyDescent="0.3">
      <c r="A320" s="15"/>
      <c r="B320" s="56" t="s">
        <v>31</v>
      </c>
      <c r="C320" s="267">
        <f ca="1">'Historique T=0'!F11*(1-Constantes!$AG11)+C279*C308/C$109</f>
        <v>3158.4</v>
      </c>
      <c r="D320" s="268">
        <f ca="1">'Historique T=0'!G11*(1-Constantes!$AG11)+D279*D308/D$109</f>
        <v>10722.924538258576</v>
      </c>
      <c r="E320" s="269">
        <f ca="1">'Historique T=0'!H11*(1-Constantes!$AG11)+E279*E308/E$109</f>
        <v>23959.493212669684</v>
      </c>
      <c r="L320" s="15"/>
      <c r="M320" s="56" t="s">
        <v>31</v>
      </c>
      <c r="N320" s="112">
        <f ca="1">C320*(1-Constantes!$AG11)+N279*N308/N$109</f>
        <v>3117.3407999999999</v>
      </c>
      <c r="O320" s="112">
        <f ca="1">D320*(1-Constantes!$AG11)+O279*O308/O$109</f>
        <v>10754.363447647755</v>
      </c>
      <c r="P320" s="112">
        <f ca="1">E320*(1-Constantes!$AG11)+P279*P308/P$109</f>
        <v>24870.242023127201</v>
      </c>
      <c r="W320" s="15"/>
      <c r="X320" s="56" t="s">
        <v>31</v>
      </c>
      <c r="Y320" s="112">
        <f ca="1">N320*(1-Constantes!$AG11)+Y279*Y308/Y$109</f>
        <v>3100.8290917269296</v>
      </c>
      <c r="Z320" s="112">
        <f ca="1">O320*(1-Constantes!$AG11)+Z279*Z308/Z$109</f>
        <v>10798.051868459403</v>
      </c>
      <c r="AA320" s="112">
        <f ca="1">P320*(1-Constantes!$AG11)+AA279*AA308/AA$109</f>
        <v>25035.345865243537</v>
      </c>
      <c r="AH320" s="15"/>
      <c r="AI320" s="56" t="s">
        <v>31</v>
      </c>
      <c r="AJ320" s="112">
        <f ca="1">Y320*(1-Constantes!$AG11)+AJ279*AJ308/AJ$109</f>
        <v>3077.873685435306</v>
      </c>
      <c r="AK320" s="112">
        <f ca="1">Z320*(1-Constantes!$AG11)+AK279*AK308/AK$109</f>
        <v>10698.35151267732</v>
      </c>
      <c r="AL320" s="112">
        <f ca="1">AA320*(1-Constantes!$AG11)+AL279*AL308/AL$109</f>
        <v>24971.250005359005</v>
      </c>
      <c r="AS320" s="15"/>
      <c r="AT320" s="56" t="s">
        <v>31</v>
      </c>
      <c r="AU320" s="112">
        <f ca="1">AJ320*(1-Constantes!$AG11)+AU279*AU308/AU$109</f>
        <v>3060.2374596503796</v>
      </c>
      <c r="AV320" s="112">
        <f ca="1">AK320*(1-Constantes!$AG11)+AV279*AV308/AV$109</f>
        <v>10700.031236851377</v>
      </c>
      <c r="AW320" s="112">
        <f ca="1">AL320*(1-Constantes!$AG11)+AW279*AW308/AW$109</f>
        <v>25096.473303935276</v>
      </c>
    </row>
    <row r="321" spans="1:50" ht="21" customHeight="1" x14ac:dyDescent="0.25">
      <c r="A321" s="12" t="s">
        <v>6</v>
      </c>
      <c r="B321" s="54" t="s">
        <v>7</v>
      </c>
      <c r="C321" s="264">
        <f ca="1">'Historique T=0'!F12*(1-Constantes!$AG12)+C280*C309/C$109</f>
        <v>19740</v>
      </c>
      <c r="D321" s="265">
        <f ca="1">'Historique T=0'!G12*(1-Constantes!$AG12)+D280*D309/D$109</f>
        <v>45206.556728232186</v>
      </c>
      <c r="E321" s="266">
        <f ca="1">'Historique T=0'!H12*(1-Constantes!$AG12)+E280*E309/E$109</f>
        <v>54327.375565610862</v>
      </c>
      <c r="L321" s="12" t="s">
        <v>6</v>
      </c>
      <c r="M321" s="54" t="s">
        <v>7</v>
      </c>
      <c r="N321" s="112">
        <f ca="1">C321*(1-Constantes!$AG12)+N280*N309/N$109</f>
        <v>19483.38</v>
      </c>
      <c r="O321" s="112">
        <f ca="1">D321*(1-Constantes!$AG12)+O280*O309/O$109</f>
        <v>44877.715321653865</v>
      </c>
      <c r="P321" s="112">
        <f ca="1">E321*(1-Constantes!$AG12)+P280*P309/P$109</f>
        <v>55971.547033685274</v>
      </c>
      <c r="W321" s="12" t="s">
        <v>6</v>
      </c>
      <c r="X321" s="54" t="s">
        <v>7</v>
      </c>
      <c r="Y321" s="112">
        <f ca="1">N321*(1-Constantes!$AG12)+Y280*Y309/Y$109</f>
        <v>19230.09606</v>
      </c>
      <c r="Z321" s="112">
        <f ca="1">O321*(1-Constantes!$AG12)+Z280*Z309/Z$109</f>
        <v>44712.994342860715</v>
      </c>
      <c r="AA321" s="112">
        <f ca="1">P321*(1-Constantes!$AG12)+AA280*AA309/AA$109</f>
        <v>58944.045622376063</v>
      </c>
      <c r="AH321" s="12" t="s">
        <v>6</v>
      </c>
      <c r="AI321" s="54" t="s">
        <v>7</v>
      </c>
      <c r="AJ321" s="112">
        <f ca="1">Y321*(1-Constantes!$AG12)+AJ280*AJ309/AJ$109</f>
        <v>18980.104811220001</v>
      </c>
      <c r="AK321" s="112">
        <f ca="1">Z321*(1-Constantes!$AG12)+AK280*AK309/AK$109</f>
        <v>44379.214656001801</v>
      </c>
      <c r="AL321" s="112">
        <f ca="1">AA321*(1-Constantes!$AG12)+AL280*AL309/AL$109</f>
        <v>59151.799003311142</v>
      </c>
      <c r="AS321" s="12" t="s">
        <v>6</v>
      </c>
      <c r="AT321" s="54" t="s">
        <v>7</v>
      </c>
      <c r="AU321" s="112">
        <f ca="1">AJ321*(1-Constantes!$AG12)+AU280*AU309/AU$109</f>
        <v>18789.303778988469</v>
      </c>
      <c r="AV321" s="112">
        <f ca="1">AK321*(1-Constantes!$AG12)+AV280*AV309/AV$109</f>
        <v>44046.022170822456</v>
      </c>
      <c r="AW321" s="112">
        <f ca="1">AL321*(1-Constantes!$AG12)+AW280*AW309/AW$109</f>
        <v>61391.852697511829</v>
      </c>
    </row>
    <row r="322" spans="1:50" ht="21" customHeight="1" x14ac:dyDescent="0.25">
      <c r="A322" s="17"/>
      <c r="B322" s="57" t="s">
        <v>8</v>
      </c>
      <c r="C322" s="270">
        <f ca="1">'Historique T=0'!F13*(1-Constantes!$AG13)+C281*C310/C$109</f>
        <v>798.98416422287391</v>
      </c>
      <c r="D322" s="147">
        <f ca="1">'Historique T=0'!G13*(1-Constantes!$AG13)+D281*D310/D$109</f>
        <v>1205.508179419525</v>
      </c>
      <c r="E322" s="271">
        <f ca="1">'Historique T=0'!H13*(1-Constantes!$AG13)+E281*E310/E$109</f>
        <v>942.59864253393664</v>
      </c>
      <c r="L322" s="17"/>
      <c r="M322" s="57" t="s">
        <v>8</v>
      </c>
      <c r="N322" s="112">
        <f ca="1">C322*(1-Constantes!$AG13)+N281*N310/N$109</f>
        <v>799.26719818519052</v>
      </c>
      <c r="O322" s="112">
        <f ca="1">D322*(1-Constantes!$AG13)+O281*O310/O$109</f>
        <v>1224.0039587643791</v>
      </c>
      <c r="P322" s="112">
        <f ca="1">E322*(1-Constantes!$AG13)+P281*P310/P$109</f>
        <v>1007.2679371040723</v>
      </c>
      <c r="W322" s="17"/>
      <c r="X322" s="57" t="s">
        <v>8</v>
      </c>
      <c r="Y322" s="112">
        <f ca="1">N322*(1-Constantes!$AG13)+Y281*Y310/Y$109</f>
        <v>794.88015514051551</v>
      </c>
      <c r="Z322" s="112">
        <f ca="1">O322*(1-Constantes!$AG13)+Z281*Z310/Z$109</f>
        <v>1245.3087357794066</v>
      </c>
      <c r="AA322" s="112">
        <f ca="1">P322*(1-Constantes!$AG13)+AA281*AA310/AA$109</f>
        <v>1042.8221025703679</v>
      </c>
      <c r="AH322" s="17"/>
      <c r="AI322" s="57" t="s">
        <v>8</v>
      </c>
      <c r="AJ322" s="112">
        <f ca="1">Y322*(1-Constantes!$AG13)+AJ281*AJ310/AJ$109</f>
        <v>788.88555609889545</v>
      </c>
      <c r="AK322" s="112">
        <f ca="1">Z322*(1-Constantes!$AG13)+AK281*AK310/AK$109</f>
        <v>1248.9188613821366</v>
      </c>
      <c r="AL322" s="112">
        <f ca="1">AA322*(1-Constantes!$AG13)+AL281*AL310/AL$109</f>
        <v>1081.5381425096803</v>
      </c>
      <c r="AS322" s="17"/>
      <c r="AT322" s="57" t="s">
        <v>8</v>
      </c>
      <c r="AU322" s="112">
        <f ca="1">AJ322*(1-Constantes!$AG13)+AU281*AU310/AU$109</f>
        <v>780.86765708218309</v>
      </c>
      <c r="AV322" s="112">
        <f ca="1">AK322*(1-Constantes!$AG13)+AV281*AV310/AV$109</f>
        <v>1242.0261795558681</v>
      </c>
      <c r="AW322" s="112">
        <f ca="1">AL322*(1-Constantes!$AG13)+AW281*AW310/AW$109</f>
        <v>1115.9234826650784</v>
      </c>
    </row>
    <row r="323" spans="1:50" ht="21" customHeight="1" thickBot="1" x14ac:dyDescent="0.3">
      <c r="A323" s="15"/>
      <c r="B323" s="56" t="s">
        <v>157</v>
      </c>
      <c r="C323" s="267">
        <f ca="1">'Historique T=0'!F14*(1-Constantes!$AG14)+C282*C311/C$109</f>
        <v>296.10000000000002</v>
      </c>
      <c r="D323" s="268">
        <f ca="1">'Historique T=0'!G14*(1-Constantes!$AG14)+D282*D311/D$109</f>
        <v>209.71310466138962</v>
      </c>
      <c r="E323" s="269">
        <f ca="1">'Historique T=0'!H14*(1-Constantes!$AG14)+E282*E311/E$109</f>
        <v>138.45795625942685</v>
      </c>
      <c r="L323" s="15"/>
      <c r="M323" s="56" t="s">
        <v>157</v>
      </c>
      <c r="N323" s="112">
        <f ca="1">C323*(1-Constantes!$AG14)+N282*N311/N$109</f>
        <v>303.80968043864846</v>
      </c>
      <c r="O323" s="112">
        <f ca="1">D323*(1-Constantes!$AG14)+O282*O311/O$109</f>
        <v>231.14559185040326</v>
      </c>
      <c r="P323" s="112">
        <f ca="1">E323*(1-Constantes!$AG14)+P282*P311/P$109</f>
        <v>172.27053844058992</v>
      </c>
      <c r="W323" s="15"/>
      <c r="X323" s="56" t="s">
        <v>157</v>
      </c>
      <c r="Y323" s="112">
        <f ca="1">N323*(1-Constantes!$AG14)+Y282*Y311/Y$109</f>
        <v>307.06427123102492</v>
      </c>
      <c r="Z323" s="112">
        <f ca="1">O323*(1-Constantes!$AG14)+Z282*Z311/Z$109</f>
        <v>243.43196129227033</v>
      </c>
      <c r="AA323" s="112">
        <f ca="1">P323*(1-Constantes!$AG14)+AA282*AA311/AA$109</f>
        <v>176.78777819761899</v>
      </c>
      <c r="AH323" s="15"/>
      <c r="AI323" s="56" t="s">
        <v>157</v>
      </c>
      <c r="AJ323" s="112">
        <f ca="1">Y323*(1-Constantes!$AG14)+AJ282*AJ311/AJ$109</f>
        <v>311.207766283534</v>
      </c>
      <c r="AK323" s="112">
        <f ca="1">Z323*(1-Constantes!$AG14)+AK282*AK311/AK$109</f>
        <v>248.51698711541343</v>
      </c>
      <c r="AL323" s="112">
        <f ca="1">AA323*(1-Constantes!$AG14)+AL282*AL311/AL$109</f>
        <v>183.01226435377723</v>
      </c>
      <c r="AS323" s="15"/>
      <c r="AT323" s="56" t="s">
        <v>157</v>
      </c>
      <c r="AU323" s="112">
        <f ca="1">AJ323*(1-Constantes!$AG14)+AU282*AU311/AU$109</f>
        <v>313.03580000485283</v>
      </c>
      <c r="AV323" s="112">
        <f ca="1">AK323*(1-Constantes!$AG14)+AV282*AV311/AV$109</f>
        <v>249.95789796876275</v>
      </c>
      <c r="AW323" s="112">
        <f ca="1">AL323*(1-Constantes!$AG14)+AW282*AW311/AW$109</f>
        <v>189.28405777575384</v>
      </c>
    </row>
    <row r="324" spans="1:50" ht="21" customHeight="1" x14ac:dyDescent="0.25">
      <c r="A324" s="12" t="s">
        <v>9</v>
      </c>
      <c r="B324" s="54" t="s">
        <v>32</v>
      </c>
      <c r="C324" s="264">
        <f ca="1">'Historique T=0'!F15*(1-Constantes!$AG15)+C283*C312/C$109</f>
        <v>4.5</v>
      </c>
      <c r="D324" s="265">
        <f ca="1">'Historique T=0'!G15*(1-Constantes!$AG15)+D283*D312/D$109</f>
        <v>3.9957783641160947</v>
      </c>
      <c r="E324" s="266">
        <f ca="1">'Historique T=0'!H15*(1-Constantes!$AG15)+E283*E312/E$109</f>
        <v>2.4</v>
      </c>
      <c r="L324" s="12" t="s">
        <v>9</v>
      </c>
      <c r="M324" s="54" t="s">
        <v>32</v>
      </c>
      <c r="N324" s="112">
        <f ca="1">C324*(1-Constantes!$AG15)+N283*N312/N$109</f>
        <v>4.5</v>
      </c>
      <c r="O324" s="112">
        <f ca="1">D324*(1-Constantes!$AG15)+O283*O312/O$109</f>
        <v>4.4358128766268798</v>
      </c>
      <c r="P324" s="112">
        <f ca="1">E324*(1-Constantes!$AG15)+P283*P312/P$109</f>
        <v>2.4</v>
      </c>
      <c r="W324" s="12" t="s">
        <v>9</v>
      </c>
      <c r="X324" s="54" t="s">
        <v>32</v>
      </c>
      <c r="Y324" s="112">
        <f ca="1">N324*(1-Constantes!$AG15)+Y283*Y312/Y$109</f>
        <v>4.5</v>
      </c>
      <c r="Z324" s="112">
        <f ca="1">O324*(1-Constantes!$AG15)+Z283*Z312/Z$109</f>
        <v>4.7926089931317346</v>
      </c>
      <c r="AA324" s="112">
        <f ca="1">P324*(1-Constantes!$AG15)+AA283*AA312/AA$109</f>
        <v>2.8864864864864863</v>
      </c>
      <c r="AH324" s="12" t="s">
        <v>9</v>
      </c>
      <c r="AI324" s="54" t="s">
        <v>32</v>
      </c>
      <c r="AJ324" s="112">
        <f ca="1">Y324*(1-Constantes!$AG15)+AJ283*AJ312/AJ$109</f>
        <v>4.5325413223140494</v>
      </c>
      <c r="AK324" s="112">
        <f ca="1">Z324*(1-Constantes!$AG15)+AK283*AK312/AK$109</f>
        <v>5.0411742729021798</v>
      </c>
      <c r="AL324" s="112">
        <f ca="1">AA324*(1-Constantes!$AG15)+AL283*AL312/AL$109</f>
        <v>3.1592137592137588</v>
      </c>
      <c r="AS324" s="12" t="s">
        <v>9</v>
      </c>
      <c r="AT324" s="54" t="s">
        <v>32</v>
      </c>
      <c r="AU324" s="112">
        <f ca="1">AJ324*(1-Constantes!$AG15)+AU283*AU312/AU$109</f>
        <v>4.5996697186912474</v>
      </c>
      <c r="AV324" s="112">
        <f ca="1">AK324*(1-Constantes!$AG15)+AV283*AV312/AV$109</f>
        <v>5.4616211246286523</v>
      </c>
      <c r="AW324" s="112">
        <f ca="1">AL324*(1-Constantes!$AG15)+AW283*AW312/AW$109</f>
        <v>3.6647303088627057</v>
      </c>
    </row>
    <row r="325" spans="1:50" ht="21" customHeight="1" thickBot="1" x14ac:dyDescent="0.3">
      <c r="A325" s="15"/>
      <c r="B325" s="56" t="s">
        <v>10</v>
      </c>
      <c r="C325" s="267">
        <f ca="1">'Historique T=0'!F16*(1-Constantes!$AG16)+C284*C313/C$109</f>
        <v>1.2000000000000002</v>
      </c>
      <c r="D325" s="268">
        <f ca="1">'Historique T=0'!G16*(1-Constantes!$AG16)+D284*D313/D$109</f>
        <v>3.6738786279683375</v>
      </c>
      <c r="E325" s="269">
        <f ca="1">'Historique T=0'!H16*(1-Constantes!$AG16)+E284*E313/E$109</f>
        <v>8.4826546003016592</v>
      </c>
      <c r="L325" s="15"/>
      <c r="M325" s="56" t="s">
        <v>10</v>
      </c>
      <c r="N325" s="112">
        <f ca="1">C325*(1-Constantes!$AG16)+N284*N313/N$109</f>
        <v>1.2000000000000002</v>
      </c>
      <c r="O325" s="112">
        <f ca="1">D325*(1-Constantes!$AG16)+O284*O313/O$109</f>
        <v>3.8188311732660081</v>
      </c>
      <c r="P325" s="112">
        <f ca="1">E325*(1-Constantes!$AG16)+P284*P313/P$109</f>
        <v>9.0154181330651912</v>
      </c>
      <c r="W325" s="15"/>
      <c r="X325" s="56" t="s">
        <v>10</v>
      </c>
      <c r="Y325" s="112">
        <f ca="1">N325*(1-Constantes!$AG16)+Y284*Y313/Y$109</f>
        <v>1.2000000000000002</v>
      </c>
      <c r="Z325" s="112">
        <f ca="1">O325*(1-Constantes!$AG16)+Z284*Z313/Z$109</f>
        <v>3.9193166101592118</v>
      </c>
      <c r="AA325" s="112">
        <f ca="1">P325*(1-Constantes!$AG16)+AA284*AA313/AA$109</f>
        <v>9.1930243106713689</v>
      </c>
      <c r="AH325" s="15"/>
      <c r="AI325" s="56" t="s">
        <v>10</v>
      </c>
      <c r="AJ325" s="112">
        <f ca="1">Y325*(1-Constantes!$AG16)+AJ284*AJ313/AJ$109</f>
        <v>1.2000000000000002</v>
      </c>
      <c r="AK325" s="112">
        <f ca="1">Z325*(1-Constantes!$AG16)+AK284*AK313/AK$109</f>
        <v>3.9589148884949363</v>
      </c>
      <c r="AL325" s="112">
        <f ca="1">AA325*(1-Constantes!$AG16)+AL284*AL313/AL$109</f>
        <v>9.2925914102384688</v>
      </c>
      <c r="AS325" s="15"/>
      <c r="AT325" s="56" t="s">
        <v>10</v>
      </c>
      <c r="AU325" s="112">
        <f ca="1">AJ325*(1-Constantes!$AG16)+AU284*AU313/AU$109</f>
        <v>1.20671283963772</v>
      </c>
      <c r="AV325" s="112">
        <f ca="1">AK325*(1-Constantes!$AG16)+AV284*AV313/AV$109</f>
        <v>4.024317732096832</v>
      </c>
      <c r="AW325" s="112">
        <f ca="1">AL325*(1-Constantes!$AG16)+AW284*AW313/AW$109</f>
        <v>9.4771450712214182</v>
      </c>
    </row>
    <row r="326" spans="1:50" ht="21" customHeight="1" x14ac:dyDescent="0.25">
      <c r="A326" s="12" t="s">
        <v>11</v>
      </c>
      <c r="B326" s="54" t="s">
        <v>33</v>
      </c>
      <c r="C326" s="264">
        <f ca="1">'Historique T=0'!F17*(1-Constantes!$AG17)+C285*C314/C$109</f>
        <v>5.4985337243401764</v>
      </c>
      <c r="D326" s="265">
        <f ca="1">'Historique T=0'!G17*(1-Constantes!$AG17)+D285*D314/D$109</f>
        <v>6.9125769569041333</v>
      </c>
      <c r="E326" s="266">
        <f ca="1">'Historique T=0'!H17*(1-Constantes!$AG17)+E285*E314/E$109</f>
        <v>13.186123680241328</v>
      </c>
      <c r="L326" s="12" t="s">
        <v>11</v>
      </c>
      <c r="M326" s="54" t="s">
        <v>33</v>
      </c>
      <c r="N326" s="112">
        <f ca="1">C326*(1-Constantes!$AG17)+N285*N314/N$109</f>
        <v>5.779505864233478</v>
      </c>
      <c r="O326" s="112">
        <f ca="1">D326*(1-Constantes!$AG17)+O285*O314/O$109</f>
        <v>7.1783232899498621</v>
      </c>
      <c r="P326" s="112">
        <f ca="1">E326*(1-Constantes!$AG17)+P285*P314/P$109</f>
        <v>13.619172113289762</v>
      </c>
      <c r="W326" s="12" t="s">
        <v>11</v>
      </c>
      <c r="X326" s="54" t="s">
        <v>33</v>
      </c>
      <c r="Y326" s="112">
        <f ca="1">N326*(1-Constantes!$AG17)+Y285*Y314/Y$109</f>
        <v>5.8659552638904247</v>
      </c>
      <c r="Z326" s="112">
        <f ca="1">O326*(1-Constantes!$AG17)+Z285*Z314/Z$109</f>
        <v>7.3197472381699269</v>
      </c>
      <c r="AA326" s="112">
        <f ca="1">P326*(1-Constantes!$AG17)+AA285*AA314/AA$109</f>
        <v>13.792145086262735</v>
      </c>
      <c r="AH326" s="12" t="s">
        <v>11</v>
      </c>
      <c r="AI326" s="54" t="s">
        <v>33</v>
      </c>
      <c r="AJ326" s="112">
        <f ca="1">Y326*(1-Constantes!$AG17)+AJ285*AJ314/AJ$109</f>
        <v>5.9310379085185234</v>
      </c>
      <c r="AK326" s="112">
        <f ca="1">Z326*(1-Constantes!$AG17)+AK285*AK314/AK$109</f>
        <v>7.4385420731771008</v>
      </c>
      <c r="AL326" s="112">
        <f ca="1">AA326*(1-Constantes!$AG17)+AL285*AL314/AL$109</f>
        <v>14.010326904444554</v>
      </c>
      <c r="AS326" s="12" t="s">
        <v>11</v>
      </c>
      <c r="AT326" s="54" t="s">
        <v>33</v>
      </c>
      <c r="AU326" s="112">
        <f ca="1">AJ326*(1-Constantes!$AG17)+AU285*AU314/AU$109</f>
        <v>5.9981663048957214</v>
      </c>
      <c r="AV326" s="112">
        <f ca="1">AK326*(1-Constantes!$AG17)+AV285*AV314/AV$109</f>
        <v>7.5631189181330924</v>
      </c>
      <c r="AW326" s="112">
        <f ca="1">AL326*(1-Constantes!$AG17)+AW285*AW314/AW$109</f>
        <v>14.229384075959098</v>
      </c>
    </row>
    <row r="327" spans="1:50" ht="21" customHeight="1" x14ac:dyDescent="0.25">
      <c r="A327" s="17"/>
      <c r="B327" s="57" t="s">
        <v>34</v>
      </c>
      <c r="C327" s="270">
        <f ca="1">'Historique T=0'!F18*(1-Constantes!$AG18)+C286*C315/C$109</f>
        <v>6.2076246334310854</v>
      </c>
      <c r="D327" s="147">
        <f ca="1">'Historique T=0'!G18*(1-Constantes!$AG18)+D286*D315/D$109</f>
        <v>8.1702726473175016</v>
      </c>
      <c r="E327" s="271">
        <f ca="1">'Historique T=0'!H18*(1-Constantes!$AG18)+E286*E315/E$109</f>
        <v>8.1085972850678729</v>
      </c>
      <c r="L327" s="17"/>
      <c r="M327" s="57" t="s">
        <v>34</v>
      </c>
      <c r="N327" s="112">
        <f ca="1">C327*(1-Constantes!$AG18)+N286*N315/N$109</f>
        <v>6.3285493518661768</v>
      </c>
      <c r="O327" s="112">
        <f ca="1">D327*(1-Constantes!$AG18)+O286*O315/O$109</f>
        <v>8.4208334756177603</v>
      </c>
      <c r="P327" s="112">
        <f ca="1">E327*(1-Constantes!$AG18)+P286*P315/P$109</f>
        <v>8.3479135243841114</v>
      </c>
      <c r="W327" s="17"/>
      <c r="X327" s="57" t="s">
        <v>34</v>
      </c>
      <c r="Y327" s="112">
        <f ca="1">N327*(1-Constantes!$AG18)+Y286*Y315/Y$109</f>
        <v>6.3969884599279263</v>
      </c>
      <c r="Z327" s="112">
        <f ca="1">O327*(1-Constantes!$AG18)+Z286*Z315/Z$109</f>
        <v>8.5697007895336181</v>
      </c>
      <c r="AA327" s="112">
        <f ca="1">P327*(1-Constantes!$AG18)+AA286*AA315/AA$109</f>
        <v>8.46683244330303</v>
      </c>
      <c r="AH327" s="17"/>
      <c r="AI327" s="57" t="s">
        <v>34</v>
      </c>
      <c r="AJ327" s="112">
        <f ca="1">Y327*(1-Constantes!$AG18)+AJ286*AJ315/AJ$109</f>
        <v>6.4327839144733812</v>
      </c>
      <c r="AK327" s="112">
        <f ca="1">Z327*(1-Constantes!$AG18)+AK286*AK315/AK$109</f>
        <v>8.6290982070372042</v>
      </c>
      <c r="AL327" s="112">
        <f ca="1">AA327*(1-Constantes!$AG18)+AL286*AL315/AL$109</f>
        <v>8.5304688069393944</v>
      </c>
      <c r="AS327" s="17"/>
      <c r="AT327" s="57" t="s">
        <v>34</v>
      </c>
      <c r="AU327" s="112">
        <f ca="1">AJ327*(1-Constantes!$AG18)+AU286*AU315/AU$109</f>
        <v>6.4596352730242605</v>
      </c>
      <c r="AV327" s="112">
        <f ca="1">AK327*(1-Constantes!$AG18)+AV286*AV315/AV$109</f>
        <v>8.7910481054799945</v>
      </c>
      <c r="AW327" s="112">
        <f ca="1">AL327*(1-Constantes!$AG18)+AW286*AW315/AW$109</f>
        <v>8.6821237718340782</v>
      </c>
    </row>
    <row r="328" spans="1:50" ht="21" customHeight="1" thickBot="1" x14ac:dyDescent="0.3">
      <c r="A328" s="15"/>
      <c r="B328" s="56" t="s">
        <v>12</v>
      </c>
      <c r="C328" s="267">
        <f ca="1">'Historique T=0'!F19*(1-Constantes!$AG19)+C287*C316/C$109</f>
        <v>0</v>
      </c>
      <c r="D328" s="268">
        <f ca="1">'Historique T=0'!G19*(1-Constantes!$AG19)+D287*D316/D$109</f>
        <v>0</v>
      </c>
      <c r="E328" s="269">
        <f ca="1">'Historique T=0'!H19*(1-Constantes!$AG19)+E287*E316/E$109</f>
        <v>0</v>
      </c>
      <c r="L328" s="15"/>
      <c r="M328" s="56" t="s">
        <v>12</v>
      </c>
      <c r="N328" s="112">
        <f ca="1">C328*(1-Constantes!$AG19)+N287*N316/N$109</f>
        <v>0</v>
      </c>
      <c r="O328" s="112">
        <f ca="1">D328*(1-Constantes!$AG19)+O287*O316/O$109</f>
        <v>0</v>
      </c>
      <c r="P328" s="112">
        <f ca="1">E328*(1-Constantes!$AG19)+P287*P316/P$109</f>
        <v>0</v>
      </c>
      <c r="W328" s="15"/>
      <c r="X328" s="56" t="s">
        <v>12</v>
      </c>
      <c r="Y328" s="112">
        <f ca="1">N328*(1-Constantes!$AG19)+Y287*Y316/Y$109</f>
        <v>0.19511149228130359</v>
      </c>
      <c r="Z328" s="112">
        <f ca="1">O328*(1-Constantes!$AG19)+Z287*Z316/Z$109</f>
        <v>0</v>
      </c>
      <c r="AA328" s="112">
        <f ca="1">P328*(1-Constantes!$AG19)+AA287*AA316/AA$109</f>
        <v>0.20270270270270271</v>
      </c>
      <c r="AH328" s="15"/>
      <c r="AI328" s="56" t="s">
        <v>12</v>
      </c>
      <c r="AJ328" s="112">
        <f ca="1">Y328*(1-Constantes!$AG19)+AJ287*AJ316/AJ$109</f>
        <v>0.29002368236394821</v>
      </c>
      <c r="AK328" s="112">
        <f ca="1">Z328*(1-Constantes!$AG19)+AK287*AK316/AK$109</f>
        <v>0.13181492109038737</v>
      </c>
      <c r="AL328" s="112">
        <f ca="1">AA328*(1-Constantes!$AG19)+AL287*AL316/AL$109</f>
        <v>0.25952088452088451</v>
      </c>
      <c r="AS328" s="15"/>
      <c r="AT328" s="56" t="s">
        <v>12</v>
      </c>
      <c r="AU328" s="112">
        <f ca="1">AJ328*(1-Constantes!$AG19)+AU287*AU316/AU$109</f>
        <v>0.38791926041402813</v>
      </c>
      <c r="AV328" s="112">
        <f ca="1">AK328*(1-Constantes!$AG19)+AV287*AV316/AV$109</f>
        <v>0.256222504028776</v>
      </c>
      <c r="AW328" s="112">
        <f ca="1">AL328*(1-Constantes!$AG19)+AW287*AW316/AW$109</f>
        <v>0.46137645122098481</v>
      </c>
    </row>
    <row r="329" spans="1:50" ht="21" customHeight="1" x14ac:dyDescent="0.25"/>
    <row r="330" spans="1:50" ht="21" customHeight="1" x14ac:dyDescent="0.25">
      <c r="B330" s="36" t="s">
        <v>252</v>
      </c>
      <c r="M330" s="36" t="s">
        <v>252</v>
      </c>
      <c r="X330" s="36" t="s">
        <v>252</v>
      </c>
      <c r="AI330" s="36" t="s">
        <v>252</v>
      </c>
      <c r="AT330" s="36" t="s">
        <v>252</v>
      </c>
    </row>
    <row r="331" spans="1:50" ht="21" customHeight="1" thickBot="1" x14ac:dyDescent="0.3">
      <c r="C331" s="75" t="str">
        <f>C293</f>
        <v>junior</v>
      </c>
      <c r="D331" s="75" t="str">
        <f>D293</f>
        <v>senior</v>
      </c>
      <c r="E331" s="75" t="str">
        <f>E293</f>
        <v>premium</v>
      </c>
      <c r="F331" s="38" t="s">
        <v>225</v>
      </c>
      <c r="N331" s="221" t="str">
        <f>N293</f>
        <v>junior</v>
      </c>
      <c r="O331" s="221" t="str">
        <f>O293</f>
        <v>senior</v>
      </c>
      <c r="P331" s="221" t="str">
        <f>P293</f>
        <v>premium</v>
      </c>
      <c r="Q331" s="38" t="s">
        <v>225</v>
      </c>
      <c r="R331" s="38"/>
      <c r="S331" s="38"/>
      <c r="T331" s="38"/>
      <c r="U331" s="38"/>
      <c r="Y331" s="286" t="str">
        <f>Y293</f>
        <v>junior</v>
      </c>
      <c r="Z331" s="286" t="str">
        <f>Z293</f>
        <v>senior</v>
      </c>
      <c r="AA331" s="286" t="str">
        <f>AA293</f>
        <v>premium</v>
      </c>
      <c r="AB331" s="38" t="s">
        <v>225</v>
      </c>
      <c r="AC331" s="38"/>
      <c r="AD331" s="38"/>
      <c r="AE331" s="38"/>
      <c r="AF331" s="38"/>
      <c r="AJ331" s="286" t="str">
        <f>AJ293</f>
        <v>junior</v>
      </c>
      <c r="AK331" s="286" t="str">
        <f>AK293</f>
        <v>senior</v>
      </c>
      <c r="AL331" s="286" t="str">
        <f>AL293</f>
        <v>premium</v>
      </c>
      <c r="AM331" s="38" t="s">
        <v>225</v>
      </c>
      <c r="AN331" s="38"/>
      <c r="AO331" s="38"/>
      <c r="AP331" s="38"/>
      <c r="AQ331" s="38"/>
      <c r="AU331" s="287" t="str">
        <f>AU293</f>
        <v>junior</v>
      </c>
      <c r="AV331" s="287" t="str">
        <f>AV293</f>
        <v>senior</v>
      </c>
      <c r="AW331" s="287" t="str">
        <f>AW293</f>
        <v>premium</v>
      </c>
      <c r="AX331" s="38" t="s">
        <v>225</v>
      </c>
    </row>
    <row r="332" spans="1:50" ht="21" customHeight="1" x14ac:dyDescent="0.25">
      <c r="A332" s="12" t="s">
        <v>4</v>
      </c>
      <c r="B332" s="54" t="s">
        <v>5</v>
      </c>
      <c r="C332" s="273">
        <f ca="1">C278*C294+C319*C$109*Constantes!$T10</f>
        <v>1047.951</v>
      </c>
      <c r="D332" s="274">
        <f ca="1">D278*D294+D319*D$109*Constantes!$U10</f>
        <v>1227.8365199999998</v>
      </c>
      <c r="E332" s="275">
        <f ca="1">E278*E294+E319*E$109*Constantes!$V10</f>
        <v>1390.3700999999999</v>
      </c>
      <c r="F332" s="281">
        <f ca="1">SUM(C332:E332)</f>
        <v>3666.15762</v>
      </c>
      <c r="L332" s="12" t="s">
        <v>4</v>
      </c>
      <c r="M332" s="54" t="s">
        <v>5</v>
      </c>
      <c r="N332" s="112">
        <f ca="1">N278*N294+N319*N$109*Constantes!$T10</f>
        <v>1044.4080490434017</v>
      </c>
      <c r="O332" s="112">
        <f ca="1">O278*O294+O319*O$109*Constantes!$U10</f>
        <v>1290.7634070652241</v>
      </c>
      <c r="P332" s="112">
        <f ca="1">P278*P294+P319*P$109*Constantes!$V10</f>
        <v>1471.4985409764704</v>
      </c>
      <c r="Q332" s="112">
        <f ca="1">SUM(N332:P332)</f>
        <v>3806.6699970850959</v>
      </c>
      <c r="R332" s="753"/>
      <c r="S332" s="753"/>
      <c r="T332" s="753"/>
      <c r="U332" s="753"/>
      <c r="W332" s="12" t="s">
        <v>4</v>
      </c>
      <c r="X332" s="54" t="s">
        <v>5</v>
      </c>
      <c r="Y332" s="112">
        <f ca="1">Y278*Y294+Y319*Y$109*Constantes!$T10</f>
        <v>1082.1029546329639</v>
      </c>
      <c r="Z332" s="112">
        <f ca="1">Z278*Z294+Z319*Z$109*Constantes!$U10</f>
        <v>1390.3625925003389</v>
      </c>
      <c r="AA332" s="112">
        <f ca="1">AA278*AA294+AA319*AA$109*Constantes!$V10</f>
        <v>1631.686694553154</v>
      </c>
      <c r="AB332" s="112">
        <f ca="1">SUM(Y332:AA332)</f>
        <v>4104.1522416864564</v>
      </c>
      <c r="AC332" s="753"/>
      <c r="AD332" s="753"/>
      <c r="AE332" s="753"/>
      <c r="AF332" s="753"/>
      <c r="AH332" s="12" t="s">
        <v>4</v>
      </c>
      <c r="AI332" s="54" t="s">
        <v>5</v>
      </c>
      <c r="AJ332" s="112">
        <f ca="1">AJ278*AJ294+AJ319*AJ$109*Constantes!$T10</f>
        <v>1190.1031034918328</v>
      </c>
      <c r="AK332" s="112">
        <f ca="1">AK278*AK294+AK319*AK$109*Constantes!$U10</f>
        <v>1555.9897921069428</v>
      </c>
      <c r="AL332" s="112">
        <f ca="1">AL278*AL294+AL319*AL$109*Constantes!$V10</f>
        <v>1922.4041830014694</v>
      </c>
      <c r="AM332" s="112">
        <f ca="1">SUM(AJ332:AL332)</f>
        <v>4668.497078600245</v>
      </c>
      <c r="AN332" s="753"/>
      <c r="AO332" s="753"/>
      <c r="AP332" s="753"/>
      <c r="AQ332" s="753"/>
      <c r="AS332" s="12" t="s">
        <v>4</v>
      </c>
      <c r="AT332" s="54" t="s">
        <v>5</v>
      </c>
      <c r="AU332" s="112">
        <f ca="1">AU278*AU294+AU319*AU$109*Constantes!$T10</f>
        <v>1146.5971174720382</v>
      </c>
      <c r="AV332" s="112">
        <f ca="1">AV278*AV294+AV319*AV$109*Constantes!$U10</f>
        <v>1649.2825559137084</v>
      </c>
      <c r="AW332" s="112">
        <f ca="1">AW278*AW294+AW319*AW$109*Constantes!$V10</f>
        <v>2076.296763892406</v>
      </c>
      <c r="AX332" s="112">
        <f ca="1">SUM(AU332:AW332)</f>
        <v>4872.1764372781527</v>
      </c>
    </row>
    <row r="333" spans="1:50" ht="21" customHeight="1" thickBot="1" x14ac:dyDescent="0.3">
      <c r="A333" s="15"/>
      <c r="B333" s="56" t="s">
        <v>31</v>
      </c>
      <c r="C333" s="276">
        <f ca="1">C279*C295+C320*C$109*Constantes!$T11</f>
        <v>3231.0431999999996</v>
      </c>
      <c r="D333" s="277">
        <f ca="1">D279*D295+D320*D$109*Constantes!$U11</f>
        <v>6095.9826000000003</v>
      </c>
      <c r="E333" s="278">
        <f ca="1">E279*E295+E320*E$109*Constantes!$V11</f>
        <v>6354.0576000000001</v>
      </c>
      <c r="F333" s="281">
        <f t="shared" ref="F333:F341" ca="1" si="52">SUM(C333:E333)</f>
        <v>15681.0834</v>
      </c>
      <c r="L333" s="15"/>
      <c r="M333" s="56" t="s">
        <v>31</v>
      </c>
      <c r="N333" s="112">
        <f ca="1">N279*N295+N320*N$109*Constantes!$T11</f>
        <v>3155.3723577599994</v>
      </c>
      <c r="O333" s="112">
        <f ca="1">O279*O295+O320*O$109*Constantes!$U11</f>
        <v>6232.1536179118739</v>
      </c>
      <c r="P333" s="112">
        <f ca="1">P279*P295+P320*P$109*Constantes!$V11</f>
        <v>6983.5639600941186</v>
      </c>
      <c r="Q333" s="112">
        <f t="shared" ref="Q333:Q341" ca="1" si="53">SUM(N333:P333)</f>
        <v>16371.089935765991</v>
      </c>
      <c r="R333" s="753"/>
      <c r="S333" s="753"/>
      <c r="T333" s="753"/>
      <c r="U333" s="753"/>
      <c r="W333" s="15"/>
      <c r="X333" s="56" t="s">
        <v>31</v>
      </c>
      <c r="Y333" s="112">
        <f ca="1">Y279*Y295+Y320*Y$109*Constantes!$T11</f>
        <v>3254.0100488582398</v>
      </c>
      <c r="Z333" s="112">
        <f ca="1">Z279*Z295+Z320*Z$109*Constantes!$U11</f>
        <v>6673.1960547079107</v>
      </c>
      <c r="AA333" s="112">
        <f ca="1">AA279*AA295+AA320*AA$109*Constantes!$V11</f>
        <v>7780.9854949176915</v>
      </c>
      <c r="AB333" s="112">
        <f t="shared" ref="AB333:AB341" ca="1" si="54">SUM(Y333:AA333)</f>
        <v>17708.191598483842</v>
      </c>
      <c r="AC333" s="753"/>
      <c r="AD333" s="753"/>
      <c r="AE333" s="753"/>
      <c r="AF333" s="753"/>
      <c r="AH333" s="15"/>
      <c r="AI333" s="56" t="s">
        <v>31</v>
      </c>
      <c r="AJ333" s="112">
        <f ca="1">AJ279*AJ295+AJ320*AJ$109*Constantes!$T11</f>
        <v>3575.2580730016512</v>
      </c>
      <c r="AK333" s="112">
        <f ca="1">AK279*AK295+AK320*AK$109*Constantes!$U11</f>
        <v>7456.7510043360917</v>
      </c>
      <c r="AL333" s="112">
        <f ca="1">AL279*AL295+AL320*AL$109*Constantes!$V11</f>
        <v>9229.3740019806883</v>
      </c>
      <c r="AM333" s="112">
        <f t="shared" ref="AM333:AM341" ca="1" si="55">SUM(AJ333:AL333)</f>
        <v>20261.383079318432</v>
      </c>
      <c r="AN333" s="753"/>
      <c r="AO333" s="753"/>
      <c r="AP333" s="753"/>
      <c r="AQ333" s="753"/>
      <c r="AS333" s="15"/>
      <c r="AT333" s="56" t="s">
        <v>31</v>
      </c>
      <c r="AU333" s="112">
        <f ca="1">AU279*AU295+AU320*AU$109*Constantes!$T11</f>
        <v>3446.4394270582575</v>
      </c>
      <c r="AV333" s="112">
        <f ca="1">AV279*AV295+AV320*AV$109*Constantes!$U11</f>
        <v>7901.9730684147426</v>
      </c>
      <c r="AW333" s="112">
        <f ca="1">AW279*AW295+AW320*AW$109*Constantes!$V11</f>
        <v>10008.473553609389</v>
      </c>
      <c r="AX333" s="112">
        <f t="shared" ref="AX333:AX341" ca="1" si="56">SUM(AU333:AW333)</f>
        <v>21356.886049082386</v>
      </c>
    </row>
    <row r="334" spans="1:50" ht="21" customHeight="1" x14ac:dyDescent="0.25">
      <c r="A334" s="12" t="s">
        <v>6</v>
      </c>
      <c r="B334" s="54" t="s">
        <v>7</v>
      </c>
      <c r="C334" s="273">
        <f ca="1">C280*C296+C321*C$109*Constantes!$T12</f>
        <v>10097.009999999998</v>
      </c>
      <c r="D334" s="274">
        <f ca="1">D280*D296+D321*D$109*Constantes!$U12</f>
        <v>15419.956499999997</v>
      </c>
      <c r="E334" s="275">
        <f ca="1">E280*E296+E321*E$109*Constantes!$V12</f>
        <v>10805.714999999998</v>
      </c>
      <c r="F334" s="281">
        <f t="shared" ca="1" si="52"/>
        <v>36322.681499999992</v>
      </c>
      <c r="L334" s="12" t="s">
        <v>6</v>
      </c>
      <c r="M334" s="54" t="s">
        <v>7</v>
      </c>
      <c r="N334" s="112">
        <f ca="1">N280*N296+N321*N$109*Constantes!$T12</f>
        <v>9860.5386180000005</v>
      </c>
      <c r="O334" s="112">
        <f ca="1">O280*O296+O321*O$109*Constantes!$U12</f>
        <v>15603.981617339046</v>
      </c>
      <c r="P334" s="112">
        <f ca="1">P280*P296+P321*P$109*Constantes!$V12</f>
        <v>11787.607805294119</v>
      </c>
      <c r="Q334" s="112">
        <f t="shared" ca="1" si="53"/>
        <v>37252.128040633164</v>
      </c>
      <c r="R334" s="753"/>
      <c r="S334" s="753"/>
      <c r="T334" s="753"/>
      <c r="U334" s="753"/>
      <c r="W334" s="12" t="s">
        <v>6</v>
      </c>
      <c r="X334" s="54" t="s">
        <v>7</v>
      </c>
      <c r="Y334" s="112">
        <f ca="1">Y280*Y296+Y321*Y$109*Constantes!$T12</f>
        <v>10090.031402681998</v>
      </c>
      <c r="Z334" s="112">
        <f ca="1">Z280*Z296+Z321*Z$109*Constantes!$U12</f>
        <v>16579.578302332753</v>
      </c>
      <c r="AA334" s="112">
        <f ca="1">AA280*AA296+AA321*AA$109*Constantes!$V12</f>
        <v>13739.85703457586</v>
      </c>
      <c r="AB334" s="112">
        <f t="shared" ca="1" si="54"/>
        <v>40409.466739590614</v>
      </c>
      <c r="AC334" s="753"/>
      <c r="AD334" s="753"/>
      <c r="AE334" s="753"/>
      <c r="AF334" s="753"/>
      <c r="AH334" s="12" t="s">
        <v>6</v>
      </c>
      <c r="AI334" s="54" t="s">
        <v>7</v>
      </c>
      <c r="AJ334" s="112">
        <f ca="1">AJ280*AJ296+AJ321*AJ$109*Constantes!$T12</f>
        <v>11023.644874356574</v>
      </c>
      <c r="AK334" s="112">
        <f ca="1">AK280*AK296+AK321*AK$109*Constantes!$U12</f>
        <v>18559.387569139952</v>
      </c>
      <c r="AL334" s="112">
        <f ca="1">AL280*AL296+AL321*AL$109*Constantes!$V12</f>
        <v>16396.878683717845</v>
      </c>
      <c r="AM334" s="112">
        <f t="shared" ca="1" si="55"/>
        <v>45979.911127214371</v>
      </c>
      <c r="AN334" s="753"/>
      <c r="AO334" s="753"/>
      <c r="AP334" s="753"/>
      <c r="AQ334" s="753"/>
      <c r="AS334" s="12" t="s">
        <v>6</v>
      </c>
      <c r="AT334" s="54" t="s">
        <v>7</v>
      </c>
      <c r="AU334" s="112">
        <f ca="1">AU280*AU296+AU321*AU$109*Constantes!$T12</f>
        <v>10580.256957948404</v>
      </c>
      <c r="AV334" s="112">
        <f ca="1">AV280*AV296+AV321*AV$109*Constantes!$U12</f>
        <v>19516.792423891427</v>
      </c>
      <c r="AW334" s="112">
        <f ca="1">AW280*AW296+AW321*AW$109*Constantes!$V12</f>
        <v>18362.303141825785</v>
      </c>
      <c r="AX334" s="112">
        <f t="shared" ca="1" si="56"/>
        <v>48459.352523665613</v>
      </c>
    </row>
    <row r="335" spans="1:50" ht="21" customHeight="1" x14ac:dyDescent="0.25">
      <c r="A335" s="17"/>
      <c r="B335" s="57" t="s">
        <v>8</v>
      </c>
      <c r="C335" s="279">
        <f ca="1">C281*C297+C322*C$109*Constantes!$T13</f>
        <v>817.36079999999993</v>
      </c>
      <c r="D335" s="112">
        <f ca="1">D281*D297+D322*D$109*Constantes!$U13</f>
        <v>822.39767999999992</v>
      </c>
      <c r="E335" s="280">
        <f ca="1">E281*E297+E322*E$109*Constantes!$V13</f>
        <v>374.96573999999998</v>
      </c>
      <c r="F335" s="281">
        <f t="shared" ca="1" si="52"/>
        <v>2014.7242200000001</v>
      </c>
      <c r="L335" s="17"/>
      <c r="M335" s="57" t="s">
        <v>8</v>
      </c>
      <c r="N335" s="112">
        <f ca="1">N281*N297+N322*N$109*Constantes!$T13</f>
        <v>809.01825800304971</v>
      </c>
      <c r="O335" s="112">
        <f ca="1">O281*O297+O322*O$109*Constantes!$U13</f>
        <v>851.17235292474913</v>
      </c>
      <c r="P335" s="112">
        <f ca="1">P281*P297+P322*P$109*Constantes!$V13</f>
        <v>424.26125510823522</v>
      </c>
      <c r="Q335" s="112">
        <f t="shared" ca="1" si="53"/>
        <v>2084.4518660360341</v>
      </c>
      <c r="R335" s="753"/>
      <c r="S335" s="753"/>
      <c r="T335" s="753"/>
      <c r="U335" s="753"/>
      <c r="W335" s="17"/>
      <c r="X335" s="57" t="s">
        <v>8</v>
      </c>
      <c r="Y335" s="112">
        <f ca="1">Y281*Y297+Y322*Y$109*Constantes!$T13</f>
        <v>834.14723480445696</v>
      </c>
      <c r="Z335" s="112">
        <f ca="1">Z281*Z297+Z322*Z$109*Constantes!$U13</f>
        <v>923.52095845400777</v>
      </c>
      <c r="AA335" s="112">
        <f ca="1">AA281*AA297+AA322*AA$109*Constantes!$V13</f>
        <v>486.16366421830543</v>
      </c>
      <c r="AB335" s="112">
        <f t="shared" ca="1" si="54"/>
        <v>2243.83185747677</v>
      </c>
      <c r="AC335" s="753"/>
      <c r="AD335" s="753"/>
      <c r="AE335" s="753"/>
      <c r="AF335" s="753"/>
      <c r="AH335" s="17"/>
      <c r="AI335" s="57" t="s">
        <v>8</v>
      </c>
      <c r="AJ335" s="112">
        <f ca="1">AJ281*AJ297+AJ322*AJ$109*Constantes!$T13</f>
        <v>916.36946196447695</v>
      </c>
      <c r="AK335" s="112">
        <f ca="1">AK281*AK297+AK322*AK$109*Constantes!$U13</f>
        <v>1044.595735660019</v>
      </c>
      <c r="AL335" s="112">
        <f ca="1">AL281*AL297+AL322*AL$109*Constantes!$V13</f>
        <v>599.6047462073667</v>
      </c>
      <c r="AM335" s="112">
        <f t="shared" ca="1" si="55"/>
        <v>2560.5699438318625</v>
      </c>
      <c r="AN335" s="753"/>
      <c r="AO335" s="753"/>
      <c r="AP335" s="753"/>
      <c r="AQ335" s="753"/>
      <c r="AS335" s="17"/>
      <c r="AT335" s="57" t="s">
        <v>8</v>
      </c>
      <c r="AU335" s="112">
        <f ca="1">AU281*AU297+AU322*AU$109*Constantes!$T13</f>
        <v>879.41315540595451</v>
      </c>
      <c r="AV335" s="112">
        <f ca="1">AV281*AV297+AV322*AV$109*Constantes!$U13</f>
        <v>1100.6836003224103</v>
      </c>
      <c r="AW335" s="112">
        <f ca="1">AW281*AW297+AW322*AW$109*Constantes!$V13</f>
        <v>667.54542733024982</v>
      </c>
      <c r="AX335" s="112">
        <f t="shared" ca="1" si="56"/>
        <v>2647.6421830586146</v>
      </c>
    </row>
    <row r="336" spans="1:50" ht="21" customHeight="1" thickBot="1" x14ac:dyDescent="0.3">
      <c r="A336" s="15"/>
      <c r="B336" s="56" t="s">
        <v>157</v>
      </c>
      <c r="C336" s="276">
        <f ca="1">C282*C298+C323*C$109*Constantes!$T14</f>
        <v>1262.1262500000003</v>
      </c>
      <c r="D336" s="277">
        <f ca="1">D282*D298+D323*D$109*Constantes!$U14</f>
        <v>596.10950000000003</v>
      </c>
      <c r="E336" s="278">
        <f ca="1">E282*E298+E323*E$109*Constantes!$V14</f>
        <v>229.49406250000001</v>
      </c>
      <c r="F336" s="281">
        <f t="shared" ca="1" si="52"/>
        <v>2087.7298125000002</v>
      </c>
      <c r="L336" s="15"/>
      <c r="M336" s="56" t="s">
        <v>157</v>
      </c>
      <c r="N336" s="112">
        <f ca="1">N282*N298+N323*N$109*Constantes!$T14</f>
        <v>1281.3173272499998</v>
      </c>
      <c r="O336" s="112">
        <f ca="1">O282*O298+O323*O$109*Constantes!$U14</f>
        <v>669.74435238654348</v>
      </c>
      <c r="P336" s="112">
        <f ca="1">P282*P298+P323*P$109*Constantes!$V14</f>
        <v>302.33479496323531</v>
      </c>
      <c r="Q336" s="112">
        <f t="shared" ca="1" si="53"/>
        <v>2253.3964745997787</v>
      </c>
      <c r="R336" s="753"/>
      <c r="S336" s="753"/>
      <c r="T336" s="753"/>
      <c r="U336" s="753"/>
      <c r="W336" s="15"/>
      <c r="X336" s="56" t="s">
        <v>157</v>
      </c>
      <c r="Y336" s="112">
        <f ca="1">Y282*Y298+Y323*Y$109*Constantes!$T14</f>
        <v>1342.6385259576564</v>
      </c>
      <c r="Z336" s="112">
        <f ca="1">Z282*Z298+Z323*Z$109*Constantes!$U14</f>
        <v>752.20476039311529</v>
      </c>
      <c r="AA336" s="112">
        <f ca="1">AA282*AA298+AA323*AA$109*Constantes!$V14</f>
        <v>343.4102591488749</v>
      </c>
      <c r="AB336" s="112">
        <f t="shared" ca="1" si="54"/>
        <v>2438.2535454996464</v>
      </c>
      <c r="AC336" s="753"/>
      <c r="AD336" s="753"/>
      <c r="AE336" s="753"/>
      <c r="AF336" s="753"/>
      <c r="AH336" s="15"/>
      <c r="AI336" s="56" t="s">
        <v>157</v>
      </c>
      <c r="AJ336" s="112">
        <f ca="1">AJ282*AJ298+AJ323*AJ$109*Constantes!$T14</f>
        <v>1506.2455888123045</v>
      </c>
      <c r="AK336" s="112">
        <f ca="1">AK282*AK298+AK323*AK$109*Constantes!$U14</f>
        <v>866.08170009721584</v>
      </c>
      <c r="AL336" s="112">
        <f ca="1">AL282*AL298+AL323*AL$109*Constantes!$V14</f>
        <v>422.75833065722537</v>
      </c>
      <c r="AM336" s="112">
        <f t="shared" ca="1" si="55"/>
        <v>2795.0856195667461</v>
      </c>
      <c r="AN336" s="753"/>
      <c r="AO336" s="753"/>
      <c r="AP336" s="753"/>
      <c r="AQ336" s="753"/>
      <c r="AS336" s="15"/>
      <c r="AT336" s="56" t="s">
        <v>157</v>
      </c>
      <c r="AU336" s="112">
        <f ca="1">AU282*AU298+AU323*AU$109*Constantes!$T14</f>
        <v>1468.9204915227717</v>
      </c>
      <c r="AV336" s="112">
        <f ca="1">AV282*AV298+AV323*AV$109*Constantes!$U14</f>
        <v>922.96953824965647</v>
      </c>
      <c r="AW336" s="112">
        <f ca="1">AW282*AW298+AW323*AW$109*Constantes!$V14</f>
        <v>471.79051400606647</v>
      </c>
      <c r="AX336" s="112">
        <f t="shared" ca="1" si="56"/>
        <v>2863.6805437784947</v>
      </c>
    </row>
    <row r="337" spans="1:50" ht="21" customHeight="1" x14ac:dyDescent="0.25">
      <c r="A337" s="12" t="s">
        <v>9</v>
      </c>
      <c r="B337" s="54" t="s">
        <v>32</v>
      </c>
      <c r="C337" s="273">
        <f ca="1">C283*C299+C324*C$109*Constantes!$T15</f>
        <v>7672.5</v>
      </c>
      <c r="D337" s="274">
        <f ca="1">D283*D299+D324*D$109*Constantes!$U15</f>
        <v>6043.2</v>
      </c>
      <c r="E337" s="275">
        <f ca="1">E283*E299+E324*E$109*Constantes!$V15</f>
        <v>1591.2</v>
      </c>
      <c r="F337" s="281">
        <f t="shared" ca="1" si="52"/>
        <v>15306.900000000001</v>
      </c>
      <c r="L337" s="12" t="s">
        <v>9</v>
      </c>
      <c r="M337" s="54" t="s">
        <v>32</v>
      </c>
      <c r="N337" s="112">
        <f ca="1">N283*N299+N324*N$109*Constantes!$T15</f>
        <v>7591.5</v>
      </c>
      <c r="O337" s="112">
        <f ca="1">O283*O299+O324*O$109*Constantes!$U15</f>
        <v>6841.1071240105539</v>
      </c>
      <c r="P337" s="112">
        <f ca="1">P283*P299+P324*P$109*Constantes!$V15</f>
        <v>1684.8</v>
      </c>
      <c r="Q337" s="112">
        <f t="shared" ca="1" si="53"/>
        <v>16117.407124010553</v>
      </c>
      <c r="R337" s="753"/>
      <c r="S337" s="753"/>
      <c r="T337" s="753"/>
      <c r="U337" s="753"/>
      <c r="W337" s="12" t="s">
        <v>9</v>
      </c>
      <c r="X337" s="54" t="s">
        <v>32</v>
      </c>
      <c r="Y337" s="112">
        <f ca="1">Y283*Y299+Y324*Y$109*Constantes!$T15</f>
        <v>7870.5</v>
      </c>
      <c r="Z337" s="112">
        <f ca="1">Z283*Z299+Z324*Z$109*Constantes!$U15</f>
        <v>7393.664715510824</v>
      </c>
      <c r="AA337" s="112">
        <f ca="1">AA283*AA299+AA324*AA$109*Constantes!$V15</f>
        <v>3502.7999999999997</v>
      </c>
      <c r="AB337" s="112">
        <f t="shared" ca="1" si="54"/>
        <v>18766.964715510825</v>
      </c>
      <c r="AC337" s="753"/>
      <c r="AD337" s="753"/>
      <c r="AE337" s="753"/>
      <c r="AF337" s="753"/>
      <c r="AH337" s="12" t="s">
        <v>9</v>
      </c>
      <c r="AI337" s="54" t="s">
        <v>32</v>
      </c>
      <c r="AJ337" s="112">
        <f ca="1">AJ283*AJ299+AJ324*AJ$109*Constantes!$T15</f>
        <v>8985</v>
      </c>
      <c r="AK337" s="112">
        <f ca="1">AK283*AK299+AK324*AK$109*Constantes!$U15</f>
        <v>8182.3969364256391</v>
      </c>
      <c r="AL337" s="112">
        <f ca="1">AL283*AL299+AL324*AL$109*Constantes!$V15</f>
        <v>3759.1135135135132</v>
      </c>
      <c r="AM337" s="112">
        <f t="shared" ca="1" si="55"/>
        <v>20926.510449939153</v>
      </c>
      <c r="AN337" s="753"/>
      <c r="AO337" s="753"/>
      <c r="AP337" s="753"/>
      <c r="AQ337" s="753"/>
      <c r="AS337" s="12" t="s">
        <v>9</v>
      </c>
      <c r="AT337" s="54" t="s">
        <v>32</v>
      </c>
      <c r="AU337" s="112">
        <f ca="1">AU283*AU299+AU324*AU$109*Constantes!$T15</f>
        <v>9053.5800619834718</v>
      </c>
      <c r="AV337" s="112">
        <f ca="1">AV283*AV299+AV324*AV$109*Constantes!$U15</f>
        <v>10136.814401076519</v>
      </c>
      <c r="AW337" s="112">
        <f ca="1">AW283*AW299+AW324*AW$109*Constantes!$V15</f>
        <v>5333.7361179361178</v>
      </c>
      <c r="AX337" s="112">
        <f t="shared" ca="1" si="56"/>
        <v>24524.130580996109</v>
      </c>
    </row>
    <row r="338" spans="1:50" ht="21" customHeight="1" thickBot="1" x14ac:dyDescent="0.3">
      <c r="A338" s="15"/>
      <c r="B338" s="56" t="s">
        <v>10</v>
      </c>
      <c r="C338" s="276">
        <f ca="1">C284*C300+C325*C$109*Constantes!$T16</f>
        <v>2046.0000000000002</v>
      </c>
      <c r="D338" s="277">
        <f ca="1">D284*D300+D325*D$109*Constantes!$U16</f>
        <v>4457.2</v>
      </c>
      <c r="E338" s="278">
        <f ca="1">E284*E300+E325*E$109*Constantes!$V16</f>
        <v>6664</v>
      </c>
      <c r="F338" s="281">
        <f t="shared" ca="1" si="52"/>
        <v>13167.2</v>
      </c>
      <c r="L338" s="15"/>
      <c r="M338" s="56" t="s">
        <v>10</v>
      </c>
      <c r="N338" s="112">
        <f ca="1">N284*N300+N325*N$109*Constantes!$T16</f>
        <v>2024.4000000000003</v>
      </c>
      <c r="O338" s="112">
        <f ca="1">O284*O300+O325*O$109*Constantes!$U16</f>
        <v>4986.0253298153029</v>
      </c>
      <c r="P338" s="112">
        <f ca="1">P284*P300+P325*P$109*Constantes!$V16</f>
        <v>7544.323529411764</v>
      </c>
      <c r="Q338" s="112">
        <f t="shared" ca="1" si="53"/>
        <v>14554.748859227067</v>
      </c>
      <c r="R338" s="753"/>
      <c r="S338" s="753"/>
      <c r="T338" s="753"/>
      <c r="U338" s="753"/>
      <c r="W338" s="15"/>
      <c r="X338" s="56" t="s">
        <v>10</v>
      </c>
      <c r="Y338" s="112">
        <f ca="1">Y284*Y300+Y325*Y$109*Constantes!$T16</f>
        <v>2098.8000000000002</v>
      </c>
      <c r="Z338" s="112">
        <f ca="1">Z284*Z300+Z325*Z$109*Constantes!$U16</f>
        <v>5258.2753301567855</v>
      </c>
      <c r="AA338" s="112">
        <f ca="1">AA284*AA300+AA325*AA$109*Constantes!$V16</f>
        <v>7591.4798893916541</v>
      </c>
      <c r="AB338" s="112">
        <f t="shared" ca="1" si="54"/>
        <v>14948.55521954844</v>
      </c>
      <c r="AC338" s="753"/>
      <c r="AD338" s="753"/>
      <c r="AE338" s="753"/>
      <c r="AF338" s="753"/>
      <c r="AH338" s="15"/>
      <c r="AI338" s="56" t="s">
        <v>10</v>
      </c>
      <c r="AJ338" s="112">
        <f ca="1">AJ284*AJ300+AJ325*AJ$109*Constantes!$T16</f>
        <v>2323.2000000000003</v>
      </c>
      <c r="AK338" s="112">
        <f ca="1">AK284*AK300+AK325*AK$109*Constantes!$U16</f>
        <v>5702.727354561941</v>
      </c>
      <c r="AL338" s="112">
        <f ca="1">AL284*AL300+AL325*AL$109*Constantes!$V16</f>
        <v>8885.3544630603446</v>
      </c>
      <c r="AM338" s="112">
        <f t="shared" ca="1" si="55"/>
        <v>16911.281817622286</v>
      </c>
      <c r="AN338" s="753"/>
      <c r="AO338" s="753"/>
      <c r="AP338" s="753"/>
      <c r="AQ338" s="753"/>
      <c r="AS338" s="15"/>
      <c r="AT338" s="56" t="s">
        <v>10</v>
      </c>
      <c r="AU338" s="112">
        <f ca="1">AU284*AU300+AU325*AU$109*Constantes!$T16</f>
        <v>2307.0000000000005</v>
      </c>
      <c r="AV338" s="112">
        <f ca="1">AV284*AV300+AV325*AV$109*Constantes!$U16</f>
        <v>6265.9172903070212</v>
      </c>
      <c r="AW338" s="112">
        <f ca="1">AW284*AW300+AW325*AW$109*Constantes!$V16</f>
        <v>10046.713636007755</v>
      </c>
      <c r="AX338" s="112">
        <f t="shared" ca="1" si="56"/>
        <v>18619.630926314778</v>
      </c>
    </row>
    <row r="339" spans="1:50" ht="21" customHeight="1" x14ac:dyDescent="0.25">
      <c r="A339" s="12" t="s">
        <v>11</v>
      </c>
      <c r="B339" s="54" t="s">
        <v>33</v>
      </c>
      <c r="C339" s="273">
        <f ca="1">C285*C301+C326*C$109*Constantes!$T17</f>
        <v>9935</v>
      </c>
      <c r="D339" s="274">
        <f ca="1">D285*D301+D326*D$109*Constantes!$U17</f>
        <v>8259.5999999999985</v>
      </c>
      <c r="E339" s="275">
        <f ca="1">E285*E301+E326*E$109*Constantes!$V17</f>
        <v>9542.4000000000015</v>
      </c>
      <c r="F339" s="281">
        <f t="shared" ca="1" si="52"/>
        <v>27737</v>
      </c>
      <c r="L339" s="12" t="s">
        <v>11</v>
      </c>
      <c r="M339" s="54" t="s">
        <v>33</v>
      </c>
      <c r="N339" s="112">
        <f ca="1">N285*N301+N326*N$109*Constantes!$T17</f>
        <v>11330.026392961878</v>
      </c>
      <c r="O339" s="112">
        <f ca="1">O285*O301+O326*O$109*Constantes!$U17</f>
        <v>9282.1766930518897</v>
      </c>
      <c r="P339" s="112">
        <f ca="1">P285*P301+P326*P$109*Constantes!$V17</f>
        <v>10510.658823529413</v>
      </c>
      <c r="Q339" s="112">
        <f t="shared" ca="1" si="53"/>
        <v>31122.861909543179</v>
      </c>
      <c r="R339" s="753"/>
      <c r="S339" s="753"/>
      <c r="T339" s="753"/>
      <c r="U339" s="753"/>
      <c r="W339" s="12" t="s">
        <v>11</v>
      </c>
      <c r="X339" s="54" t="s">
        <v>33</v>
      </c>
      <c r="Y339" s="112">
        <f ca="1">Y285*Y301+Y326*Y$109*Constantes!$T17</f>
        <v>10763.555756544352</v>
      </c>
      <c r="Z339" s="112">
        <f ca="1">Z285*Z301+Z326*Z$109*Constantes!$U17</f>
        <v>9593.4575863780301</v>
      </c>
      <c r="AA339" s="112">
        <f ca="1">AA285*AA301+AA326*AA$109*Constantes!$V17</f>
        <v>11136.496732026146</v>
      </c>
      <c r="AB339" s="112">
        <f t="shared" ca="1" si="54"/>
        <v>31493.510074948528</v>
      </c>
      <c r="AC339" s="753"/>
      <c r="AD339" s="753"/>
      <c r="AE339" s="753"/>
      <c r="AF339" s="753"/>
      <c r="AH339" s="12" t="s">
        <v>11</v>
      </c>
      <c r="AI339" s="54" t="s">
        <v>33</v>
      </c>
      <c r="AJ339" s="112">
        <f ca="1">AJ285*AJ301+AJ326*AJ$109*Constantes!$T17</f>
        <v>11902.489390891862</v>
      </c>
      <c r="AK339" s="112">
        <f ca="1">AK285*AK301+AK326*AK$109*Constantes!$U17</f>
        <v>10886.827650008878</v>
      </c>
      <c r="AL339" s="112">
        <f ca="1">AL285*AL301+AL326*AL$109*Constantes!$V17</f>
        <v>13575.542059706768</v>
      </c>
      <c r="AM339" s="112">
        <f t="shared" ca="1" si="55"/>
        <v>36364.859100607508</v>
      </c>
      <c r="AN339" s="753"/>
      <c r="AO339" s="753"/>
      <c r="AP339" s="753"/>
      <c r="AQ339" s="753"/>
      <c r="AS339" s="12" t="s">
        <v>11</v>
      </c>
      <c r="AT339" s="54" t="s">
        <v>33</v>
      </c>
      <c r="AU339" s="112">
        <f ca="1">AU285*AU301+AU326*AU$109*Constantes!$T17</f>
        <v>11678.558154289269</v>
      </c>
      <c r="AV339" s="112">
        <f ca="1">AV285*AV301+AV326*AV$109*Constantes!$U17</f>
        <v>11745.726642082578</v>
      </c>
      <c r="AW339" s="112">
        <f ca="1">AW285*AW301+AW326*AW$109*Constantes!$V17</f>
        <v>14869.19592373122</v>
      </c>
      <c r="AX339" s="112">
        <f t="shared" ca="1" si="56"/>
        <v>38293.480720103064</v>
      </c>
    </row>
    <row r="340" spans="1:50" ht="21" customHeight="1" x14ac:dyDescent="0.25">
      <c r="A340" s="17"/>
      <c r="B340" s="57" t="s">
        <v>34</v>
      </c>
      <c r="C340" s="279">
        <f ca="1">C286*C302+C327*C$109*Constantes!$T18</f>
        <v>11764</v>
      </c>
      <c r="D340" s="112">
        <f ca="1">D286*D302+D327*D$109*Constantes!$U18</f>
        <v>9894.5999999999985</v>
      </c>
      <c r="E340" s="280">
        <f ca="1">E286*E302+E327*E$109*Constantes!$V18</f>
        <v>5601</v>
      </c>
      <c r="F340" s="281">
        <f t="shared" ca="1" si="52"/>
        <v>27259.599999999999</v>
      </c>
      <c r="L340" s="17"/>
      <c r="M340" s="57" t="s">
        <v>34</v>
      </c>
      <c r="N340" s="112">
        <f ca="1">N286*N302+N327*N$109*Constantes!$T18</f>
        <v>11356.26275659824</v>
      </c>
      <c r="O340" s="112">
        <f ca="1">O286*O302+O327*O$109*Constantes!$U18</f>
        <v>10667.245998240984</v>
      </c>
      <c r="P340" s="112">
        <f ca="1">P286*P302+P327*P$109*Constantes!$V18</f>
        <v>6385.2352941176459</v>
      </c>
      <c r="Q340" s="112">
        <f t="shared" ca="1" si="53"/>
        <v>28408.744048956873</v>
      </c>
      <c r="R340" s="753"/>
      <c r="S340" s="753"/>
      <c r="T340" s="753"/>
      <c r="U340" s="753"/>
      <c r="W340" s="17"/>
      <c r="X340" s="57" t="s">
        <v>34</v>
      </c>
      <c r="Y340" s="112">
        <f ca="1">Y286*Y302+Y327*Y$109*Constantes!$T18</f>
        <v>11587.332816413944</v>
      </c>
      <c r="Z340" s="112">
        <f ca="1">Z286*Z302+Z327*Z$109*Constantes!$U18</f>
        <v>11167.150175863551</v>
      </c>
      <c r="AA340" s="112">
        <f ca="1">AA286*AA302+AA327*AA$109*Constantes!$V18</f>
        <v>6867.4788084464544</v>
      </c>
      <c r="AB340" s="112">
        <f t="shared" ca="1" si="54"/>
        <v>29621.961800723948</v>
      </c>
      <c r="AC340" s="753"/>
      <c r="AD340" s="753"/>
      <c r="AE340" s="753"/>
      <c r="AF340" s="753"/>
      <c r="AH340" s="17"/>
      <c r="AI340" s="57" t="s">
        <v>34</v>
      </c>
      <c r="AJ340" s="112">
        <f ca="1">AJ286*AJ302+AJ327*AJ$109*Constantes!$T18</f>
        <v>12684.869658420466</v>
      </c>
      <c r="AK340" s="112">
        <f ca="1">AK286*AK302+AK327*AK$109*Constantes!$U18</f>
        <v>12287.712900609862</v>
      </c>
      <c r="AL340" s="112">
        <f ca="1">AL286*AL302+AL327*AL$109*Constantes!$V18</f>
        <v>8065.903177612</v>
      </c>
      <c r="AM340" s="112">
        <f t="shared" ca="1" si="55"/>
        <v>33038.485736642331</v>
      </c>
      <c r="AN340" s="753"/>
      <c r="AO340" s="753"/>
      <c r="AP340" s="753"/>
      <c r="AQ340" s="753"/>
      <c r="AS340" s="17"/>
      <c r="AT340" s="57" t="s">
        <v>34</v>
      </c>
      <c r="AU340" s="112">
        <f ca="1">AU286*AU302+AU327*AU$109*Constantes!$T18</f>
        <v>12292.735407466536</v>
      </c>
      <c r="AV340" s="112">
        <f ca="1">AV286*AV302+AV327*AV$109*Constantes!$U18</f>
        <v>13731.878051793952</v>
      </c>
      <c r="AW340" s="112">
        <f ca="1">AW286*AW302+AW327*AW$109*Constantes!$V18</f>
        <v>9128.5774005185758</v>
      </c>
      <c r="AX340" s="112">
        <f t="shared" ca="1" si="56"/>
        <v>35153.190859779061</v>
      </c>
    </row>
    <row r="341" spans="1:50" ht="21" customHeight="1" thickBot="1" x14ac:dyDescent="0.3">
      <c r="A341" s="15"/>
      <c r="B341" s="56" t="s">
        <v>12</v>
      </c>
      <c r="C341" s="276">
        <f ca="1">C287*C303+C328*C$109*Constantes!$T19</f>
        <v>0</v>
      </c>
      <c r="D341" s="277">
        <f ca="1">D287*D303+D328*D$109*Constantes!$U19</f>
        <v>0</v>
      </c>
      <c r="E341" s="278">
        <f ca="1">E287*E303+E328*E$109*Constantes!$V19</f>
        <v>0</v>
      </c>
      <c r="F341" s="281">
        <f t="shared" ca="1" si="52"/>
        <v>0</v>
      </c>
      <c r="L341" s="15"/>
      <c r="M341" s="56" t="s">
        <v>12</v>
      </c>
      <c r="N341" s="112">
        <f ca="1">N287*N303+N328*N$109*Constantes!$T19</f>
        <v>0</v>
      </c>
      <c r="O341" s="112">
        <f ca="1">O287*O303+O328*O$109*Constantes!$U19</f>
        <v>0</v>
      </c>
      <c r="P341" s="112">
        <f ca="1">P287*P303+P328*P$109*Constantes!$V19</f>
        <v>0</v>
      </c>
      <c r="Q341" s="112">
        <f t="shared" ca="1" si="53"/>
        <v>0</v>
      </c>
      <c r="R341" s="753"/>
      <c r="S341" s="753"/>
      <c r="T341" s="753"/>
      <c r="U341" s="753"/>
      <c r="W341" s="15"/>
      <c r="X341" s="56" t="s">
        <v>12</v>
      </c>
      <c r="Y341" s="112">
        <f ca="1">Y287*Y303+Y328*Y$109*Constantes!$T19</f>
        <v>1365</v>
      </c>
      <c r="Z341" s="112">
        <f ca="1">Z287*Z303+Z328*Z$109*Constantes!$U19</f>
        <v>0</v>
      </c>
      <c r="AA341" s="112">
        <f ca="1">AA287*AA303+AA328*AA$109*Constantes!$V19</f>
        <v>630</v>
      </c>
      <c r="AB341" s="112">
        <f t="shared" ca="1" si="54"/>
        <v>1995</v>
      </c>
      <c r="AC341" s="753"/>
      <c r="AD341" s="753"/>
      <c r="AE341" s="753"/>
      <c r="AF341" s="753"/>
      <c r="AH341" s="15"/>
      <c r="AI341" s="56" t="s">
        <v>12</v>
      </c>
      <c r="AJ341" s="112">
        <f ca="1">AJ287*AJ303+AJ328*AJ$109*Constantes!$T19</f>
        <v>1112.7358490566037</v>
      </c>
      <c r="AK341" s="112">
        <f ca="1">AK287*AK303+AK328*AK$109*Constantes!$U19</f>
        <v>735</v>
      </c>
      <c r="AL341" s="112">
        <f ca="1">AL287*AL303+AL328*AL$109*Constantes!$V19</f>
        <v>397.29729729729729</v>
      </c>
      <c r="AM341" s="112">
        <f t="shared" ca="1" si="55"/>
        <v>2245.033146353901</v>
      </c>
      <c r="AN341" s="753"/>
      <c r="AO341" s="753"/>
      <c r="AP341" s="753"/>
      <c r="AQ341" s="753"/>
      <c r="AS341" s="15"/>
      <c r="AT341" s="56" t="s">
        <v>12</v>
      </c>
      <c r="AU341" s="112">
        <f ca="1">AU287*AU303+AU328*AU$109*Constantes!$T19</f>
        <v>1279.3744517971309</v>
      </c>
      <c r="AV341" s="112">
        <f ca="1">AV287*AV303+AV328*AV$109*Constantes!$U19</f>
        <v>929.69063845050209</v>
      </c>
      <c r="AW341" s="112">
        <f ca="1">AW287*AW303+AW328*AW$109*Constantes!$V19</f>
        <v>1063.7423218673221</v>
      </c>
      <c r="AX341" s="112">
        <f t="shared" ca="1" si="56"/>
        <v>3272.8074121149548</v>
      </c>
    </row>
    <row r="342" spans="1:50" ht="21" customHeight="1" x14ac:dyDescent="0.25">
      <c r="B342" s="39" t="s">
        <v>225</v>
      </c>
      <c r="C342" s="272">
        <f ca="1">SUM(C332:C341)</f>
        <v>47872.991249999999</v>
      </c>
      <c r="D342" s="272">
        <f ca="1">SUM(D332:D341)</f>
        <v>52816.882799999992</v>
      </c>
      <c r="E342" s="272">
        <f ca="1">SUM(E332:E341)</f>
        <v>42553.202502500004</v>
      </c>
      <c r="F342" s="112">
        <f ca="1">SUM(F332:F341)</f>
        <v>143243.07655249999</v>
      </c>
      <c r="M342" s="39" t="s">
        <v>225</v>
      </c>
      <c r="N342" s="112">
        <f ca="1">SUM(N332:N341)</f>
        <v>48452.843759616575</v>
      </c>
      <c r="O342" s="112">
        <f ca="1">SUM(O332:O341)</f>
        <v>56424.370492746173</v>
      </c>
      <c r="P342" s="112">
        <f ca="1">SUM(P332:P341)</f>
        <v>47094.284003494999</v>
      </c>
      <c r="Q342" s="112">
        <f ca="1">SUM(Q332:Q341)</f>
        <v>151971.49825585773</v>
      </c>
      <c r="R342" s="753"/>
      <c r="S342" s="753"/>
      <c r="T342" s="753"/>
      <c r="U342" s="753"/>
      <c r="X342" s="39" t="s">
        <v>225</v>
      </c>
      <c r="Y342" s="112">
        <f ca="1">SUM(Y332:Y341)</f>
        <v>50288.118739893609</v>
      </c>
      <c r="Z342" s="112">
        <f ca="1">SUM(Z332:Z341)</f>
        <v>59731.410476297322</v>
      </c>
      <c r="AA342" s="112">
        <f ca="1">SUM(AA332:AA341)</f>
        <v>53710.358577278137</v>
      </c>
      <c r="AB342" s="112">
        <f ca="1">SUM(AB332:AB341)</f>
        <v>163729.88779346907</v>
      </c>
      <c r="AC342" s="753"/>
      <c r="AD342" s="753"/>
      <c r="AE342" s="753"/>
      <c r="AF342" s="753"/>
      <c r="AI342" s="39" t="s">
        <v>225</v>
      </c>
      <c r="AJ342" s="112">
        <f ca="1">SUM(AJ332:AJ341)</f>
        <v>55219.91599999577</v>
      </c>
      <c r="AK342" s="112">
        <f ca="1">SUM(AK332:AK341)</f>
        <v>67277.470642946544</v>
      </c>
      <c r="AL342" s="112">
        <f ca="1">SUM(AL332:AL341)</f>
        <v>63254.230456754522</v>
      </c>
      <c r="AM342" s="112">
        <f ca="1">SUM(AM332:AM341)</f>
        <v>185751.61709969683</v>
      </c>
      <c r="AN342" s="753"/>
      <c r="AO342" s="753"/>
      <c r="AP342" s="753"/>
      <c r="AQ342" s="753"/>
      <c r="AT342" s="39" t="s">
        <v>225</v>
      </c>
      <c r="AU342" s="112">
        <f ca="1">SUM(AU332:AU341)</f>
        <v>54132.875224943833</v>
      </c>
      <c r="AV342" s="112">
        <f ca="1">SUM(AV332:AV341)</f>
        <v>73901.728210502508</v>
      </c>
      <c r="AW342" s="112">
        <f ca="1">SUM(AW332:AW341)</f>
        <v>72028.37480072488</v>
      </c>
      <c r="AX342" s="112">
        <f ca="1">SUM(AX332:AX341)</f>
        <v>200062.97823617127</v>
      </c>
    </row>
    <row r="343" spans="1:50" ht="21" customHeight="1" x14ac:dyDescent="0.25"/>
    <row r="344" spans="1:50" ht="21" customHeight="1" x14ac:dyDescent="0.25">
      <c r="B344" s="36" t="s">
        <v>266</v>
      </c>
      <c r="M344" s="36" t="s">
        <v>266</v>
      </c>
      <c r="X344" s="36" t="s">
        <v>266</v>
      </c>
      <c r="AI344" s="36" t="s">
        <v>266</v>
      </c>
      <c r="AT344" s="36" t="s">
        <v>266</v>
      </c>
    </row>
    <row r="345" spans="1:50" ht="21" customHeight="1" x14ac:dyDescent="0.25">
      <c r="A345" s="786" t="s">
        <v>150</v>
      </c>
      <c r="B345" s="31" t="s">
        <v>267</v>
      </c>
      <c r="C345" s="112">
        <f>Constantes!C44</f>
        <v>25000</v>
      </c>
      <c r="L345" s="786" t="s">
        <v>150</v>
      </c>
      <c r="M345" s="31" t="s">
        <v>267</v>
      </c>
      <c r="N345" s="112">
        <f>Constantes!C44</f>
        <v>25000</v>
      </c>
      <c r="W345" s="786" t="s">
        <v>150</v>
      </c>
      <c r="X345" s="31" t="s">
        <v>267</v>
      </c>
      <c r="Y345" s="112">
        <f>N348</f>
        <v>22000</v>
      </c>
      <c r="AH345" s="786" t="s">
        <v>150</v>
      </c>
      <c r="AI345" s="31" t="s">
        <v>267</v>
      </c>
      <c r="AJ345" s="112">
        <f>Y348</f>
        <v>18400</v>
      </c>
      <c r="AS345" s="786" t="s">
        <v>150</v>
      </c>
      <c r="AT345" s="31" t="s">
        <v>267</v>
      </c>
      <c r="AU345" s="112">
        <f>AJ348</f>
        <v>5300</v>
      </c>
    </row>
    <row r="346" spans="1:50" ht="21" customHeight="1" x14ac:dyDescent="0.25">
      <c r="A346" s="786"/>
      <c r="B346" s="31" t="s">
        <v>269</v>
      </c>
      <c r="C346" s="147">
        <f>SUM(Décisions!E33:E35)</f>
        <v>0</v>
      </c>
      <c r="D346" s="143"/>
      <c r="E346" s="143"/>
      <c r="F346" s="143"/>
      <c r="L346" s="786"/>
      <c r="M346" s="31" t="s">
        <v>269</v>
      </c>
      <c r="N346" s="147">
        <f>SUM(Décisions!P33:P35)</f>
        <v>1000</v>
      </c>
      <c r="O346" s="221"/>
      <c r="P346" s="221"/>
      <c r="Q346" s="221"/>
      <c r="R346" s="745"/>
      <c r="S346" s="745"/>
      <c r="T346" s="745"/>
      <c r="U346" s="745"/>
      <c r="W346" s="786"/>
      <c r="X346" s="31" t="s">
        <v>269</v>
      </c>
      <c r="Y346" s="147">
        <f>SUM(Décisions!AA33:AA35)</f>
        <v>2100</v>
      </c>
      <c r="Z346" s="286"/>
      <c r="AA346" s="286"/>
      <c r="AB346" s="286"/>
      <c r="AC346" s="745"/>
      <c r="AD346" s="745"/>
      <c r="AE346" s="745"/>
      <c r="AF346" s="745"/>
      <c r="AH346" s="786"/>
      <c r="AI346" s="31" t="s">
        <v>269</v>
      </c>
      <c r="AJ346" s="147">
        <f>SUM(Décisions!AL33:AL35)</f>
        <v>10600</v>
      </c>
      <c r="AK346" s="286"/>
      <c r="AL346" s="286"/>
      <c r="AM346" s="286"/>
      <c r="AN346" s="745"/>
      <c r="AO346" s="745"/>
      <c r="AP346" s="745"/>
      <c r="AQ346" s="745"/>
      <c r="AS346" s="786"/>
      <c r="AT346" s="31" t="s">
        <v>269</v>
      </c>
      <c r="AU346" s="147">
        <f>SUM(Décisions!AW33:AW35)</f>
        <v>2200</v>
      </c>
      <c r="AV346" s="287"/>
      <c r="AW346" s="287"/>
      <c r="AX346" s="287"/>
    </row>
    <row r="347" spans="1:50" ht="21" customHeight="1" x14ac:dyDescent="0.25">
      <c r="A347" s="786"/>
      <c r="B347" s="31" t="s">
        <v>270</v>
      </c>
      <c r="C347" s="147">
        <f>SUM(Décisions!I23:I26)</f>
        <v>0</v>
      </c>
      <c r="D347" s="146"/>
      <c r="E347" s="146"/>
      <c r="F347" s="146"/>
      <c r="L347" s="786"/>
      <c r="M347" s="31" t="s">
        <v>270</v>
      </c>
      <c r="N347" s="147">
        <f>SUM(Décisions!T23:T26)</f>
        <v>2000</v>
      </c>
      <c r="O347" s="146"/>
      <c r="P347" s="146"/>
      <c r="Q347" s="146"/>
      <c r="R347" s="146"/>
      <c r="S347" s="146"/>
      <c r="T347" s="146"/>
      <c r="U347" s="146"/>
      <c r="W347" s="786"/>
      <c r="X347" s="31" t="s">
        <v>270</v>
      </c>
      <c r="Y347" s="147">
        <f>SUM(Décisions!AE23:AE26)</f>
        <v>1500</v>
      </c>
      <c r="Z347" s="146"/>
      <c r="AA347" s="146"/>
      <c r="AB347" s="146"/>
      <c r="AC347" s="146"/>
      <c r="AD347" s="146"/>
      <c r="AE347" s="146"/>
      <c r="AF347" s="146"/>
      <c r="AH347" s="786"/>
      <c r="AI347" s="31" t="s">
        <v>270</v>
      </c>
      <c r="AJ347" s="147">
        <f>SUM(Décisions!AP23:AP26)</f>
        <v>2500</v>
      </c>
      <c r="AK347" s="146"/>
      <c r="AL347" s="146"/>
      <c r="AM347" s="146"/>
      <c r="AN347" s="146"/>
      <c r="AO347" s="146"/>
      <c r="AP347" s="146"/>
      <c r="AQ347" s="146"/>
      <c r="AS347" s="786"/>
      <c r="AT347" s="31" t="s">
        <v>270</v>
      </c>
      <c r="AU347" s="147">
        <f>SUM(Décisions!BA23:BA26)</f>
        <v>2000</v>
      </c>
      <c r="AV347" s="146"/>
      <c r="AW347" s="146"/>
      <c r="AX347" s="146"/>
    </row>
    <row r="348" spans="1:50" ht="21" customHeight="1" x14ac:dyDescent="0.25">
      <c r="A348" s="786"/>
      <c r="B348" s="31" t="s">
        <v>268</v>
      </c>
      <c r="C348" s="112">
        <f>C345-SUM(C346:C347)</f>
        <v>25000</v>
      </c>
      <c r="L348" s="786"/>
      <c r="M348" s="31" t="s">
        <v>268</v>
      </c>
      <c r="N348" s="112">
        <f>N345-SUM(N346:N347)</f>
        <v>22000</v>
      </c>
      <c r="W348" s="786"/>
      <c r="X348" s="31" t="s">
        <v>268</v>
      </c>
      <c r="Y348" s="112">
        <f>Y345-SUM(Y346:Y347)</f>
        <v>18400</v>
      </c>
      <c r="AH348" s="786"/>
      <c r="AI348" s="31" t="s">
        <v>268</v>
      </c>
      <c r="AJ348" s="112">
        <f>AJ345-SUM(AJ346:AJ347)</f>
        <v>5300</v>
      </c>
      <c r="AS348" s="786"/>
      <c r="AT348" s="31" t="s">
        <v>268</v>
      </c>
      <c r="AU348" s="112">
        <f>AU345-SUM(AU346:AU347)</f>
        <v>1100</v>
      </c>
    </row>
    <row r="349" spans="1:50" ht="21" customHeight="1" x14ac:dyDescent="0.25">
      <c r="A349" s="709"/>
      <c r="L349" s="709"/>
      <c r="W349" s="709"/>
      <c r="AH349" s="709"/>
      <c r="AS349" s="709"/>
    </row>
    <row r="350" spans="1:50" ht="21" customHeight="1" x14ac:dyDescent="0.25">
      <c r="A350" s="31" t="s">
        <v>149</v>
      </c>
      <c r="B350" s="31" t="s">
        <v>267</v>
      </c>
      <c r="C350" s="112">
        <f>Constantes!C45</f>
        <v>15000</v>
      </c>
      <c r="L350" s="31" t="s">
        <v>149</v>
      </c>
      <c r="M350" s="31" t="s">
        <v>267</v>
      </c>
      <c r="N350" s="112">
        <f>Constantes!C45</f>
        <v>15000</v>
      </c>
      <c r="W350" s="31" t="s">
        <v>149</v>
      </c>
      <c r="X350" s="31" t="s">
        <v>267</v>
      </c>
      <c r="Y350" s="112">
        <f ca="1">N353</f>
        <v>11700</v>
      </c>
      <c r="AH350" s="31" t="s">
        <v>149</v>
      </c>
      <c r="AI350" s="31" t="s">
        <v>267</v>
      </c>
      <c r="AJ350" s="112">
        <f ca="1">Y353</f>
        <v>9000</v>
      </c>
      <c r="AS350" s="31" t="s">
        <v>149</v>
      </c>
      <c r="AT350" s="31" t="s">
        <v>267</v>
      </c>
      <c r="AU350" s="112">
        <f ca="1">AJ353</f>
        <v>7800</v>
      </c>
    </row>
    <row r="351" spans="1:50" ht="21" customHeight="1" x14ac:dyDescent="0.25">
      <c r="B351" s="31" t="s">
        <v>269</v>
      </c>
      <c r="C351" s="147">
        <f>SUM(Décisions!J33:J35)</f>
        <v>0</v>
      </c>
      <c r="M351" s="31" t="s">
        <v>269</v>
      </c>
      <c r="N351" s="147">
        <f>SUM(Décisions!U33:U35)</f>
        <v>300</v>
      </c>
      <c r="X351" s="31" t="s">
        <v>269</v>
      </c>
      <c r="Y351" s="147">
        <f>SUM(Décisions!AF33:AF35)</f>
        <v>200</v>
      </c>
      <c r="AI351" s="31" t="s">
        <v>269</v>
      </c>
      <c r="AJ351" s="147">
        <f>SUM(Décisions!AQ33:AQ35)</f>
        <v>200</v>
      </c>
      <c r="AT351" s="31" t="s">
        <v>269</v>
      </c>
      <c r="AU351" s="147">
        <f>SUM(Décisions!BB33:BB35)</f>
        <v>500</v>
      </c>
    </row>
    <row r="352" spans="1:50" ht="21" customHeight="1" x14ac:dyDescent="0.25">
      <c r="B352" s="31" t="s">
        <v>271</v>
      </c>
      <c r="C352" s="147">
        <f ca="1">Calcul!C39</f>
        <v>0</v>
      </c>
      <c r="M352" s="31" t="s">
        <v>271</v>
      </c>
      <c r="N352" s="147">
        <f ca="1">Calcul!N39</f>
        <v>3000</v>
      </c>
      <c r="X352" s="31" t="s">
        <v>271</v>
      </c>
      <c r="Y352" s="147">
        <f ca="1">Calcul!Y39</f>
        <v>2500</v>
      </c>
      <c r="AI352" s="31" t="s">
        <v>271</v>
      </c>
      <c r="AJ352" s="147">
        <f ca="1">AJ39</f>
        <v>1000</v>
      </c>
      <c r="AT352" s="31" t="s">
        <v>271</v>
      </c>
      <c r="AU352" s="147">
        <f ca="1">AU39</f>
        <v>2500</v>
      </c>
    </row>
    <row r="353" spans="2:47" ht="21" customHeight="1" x14ac:dyDescent="0.25">
      <c r="B353" s="31" t="s">
        <v>268</v>
      </c>
      <c r="C353" s="112">
        <f ca="1">C350-SUM(C351:C352)</f>
        <v>15000</v>
      </c>
      <c r="M353" s="31" t="s">
        <v>268</v>
      </c>
      <c r="N353" s="112">
        <f ca="1">N350-SUM(N351:N352)</f>
        <v>11700</v>
      </c>
      <c r="X353" s="31" t="s">
        <v>268</v>
      </c>
      <c r="Y353" s="112">
        <f ca="1">Y350-SUM(Y351:Y352)</f>
        <v>9000</v>
      </c>
      <c r="AI353" s="31" t="s">
        <v>268</v>
      </c>
      <c r="AJ353" s="112">
        <f ca="1">AJ350-SUM(AJ351:AJ352)</f>
        <v>7800</v>
      </c>
      <c r="AT353" s="31" t="s">
        <v>268</v>
      </c>
      <c r="AU353" s="112">
        <f ca="1">AU350-SUM(AU351:AU352)</f>
        <v>4800</v>
      </c>
    </row>
    <row r="354" spans="2:47" ht="21" customHeight="1" x14ac:dyDescent="0.25"/>
    <row r="355" spans="2:47" ht="21" customHeight="1" x14ac:dyDescent="0.25"/>
    <row r="356" spans="2:47" ht="21" customHeight="1" x14ac:dyDescent="0.25"/>
    <row r="357" spans="2:47" ht="21" customHeight="1" x14ac:dyDescent="0.25"/>
    <row r="358" spans="2:47" ht="21" customHeight="1" x14ac:dyDescent="0.25"/>
    <row r="359" spans="2:47" ht="21" customHeight="1" x14ac:dyDescent="0.25"/>
    <row r="360" spans="2:47" ht="21" customHeight="1" x14ac:dyDescent="0.25"/>
    <row r="361" spans="2:47" ht="21" customHeight="1" x14ac:dyDescent="0.25"/>
    <row r="362" spans="2:47" ht="21" customHeight="1" x14ac:dyDescent="0.25"/>
    <row r="363" spans="2:47" ht="21" customHeight="1" x14ac:dyDescent="0.25"/>
    <row r="364" spans="2:47" ht="21" customHeight="1" x14ac:dyDescent="0.25"/>
    <row r="365" spans="2:47" ht="21" customHeight="1" x14ac:dyDescent="0.25"/>
    <row r="366" spans="2:47" ht="21" customHeight="1" x14ac:dyDescent="0.25"/>
    <row r="367" spans="2:47" ht="21" customHeight="1" x14ac:dyDescent="0.25"/>
    <row r="368" spans="2:47" ht="21" customHeight="1" x14ac:dyDescent="0.25"/>
    <row r="369" ht="21" customHeight="1" x14ac:dyDescent="0.25"/>
    <row r="370" ht="21" customHeight="1" x14ac:dyDescent="0.25"/>
    <row r="371" ht="21" customHeight="1" x14ac:dyDescent="0.25"/>
    <row r="372" ht="21" customHeight="1" x14ac:dyDescent="0.25"/>
    <row r="373" ht="21" customHeight="1" x14ac:dyDescent="0.25"/>
    <row r="374" ht="21" customHeight="1" x14ac:dyDescent="0.25"/>
    <row r="375" ht="21" customHeight="1" x14ac:dyDescent="0.25"/>
    <row r="376" ht="21" customHeight="1" x14ac:dyDescent="0.25"/>
    <row r="377" ht="21" customHeight="1" x14ac:dyDescent="0.25"/>
    <row r="378" ht="21" customHeight="1" x14ac:dyDescent="0.25"/>
    <row r="379" ht="21" customHeight="1" x14ac:dyDescent="0.25"/>
    <row r="380" ht="21" customHeight="1" x14ac:dyDescent="0.25"/>
    <row r="381" ht="21" customHeight="1" x14ac:dyDescent="0.25"/>
    <row r="382" ht="21" customHeight="1" x14ac:dyDescent="0.25"/>
    <row r="383" ht="21" customHeight="1" x14ac:dyDescent="0.25"/>
    <row r="384" ht="21" customHeight="1" x14ac:dyDescent="0.25"/>
    <row r="385" ht="21" customHeight="1" x14ac:dyDescent="0.25"/>
    <row r="386" ht="21" customHeight="1" x14ac:dyDescent="0.25"/>
    <row r="387" ht="21" customHeight="1" x14ac:dyDescent="0.25"/>
    <row r="388" ht="21" customHeight="1" x14ac:dyDescent="0.25"/>
    <row r="389" ht="21" customHeight="1" x14ac:dyDescent="0.25"/>
    <row r="390" ht="21" customHeight="1" x14ac:dyDescent="0.25"/>
    <row r="391" ht="21" customHeight="1" x14ac:dyDescent="0.25"/>
    <row r="392" ht="21" customHeight="1" x14ac:dyDescent="0.25"/>
    <row r="393" ht="21" customHeight="1" x14ac:dyDescent="0.25"/>
    <row r="394" ht="21" customHeight="1" x14ac:dyDescent="0.25"/>
    <row r="395" ht="21" customHeight="1" x14ac:dyDescent="0.25"/>
    <row r="396" ht="21" customHeight="1" x14ac:dyDescent="0.25"/>
    <row r="397" ht="21" customHeight="1" x14ac:dyDescent="0.25"/>
    <row r="398" ht="21" customHeight="1" x14ac:dyDescent="0.25"/>
    <row r="399" ht="21" customHeight="1" x14ac:dyDescent="0.25"/>
    <row r="400" ht="21" customHeight="1" x14ac:dyDescent="0.25"/>
    <row r="401" ht="21" customHeight="1" x14ac:dyDescent="0.25"/>
    <row r="402" ht="21" customHeight="1" x14ac:dyDescent="0.25"/>
    <row r="403" ht="21" customHeight="1" x14ac:dyDescent="0.25"/>
    <row r="404" ht="21" customHeight="1" x14ac:dyDescent="0.25"/>
    <row r="405" ht="21" customHeight="1" x14ac:dyDescent="0.25"/>
    <row r="406" ht="21" customHeight="1" x14ac:dyDescent="0.25"/>
    <row r="407" ht="21" customHeight="1" x14ac:dyDescent="0.25"/>
    <row r="408" ht="21" customHeight="1" x14ac:dyDescent="0.25"/>
    <row r="409" ht="21" customHeight="1" x14ac:dyDescent="0.25"/>
    <row r="410" ht="21" customHeight="1" x14ac:dyDescent="0.25"/>
    <row r="411" ht="21" customHeight="1" x14ac:dyDescent="0.25"/>
    <row r="412" ht="21" customHeight="1" x14ac:dyDescent="0.25"/>
    <row r="413" ht="21" customHeight="1" x14ac:dyDescent="0.25"/>
    <row r="414" ht="21" customHeight="1" x14ac:dyDescent="0.25"/>
    <row r="415" ht="21" customHeight="1" x14ac:dyDescent="0.25"/>
    <row r="416" ht="21" customHeight="1" x14ac:dyDescent="0.25"/>
    <row r="417" ht="21" customHeight="1" x14ac:dyDescent="0.25"/>
    <row r="418" ht="21" customHeight="1" x14ac:dyDescent="0.25"/>
    <row r="419" ht="21" customHeight="1" x14ac:dyDescent="0.25"/>
    <row r="420" ht="21" customHeight="1" x14ac:dyDescent="0.25"/>
    <row r="421" ht="21" customHeight="1" x14ac:dyDescent="0.25"/>
    <row r="422" ht="21" customHeight="1" x14ac:dyDescent="0.25"/>
    <row r="423" ht="21" customHeight="1" x14ac:dyDescent="0.25"/>
    <row r="424" ht="21" customHeight="1" x14ac:dyDescent="0.25"/>
    <row r="425" ht="21" customHeight="1" x14ac:dyDescent="0.25"/>
    <row r="426" ht="21" customHeight="1" x14ac:dyDescent="0.25"/>
    <row r="427" ht="21" customHeight="1" x14ac:dyDescent="0.25"/>
    <row r="428" ht="21" customHeight="1" x14ac:dyDescent="0.25"/>
    <row r="429" ht="21" customHeight="1" x14ac:dyDescent="0.25"/>
    <row r="430" ht="21" customHeight="1" x14ac:dyDescent="0.25"/>
    <row r="431" ht="21" customHeight="1" x14ac:dyDescent="0.25"/>
    <row r="432" ht="21" customHeight="1" x14ac:dyDescent="0.25"/>
    <row r="433" ht="21" customHeight="1" x14ac:dyDescent="0.25"/>
    <row r="434" ht="21" customHeight="1" x14ac:dyDescent="0.25"/>
    <row r="435" ht="21" customHeight="1" x14ac:dyDescent="0.25"/>
    <row r="436" ht="21" customHeight="1" x14ac:dyDescent="0.25"/>
    <row r="437" ht="21" customHeight="1" x14ac:dyDescent="0.25"/>
    <row r="438" ht="21" customHeight="1" x14ac:dyDescent="0.25"/>
    <row r="439" ht="21" customHeight="1" x14ac:dyDescent="0.25"/>
    <row r="440" ht="21" customHeight="1" x14ac:dyDescent="0.25"/>
    <row r="441" ht="21" customHeight="1" x14ac:dyDescent="0.25"/>
    <row r="442" ht="21" customHeight="1" x14ac:dyDescent="0.25"/>
    <row r="443" ht="21" customHeight="1" x14ac:dyDescent="0.25"/>
    <row r="444" ht="21" customHeight="1" x14ac:dyDescent="0.25"/>
    <row r="445" ht="21" customHeight="1" x14ac:dyDescent="0.25"/>
    <row r="446" ht="21" customHeight="1" x14ac:dyDescent="0.25"/>
    <row r="447" ht="21" customHeight="1" x14ac:dyDescent="0.25"/>
    <row r="448" ht="21" customHeight="1" x14ac:dyDescent="0.25"/>
    <row r="449" ht="21" customHeight="1" x14ac:dyDescent="0.25"/>
    <row r="450" ht="21" customHeight="1" x14ac:dyDescent="0.25"/>
    <row r="451" ht="21" customHeight="1" x14ac:dyDescent="0.25"/>
    <row r="452" ht="21" customHeight="1" x14ac:dyDescent="0.25"/>
    <row r="453" ht="21" customHeight="1" x14ac:dyDescent="0.25"/>
    <row r="454" ht="21" customHeight="1" x14ac:dyDescent="0.25"/>
    <row r="455" ht="21" customHeight="1" x14ac:dyDescent="0.25"/>
    <row r="456" ht="21" customHeight="1" x14ac:dyDescent="0.25"/>
    <row r="457" ht="21" customHeight="1" x14ac:dyDescent="0.25"/>
    <row r="458" ht="21" customHeight="1" x14ac:dyDescent="0.25"/>
    <row r="459" ht="21" customHeight="1" x14ac:dyDescent="0.25"/>
    <row r="460" ht="21" customHeight="1" x14ac:dyDescent="0.25"/>
    <row r="461" ht="21" customHeight="1" x14ac:dyDescent="0.25"/>
    <row r="462" ht="21" customHeight="1" x14ac:dyDescent="0.25"/>
    <row r="463" ht="21" customHeight="1" x14ac:dyDescent="0.25"/>
    <row r="464" ht="21" customHeight="1" x14ac:dyDescent="0.25"/>
    <row r="465" ht="21" customHeight="1" x14ac:dyDescent="0.25"/>
    <row r="466" ht="21" customHeight="1" x14ac:dyDescent="0.25"/>
    <row r="467" ht="21" customHeight="1" x14ac:dyDescent="0.25"/>
    <row r="468" ht="21" customHeight="1" x14ac:dyDescent="0.25"/>
    <row r="469" ht="21" customHeight="1" x14ac:dyDescent="0.25"/>
    <row r="470" ht="21" customHeight="1" x14ac:dyDescent="0.25"/>
    <row r="471" ht="21" customHeight="1" x14ac:dyDescent="0.25"/>
    <row r="472" ht="21" customHeight="1" x14ac:dyDescent="0.25"/>
    <row r="473" ht="21" customHeight="1" x14ac:dyDescent="0.25"/>
    <row r="474" ht="21" customHeight="1" x14ac:dyDescent="0.25"/>
    <row r="475" ht="21" customHeight="1" x14ac:dyDescent="0.25"/>
    <row r="476" ht="21" customHeight="1" x14ac:dyDescent="0.25"/>
    <row r="477" ht="21" customHeight="1" x14ac:dyDescent="0.25"/>
    <row r="478" ht="21" customHeight="1" x14ac:dyDescent="0.25"/>
    <row r="479" ht="21" customHeight="1" x14ac:dyDescent="0.25"/>
    <row r="480" ht="21" customHeight="1" x14ac:dyDescent="0.25"/>
    <row r="481" ht="21" customHeight="1" x14ac:dyDescent="0.25"/>
    <row r="482" ht="21" customHeight="1" x14ac:dyDescent="0.25"/>
    <row r="483" ht="21" customHeight="1" x14ac:dyDescent="0.25"/>
    <row r="484" ht="21" customHeight="1" x14ac:dyDescent="0.25"/>
    <row r="485" ht="21" customHeight="1" x14ac:dyDescent="0.25"/>
    <row r="486" ht="21" customHeight="1" x14ac:dyDescent="0.25"/>
    <row r="487" ht="21" customHeight="1" x14ac:dyDescent="0.25"/>
    <row r="488" ht="21" customHeight="1" x14ac:dyDescent="0.25"/>
    <row r="489" ht="21" customHeight="1" x14ac:dyDescent="0.25"/>
  </sheetData>
  <mergeCells count="15">
    <mergeCell ref="AS345:AS348"/>
    <mergeCell ref="AS91:AS93"/>
    <mergeCell ref="AS113:AS115"/>
    <mergeCell ref="AH91:AH93"/>
    <mergeCell ref="AH113:AH115"/>
    <mergeCell ref="W91:W93"/>
    <mergeCell ref="W113:W115"/>
    <mergeCell ref="L345:L348"/>
    <mergeCell ref="W345:W348"/>
    <mergeCell ref="AH345:AH348"/>
    <mergeCell ref="A345:A348"/>
    <mergeCell ref="A91:A93"/>
    <mergeCell ref="A113:A115"/>
    <mergeCell ref="L91:L93"/>
    <mergeCell ref="L113:L115"/>
  </mergeCells>
  <conditionalFormatting sqref="AG56:AG65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{31F121EB-03C4-4047-8DF6-2BC662AB88ED}</x14:id>
        </ext>
      </extLst>
    </cfRule>
    <cfRule type="cellIs" dxfId="8" priority="9" operator="lessThan">
      <formula>0</formula>
    </cfRule>
  </conditionalFormatting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1F121EB-03C4-4047-8DF6-2BC662AB88E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AG56:AG65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O134"/>
  <sheetViews>
    <sheetView showGridLines="0" showZeros="0" zoomScale="115" zoomScaleNormal="115" workbookViewId="0">
      <selection activeCell="E26" sqref="E26"/>
    </sheetView>
  </sheetViews>
  <sheetFormatPr baseColWidth="10" defaultRowHeight="13.8" x14ac:dyDescent="0.3"/>
  <cols>
    <col min="1" max="1" width="5.6640625" style="1" customWidth="1"/>
    <col min="2" max="2" width="24.77734375" style="1" customWidth="1"/>
    <col min="3" max="8" width="14.44140625" style="1" customWidth="1"/>
    <col min="9" max="9" width="17.88671875" style="1" customWidth="1"/>
    <col min="10" max="14" width="15.5546875" style="1" customWidth="1"/>
    <col min="15" max="16384" width="11.5546875" style="1"/>
  </cols>
  <sheetData>
    <row r="1" spans="2:7" ht="24" customHeight="1" x14ac:dyDescent="0.3"/>
    <row r="2" spans="2:7" ht="24" customHeight="1" x14ac:dyDescent="0.3">
      <c r="B2" s="45" t="s">
        <v>280</v>
      </c>
      <c r="C2" s="1">
        <v>0</v>
      </c>
      <c r="D2" s="287">
        <v>1</v>
      </c>
      <c r="E2" s="287">
        <v>2</v>
      </c>
      <c r="F2" s="287">
        <v>3</v>
      </c>
      <c r="G2" s="287">
        <v>4</v>
      </c>
    </row>
    <row r="3" spans="2:7" ht="24" customHeight="1" x14ac:dyDescent="0.3">
      <c r="B3" s="1" t="str">
        <f>B9</f>
        <v>junior</v>
      </c>
      <c r="C3" s="114">
        <f>Calcul!C67</f>
        <v>0.4</v>
      </c>
      <c r="D3" s="114">
        <f>Calcul!N67</f>
        <v>0.5</v>
      </c>
      <c r="E3" s="114">
        <f>Calcul!Y67</f>
        <v>0.7</v>
      </c>
      <c r="F3" s="114">
        <f>Calcul!AJ67</f>
        <v>0.9</v>
      </c>
      <c r="G3" s="114">
        <f>Calcul!AU67</f>
        <v>1.1000000000000001</v>
      </c>
    </row>
    <row r="4" spans="2:7" ht="24" customHeight="1" x14ac:dyDescent="0.3">
      <c r="B4" s="1" t="str">
        <f>B10</f>
        <v>senior</v>
      </c>
      <c r="C4" s="114">
        <f>Calcul!D67</f>
        <v>1.1000000000000001</v>
      </c>
      <c r="D4" s="114">
        <f>Calcul!O67</f>
        <v>1.3</v>
      </c>
      <c r="E4" s="114">
        <f>Calcul!Z67</f>
        <v>1.5</v>
      </c>
      <c r="F4" s="114">
        <f>Calcul!AK67</f>
        <v>1.7</v>
      </c>
      <c r="G4" s="114">
        <f>Calcul!AV67</f>
        <v>1.9</v>
      </c>
    </row>
    <row r="5" spans="2:7" ht="24" customHeight="1" x14ac:dyDescent="0.3">
      <c r="B5" s="1" t="str">
        <f>B11</f>
        <v>premium</v>
      </c>
      <c r="C5" s="114">
        <f>Calcul!E67</f>
        <v>1</v>
      </c>
      <c r="D5" s="114">
        <f>Calcul!P67</f>
        <v>1.2</v>
      </c>
      <c r="E5" s="114">
        <f>Calcul!AA67</f>
        <v>1.4</v>
      </c>
      <c r="F5" s="114">
        <f>Calcul!AL67</f>
        <v>1.6</v>
      </c>
      <c r="G5" s="114">
        <f>Calcul!AW67</f>
        <v>1.8</v>
      </c>
    </row>
    <row r="6" spans="2:7" ht="24" customHeight="1" x14ac:dyDescent="0.3">
      <c r="B6" s="1" t="s">
        <v>122</v>
      </c>
      <c r="C6" s="114">
        <f>Calcul!F67</f>
        <v>0.83333333333333337</v>
      </c>
      <c r="D6" s="114">
        <f>Calcul!Q67</f>
        <v>1</v>
      </c>
      <c r="E6" s="114">
        <f>Calcul!AB67</f>
        <v>1.2</v>
      </c>
      <c r="F6" s="114">
        <f>Calcul!AM67</f>
        <v>1.4000000000000001</v>
      </c>
      <c r="G6" s="114">
        <f>Calcul!AX67</f>
        <v>1.5999999999999999</v>
      </c>
    </row>
    <row r="7" spans="2:7" ht="24" customHeight="1" x14ac:dyDescent="0.3"/>
    <row r="8" spans="2:7" ht="24" customHeight="1" x14ac:dyDescent="0.3">
      <c r="B8" s="45" t="s">
        <v>149</v>
      </c>
      <c r="C8" s="1">
        <v>0</v>
      </c>
      <c r="D8" s="287">
        <v>1</v>
      </c>
      <c r="E8" s="287">
        <v>2</v>
      </c>
      <c r="F8" s="287">
        <v>3</v>
      </c>
      <c r="G8" s="287">
        <v>4</v>
      </c>
    </row>
    <row r="9" spans="2:7" ht="24" customHeight="1" x14ac:dyDescent="0.3">
      <c r="B9" s="1" t="str">
        <f>'Résultats par mois'!C17</f>
        <v>junior</v>
      </c>
      <c r="C9" s="63">
        <f ca="1">Calcul!C53</f>
        <v>104.6</v>
      </c>
      <c r="D9" s="63">
        <f ca="1">Calcul!N53</f>
        <v>113.1</v>
      </c>
      <c r="E9" s="63">
        <f ca="1">Calcul!Y53</f>
        <v>106.6</v>
      </c>
      <c r="F9" s="63">
        <f ca="1">Calcul!AJ53</f>
        <v>106.6</v>
      </c>
      <c r="G9" s="63">
        <f ca="1">Calcul!AU53</f>
        <v>101.1</v>
      </c>
    </row>
    <row r="10" spans="2:7" ht="24" customHeight="1" x14ac:dyDescent="0.3">
      <c r="B10" s="1" t="str">
        <f>'Résultats par mois'!D17</f>
        <v>senior</v>
      </c>
      <c r="C10" s="63">
        <f ca="1">Calcul!D53</f>
        <v>81.95</v>
      </c>
      <c r="D10" s="63">
        <f ca="1">Calcul!O53</f>
        <v>86.05</v>
      </c>
      <c r="E10" s="63">
        <f ca="1">Calcul!Z53</f>
        <v>81.849999999999994</v>
      </c>
      <c r="F10" s="63">
        <f ca="1">Calcul!AK53</f>
        <v>78.949999999999989</v>
      </c>
      <c r="G10" s="63">
        <f ca="1">Calcul!AV53</f>
        <v>76.249999999999986</v>
      </c>
    </row>
    <row r="11" spans="2:7" ht="24" customHeight="1" x14ac:dyDescent="0.3">
      <c r="B11" s="1" t="str">
        <f>'Résultats par mois'!E17</f>
        <v>premium</v>
      </c>
      <c r="C11" s="63">
        <f ca="1">Calcul!E53</f>
        <v>85.639999999999986</v>
      </c>
      <c r="D11" s="63">
        <f ca="1">Calcul!P53</f>
        <v>76.639999999999986</v>
      </c>
      <c r="E11" s="63">
        <f ca="1">Calcul!AA53</f>
        <v>69.139999999999986</v>
      </c>
      <c r="F11" s="63">
        <f ca="1">Calcul!AL53</f>
        <v>65.139999999999986</v>
      </c>
      <c r="G11" s="63">
        <f ca="1">Calcul!AW53</f>
        <v>65.639999999999986</v>
      </c>
    </row>
    <row r="12" spans="2:7" ht="24" customHeight="1" x14ac:dyDescent="0.3">
      <c r="B12" s="49" t="s">
        <v>255</v>
      </c>
      <c r="C12" s="115">
        <f ca="1">AVERAGE(C9:C11)</f>
        <v>90.73</v>
      </c>
      <c r="D12" s="115">
        <f ca="1">AVERAGE(D9:D11)</f>
        <v>91.929999999999993</v>
      </c>
      <c r="E12" s="115">
        <f ca="1">AVERAGE(E9:E11)</f>
        <v>85.86333333333333</v>
      </c>
      <c r="F12" s="115">
        <f ca="1">AVERAGE(F9:F11)</f>
        <v>83.563333333333318</v>
      </c>
      <c r="G12" s="115">
        <f ca="1">AVERAGE(G9:G11)</f>
        <v>80.996666666666655</v>
      </c>
    </row>
    <row r="13" spans="2:7" ht="24" customHeight="1" x14ac:dyDescent="0.3">
      <c r="B13" s="49"/>
      <c r="C13" s="317"/>
      <c r="D13" s="317"/>
      <c r="E13" s="317"/>
      <c r="F13" s="317"/>
      <c r="G13" s="317"/>
    </row>
    <row r="14" spans="2:7" ht="24" customHeight="1" x14ac:dyDescent="0.3">
      <c r="C14" s="1">
        <v>0</v>
      </c>
      <c r="D14" s="223">
        <v>1</v>
      </c>
      <c r="E14" s="223">
        <v>2</v>
      </c>
      <c r="F14" s="223">
        <v>3</v>
      </c>
      <c r="G14" s="223">
        <v>4</v>
      </c>
    </row>
    <row r="15" spans="2:7" ht="24" customHeight="1" x14ac:dyDescent="0.3">
      <c r="B15" s="1" t="s">
        <v>292</v>
      </c>
      <c r="C15" s="111">
        <f ca="1">Calcul!C100</f>
        <v>93.085762610773244</v>
      </c>
      <c r="D15" s="115">
        <f ca="1">Calcul!N100</f>
        <v>89.864762739668279</v>
      </c>
      <c r="E15" s="115">
        <f ca="1">Calcul!Y100</f>
        <v>96.896429594089568</v>
      </c>
      <c r="F15" s="115">
        <f ca="1">Calcul!AJ100</f>
        <v>108.9114297870596</v>
      </c>
      <c r="G15" s="115">
        <f ca="1">Calcul!AU100</f>
        <v>124.37642992936568</v>
      </c>
    </row>
    <row r="16" spans="2:7" ht="24" customHeight="1" x14ac:dyDescent="0.3">
      <c r="D16" s="24">
        <f ca="1">D15-C15</f>
        <v>-3.220999871104965</v>
      </c>
      <c r="E16" s="24">
        <f ca="1">E15-D15</f>
        <v>7.0316668544212888</v>
      </c>
      <c r="F16" s="24">
        <f ca="1">F15-E15</f>
        <v>12.015000192970035</v>
      </c>
      <c r="G16" s="24">
        <f ca="1">G15-F15</f>
        <v>15.465000142306081</v>
      </c>
    </row>
    <row r="17" spans="2:15" ht="24" customHeight="1" x14ac:dyDescent="0.3">
      <c r="C17" s="1">
        <v>0</v>
      </c>
      <c r="D17" s="154">
        <f>D14</f>
        <v>1</v>
      </c>
      <c r="E17" s="223">
        <f>E14</f>
        <v>2</v>
      </c>
      <c r="F17" s="223">
        <f>F14</f>
        <v>3</v>
      </c>
      <c r="G17" s="223">
        <f>G14</f>
        <v>4</v>
      </c>
    </row>
    <row r="18" spans="2:15" ht="24" customHeight="1" x14ac:dyDescent="0.3">
      <c r="B18" s="1" t="s">
        <v>200</v>
      </c>
      <c r="C18" s="111">
        <f ca="1">Calcul!F97</f>
        <v>27</v>
      </c>
      <c r="D18" s="111">
        <f ca="1">Calcul!Q97</f>
        <v>16</v>
      </c>
      <c r="E18" s="111">
        <f ca="1">Calcul!AB97</f>
        <v>8</v>
      </c>
      <c r="F18" s="111">
        <f ca="1">Calcul!AM97</f>
        <v>9</v>
      </c>
      <c r="G18" s="111">
        <f ca="1">Calcul!AX97</f>
        <v>6</v>
      </c>
    </row>
    <row r="19" spans="2:15" ht="24" customHeight="1" x14ac:dyDescent="0.3">
      <c r="D19" s="24">
        <f ca="1">D18-C18</f>
        <v>-11</v>
      </c>
      <c r="E19" s="24">
        <f ca="1">E18-D18</f>
        <v>-8</v>
      </c>
      <c r="F19" s="24">
        <f ca="1">F18-E18</f>
        <v>1</v>
      </c>
      <c r="G19" s="24">
        <f ca="1">G18-F18</f>
        <v>-3</v>
      </c>
    </row>
    <row r="20" spans="2:15" ht="24" customHeight="1" x14ac:dyDescent="0.3"/>
    <row r="21" spans="2:15" ht="24" customHeight="1" x14ac:dyDescent="0.3">
      <c r="B21" s="45" t="s">
        <v>3</v>
      </c>
      <c r="C21" s="1">
        <v>0</v>
      </c>
      <c r="D21" s="287">
        <v>1</v>
      </c>
      <c r="E21" s="287">
        <v>2</v>
      </c>
      <c r="F21" s="287">
        <v>3</v>
      </c>
      <c r="G21" s="287">
        <v>4</v>
      </c>
      <c r="I21" s="45" t="s">
        <v>321</v>
      </c>
      <c r="J21" s="1">
        <v>0</v>
      </c>
      <c r="K21" s="298">
        <v>1</v>
      </c>
      <c r="L21" s="298">
        <v>2</v>
      </c>
      <c r="M21" s="298">
        <v>3</v>
      </c>
      <c r="N21" s="298">
        <v>4</v>
      </c>
    </row>
    <row r="22" spans="2:15" ht="24" customHeight="1" x14ac:dyDescent="0.3">
      <c r="B22" s="1" t="str">
        <f>B9</f>
        <v>junior</v>
      </c>
      <c r="C22" s="111">
        <f ca="1">Calcul!C109</f>
        <v>1705</v>
      </c>
      <c r="D22" s="111">
        <f ca="1">Calcul!N109</f>
        <v>1687</v>
      </c>
      <c r="E22" s="111">
        <f ca="1">Calcul!Y109</f>
        <v>1749</v>
      </c>
      <c r="F22" s="111">
        <f ca="1">Calcul!AJ109</f>
        <v>1936</v>
      </c>
      <c r="G22" s="111">
        <f ca="1">Calcul!AU109</f>
        <v>1877</v>
      </c>
      <c r="I22" s="1" t="str">
        <f>B22</f>
        <v>junior</v>
      </c>
      <c r="J22" s="148">
        <f ca="1">-(C22-'Historique T=0'!C3)/'Historique T=0'!C3</f>
        <v>5.2777777777777778E-2</v>
      </c>
      <c r="K22" s="148">
        <f t="shared" ref="K22:N25" ca="1" si="0">-(D22-C22)/C22</f>
        <v>1.0557184750733138E-2</v>
      </c>
      <c r="L22" s="148">
        <f t="shared" ca="1" si="0"/>
        <v>-3.6751630112625965E-2</v>
      </c>
      <c r="M22" s="148">
        <f t="shared" ca="1" si="0"/>
        <v>-0.1069182389937107</v>
      </c>
      <c r="N22" s="148">
        <f t="shared" ca="1" si="0"/>
        <v>3.0475206611570247E-2</v>
      </c>
    </row>
    <row r="23" spans="2:15" ht="24" customHeight="1" x14ac:dyDescent="0.3">
      <c r="B23" s="1" t="str">
        <f>B10</f>
        <v>senior</v>
      </c>
      <c r="C23" s="111">
        <f ca="1">Calcul!D109</f>
        <v>1137</v>
      </c>
      <c r="D23" s="111">
        <f ca="1">Calcul!O109</f>
        <v>1159</v>
      </c>
      <c r="E23" s="111">
        <f ca="1">Calcul!Z109</f>
        <v>1236</v>
      </c>
      <c r="F23" s="111">
        <f ca="1">Calcul!AK109</f>
        <v>1394</v>
      </c>
      <c r="G23" s="111">
        <f ca="1">Calcul!AV109</f>
        <v>1477</v>
      </c>
      <c r="I23" s="1" t="str">
        <f>B23</f>
        <v>senior</v>
      </c>
      <c r="J23" s="148">
        <f ca="1">-(C23-'Historique T=0'!C4)/'Historique T=0'!C4</f>
        <v>5.2499999999999998E-2</v>
      </c>
      <c r="K23" s="148">
        <f t="shared" ca="1" si="0"/>
        <v>-1.9349164467897976E-2</v>
      </c>
      <c r="L23" s="148">
        <f t="shared" ca="1" si="0"/>
        <v>-6.6436583261432272E-2</v>
      </c>
      <c r="M23" s="148">
        <f t="shared" ca="1" si="0"/>
        <v>-0.127831715210356</v>
      </c>
      <c r="N23" s="148">
        <f t="shared" ca="1" si="0"/>
        <v>-5.9540889526542323E-2</v>
      </c>
    </row>
    <row r="24" spans="2:15" ht="24" customHeight="1" x14ac:dyDescent="0.3">
      <c r="B24" s="1" t="str">
        <f>B11</f>
        <v>premium</v>
      </c>
      <c r="C24" s="111">
        <f ca="1">Calcul!E109</f>
        <v>663</v>
      </c>
      <c r="D24" s="111">
        <f ca="1">Calcul!P109</f>
        <v>702</v>
      </c>
      <c r="E24" s="111">
        <f ca="1">Calcul!AA109</f>
        <v>777</v>
      </c>
      <c r="F24" s="111">
        <f ca="1">Calcul!AL109</f>
        <v>924</v>
      </c>
      <c r="G24" s="111">
        <f ca="1">Calcul!AW109</f>
        <v>997</v>
      </c>
      <c r="I24" s="1" t="str">
        <f>B24</f>
        <v>premium</v>
      </c>
      <c r="J24" s="148">
        <f ca="1">-(C24-'Historique T=0'!C5)/'Historique T=0'!C5</f>
        <v>5.2857142857142859E-2</v>
      </c>
      <c r="K24" s="148">
        <f t="shared" ca="1" si="0"/>
        <v>-5.8823529411764705E-2</v>
      </c>
      <c r="L24" s="148">
        <f t="shared" ca="1" si="0"/>
        <v>-0.10683760683760683</v>
      </c>
      <c r="M24" s="148">
        <f t="shared" ca="1" si="0"/>
        <v>-0.1891891891891892</v>
      </c>
      <c r="N24" s="148">
        <f t="shared" ca="1" si="0"/>
        <v>-7.9004329004329008E-2</v>
      </c>
    </row>
    <row r="25" spans="2:15" ht="24" customHeight="1" x14ac:dyDescent="0.3">
      <c r="B25" s="51" t="s">
        <v>286</v>
      </c>
      <c r="C25" s="123">
        <f ca="1">SUM(C22:C24)</f>
        <v>3505</v>
      </c>
      <c r="D25" s="123">
        <f ca="1">SUM(D22:D24)</f>
        <v>3548</v>
      </c>
      <c r="E25" s="123">
        <f ca="1">SUM(E22:E24)</f>
        <v>3762</v>
      </c>
      <c r="F25" s="123">
        <f ca="1">SUM(F22:F24)</f>
        <v>4254</v>
      </c>
      <c r="G25" s="123">
        <f ca="1">SUM(G22:G24)</f>
        <v>4351</v>
      </c>
      <c r="I25" s="49" t="s">
        <v>313</v>
      </c>
      <c r="J25" s="148">
        <f ca="1">-(C25-'Historique T=0'!C6)/'Historique T=0'!C6</f>
        <v>5.2702702702702706E-2</v>
      </c>
      <c r="K25" s="148">
        <f t="shared" ca="1" si="0"/>
        <v>-1.2268188302425107E-2</v>
      </c>
      <c r="L25" s="148">
        <f t="shared" ca="1" si="0"/>
        <v>-6.0315670800450957E-2</v>
      </c>
      <c r="M25" s="148">
        <f t="shared" ca="1" si="0"/>
        <v>-0.13078149920255183</v>
      </c>
      <c r="N25" s="148">
        <f t="shared" ca="1" si="0"/>
        <v>-2.2802068641278796E-2</v>
      </c>
    </row>
    <row r="26" spans="2:15" ht="24" customHeight="1" x14ac:dyDescent="0.3"/>
    <row r="27" spans="2:15" ht="24" customHeight="1" x14ac:dyDescent="0.3">
      <c r="B27" s="45" t="s">
        <v>294</v>
      </c>
      <c r="C27" s="1">
        <v>0</v>
      </c>
      <c r="D27" s="299">
        <v>1</v>
      </c>
      <c r="E27" s="299">
        <v>2</v>
      </c>
      <c r="F27" s="299">
        <v>3</v>
      </c>
      <c r="G27" s="299">
        <v>4</v>
      </c>
      <c r="I27" s="45" t="s">
        <v>322</v>
      </c>
      <c r="K27" s="304">
        <v>1</v>
      </c>
      <c r="L27" s="304">
        <v>2</v>
      </c>
      <c r="M27" s="304">
        <v>3</v>
      </c>
      <c r="N27" s="304">
        <v>4</v>
      </c>
    </row>
    <row r="28" spans="2:15" ht="24" customHeight="1" x14ac:dyDescent="0.3">
      <c r="B28" s="1" t="str">
        <f>Constantes!A10</f>
        <v>Collecte</v>
      </c>
      <c r="C28" s="111">
        <f ca="1">SUM(Calcul!F332:F333)</f>
        <v>19347.241020000001</v>
      </c>
      <c r="D28" s="111">
        <f ca="1">SUM(Calcul!Q332:Q333)</f>
        <v>20177.759932851088</v>
      </c>
      <c r="E28" s="111">
        <f ca="1">SUM(Calcul!AB332:AB333)</f>
        <v>21812.343840170299</v>
      </c>
      <c r="F28" s="111">
        <f ca="1">SUM(Calcul!AM332:AM333)</f>
        <v>24929.880157918677</v>
      </c>
      <c r="G28" s="111">
        <f ca="1">SUM(Calcul!AX332:AX333)</f>
        <v>26229.062486360541</v>
      </c>
      <c r="I28" s="1" t="str">
        <f>Constantes!A10</f>
        <v>Collecte</v>
      </c>
      <c r="J28" s="310">
        <f ca="1">SUM(Calcul!C319:C320)*Calcul!C109+SUM(Calcul!D319:D320)*Calcul!D109+SUM(Calcul!E319:E320)*Calcul!E109</f>
        <v>45682706.600000001</v>
      </c>
      <c r="K28" s="310">
        <f ca="1">SUM(Calcul!N319:N320)*Calcul!N109+SUM(Calcul!O319:O320)*Calcul!O109+SUM(Calcul!P319:P320)*Calcul!P109</f>
        <v>47871071.055942699</v>
      </c>
      <c r="L28" s="310">
        <f ca="1">SUM(Calcul!Y319:Y320)*Calcul!Y109+SUM(Calcul!Z319:Z320)*Calcul!Z109+SUM(Calcul!AA319:AA320)*Calcul!AA109</f>
        <v>51902713.400428638</v>
      </c>
      <c r="M28" s="310">
        <f ca="1">SUM(Calcul!AJ319:AJ320)*Calcul!AJ109+SUM(Calcul!AK319:AK320)*Calcul!AK109+SUM(Calcul!AL319:AL320)*Calcul!AL109</f>
        <v>59507357.397294141</v>
      </c>
      <c r="N28" s="310">
        <f ca="1">SUM(Calcul!AU319:AU320)*Calcul!AU109+SUM(Calcul!AV319:AV320)*Calcul!AV109+SUM(Calcul!AW319:AW320)*Calcul!AW109</f>
        <v>62809783.856877223</v>
      </c>
    </row>
    <row r="29" spans="2:15" ht="24" customHeight="1" x14ac:dyDescent="0.3">
      <c r="B29" s="1" t="str">
        <f>Constantes!A12</f>
        <v>Crédit</v>
      </c>
      <c r="C29" s="111">
        <f ca="1">SUM(Calcul!F334:F336)</f>
        <v>40425.135532499997</v>
      </c>
      <c r="D29" s="111">
        <f ca="1">SUM(Calcul!Q334:Q336)</f>
        <v>41589.976381268978</v>
      </c>
      <c r="E29" s="111">
        <f ca="1">SUM(Calcul!AB334:AB336)</f>
        <v>45091.55214256703</v>
      </c>
      <c r="F29" s="111">
        <f ca="1">SUM(Calcul!AM334:AM336)</f>
        <v>51335.566690612977</v>
      </c>
      <c r="G29" s="111">
        <f ca="1">SUM(Calcul!AX334:AX336)</f>
        <v>53970.675250502718</v>
      </c>
      <c r="I29" s="1" t="str">
        <f>Constantes!A12</f>
        <v>Crédit</v>
      </c>
      <c r="J29" s="310">
        <f ca="1">SUM(Calcul!C321:C323)*Calcul!C109+SUM(Calcul!D321:D323)*Calcul!D109+SUM(Calcul!E321:E323)*Calcul!E109</f>
        <v>125268570.625</v>
      </c>
      <c r="K29" s="310">
        <f ca="1">SUM(Calcul!N321:N323)*Calcul!N109+SUM(Calcul!O321:O323)*Calcul!O109+SUM(Calcul!P321:P323)*Calcul!P109</f>
        <v>128549205.16867718</v>
      </c>
      <c r="L29" s="310">
        <f ca="1">SUM(Calcul!Y321:Y323)*Calcul!Y109+SUM(Calcul!Z321:Z323)*Calcul!Z109+SUM(Calcul!AA321:AA323)*Calcul!AA109</f>
        <v>139413243.64596319</v>
      </c>
      <c r="M29" s="310">
        <f ca="1">SUM(Calcul!AJ321:AJ323)*Calcul!AJ109+SUM(Calcul!AK321:AK323)*Calcul!AK109+SUM(Calcul!AL321:AL323)*Calcul!AL109</f>
        <v>158652021.24492773</v>
      </c>
      <c r="N29" s="310">
        <f ca="1">SUM(Calcul!AU321:AU323)*Calcul!AU109+SUM(Calcul!AV321:AV323)*Calcul!AV109+SUM(Calcul!AW321:AW323)*Calcul!AW109</f>
        <v>167089384.26816118</v>
      </c>
    </row>
    <row r="30" spans="2:15" ht="24" customHeight="1" x14ac:dyDescent="0.3">
      <c r="B30" s="1" t="str">
        <f>Constantes!A15</f>
        <v>Assurance</v>
      </c>
      <c r="C30" s="111">
        <f ca="1">SUM(Calcul!F337:F338)</f>
        <v>28474.100000000002</v>
      </c>
      <c r="D30" s="111">
        <f ca="1">SUM(Calcul!Q337:Q338)</f>
        <v>30672.155983237622</v>
      </c>
      <c r="E30" s="111">
        <f ca="1">SUM(Calcul!AB337:AB338)</f>
        <v>33715.519935059267</v>
      </c>
      <c r="F30" s="111">
        <f ca="1">SUM(Calcul!AM337:AM338)</f>
        <v>37837.792267561439</v>
      </c>
      <c r="G30" s="111">
        <f ca="1">SUM(Calcul!AX337:AX338)</f>
        <v>43143.76150731089</v>
      </c>
      <c r="I30" s="1" t="str">
        <f>Constantes!A15</f>
        <v>Assurance</v>
      </c>
      <c r="J30" s="310">
        <f ca="1">SUM(Calcul!C324:C325)*Calcul!C109+SUM(Calcul!D324:D325)*Calcul!D109+SUM(Calcul!E324:E325)*Calcul!E109</f>
        <v>25654.100000000002</v>
      </c>
      <c r="K30" s="310">
        <f ca="1">SUM(Calcul!N324:N325)*Calcul!N109+SUM(Calcul!O324:O325)*Calcul!O109+SUM(Calcul!P324:P325)*Calcul!P109</f>
        <v>27196.655983237622</v>
      </c>
      <c r="L30" s="310">
        <f ca="1">SUM(Calcul!Y324:Y325)*Calcul!Y109+SUM(Calcul!Z324:Z325)*Calcul!Z109+SUM(Calcul!AA324:AA325)*Calcul!AA109</f>
        <v>30123.019935059267</v>
      </c>
      <c r="M30" s="310">
        <f ca="1">SUM(Calcul!AJ324:AJ325)*Calcul!AJ109+SUM(Calcul!AK324:AK325)*Calcul!AK109+SUM(Calcul!AL324:AL325)*Calcul!AL109</f>
        <v>35149.792267561439</v>
      </c>
      <c r="N30" s="310">
        <f ca="1">SUM(Calcul!AU324:AU325)*Calcul!AU109+SUM(Calcul!AV324:AV325)*Calcul!AV109+SUM(Calcul!AW324:AW325)*Calcul!AW109</f>
        <v>38011.761507310883</v>
      </c>
      <c r="O30" s="20"/>
    </row>
    <row r="31" spans="2:15" ht="24" customHeight="1" x14ac:dyDescent="0.3">
      <c r="B31" s="1" t="str">
        <f>Constantes!A17</f>
        <v>Services</v>
      </c>
      <c r="C31" s="111">
        <f ca="1">SUM(Calcul!F339:F341)</f>
        <v>54996.6</v>
      </c>
      <c r="D31" s="111">
        <f ca="1">SUM(Calcul!Q339:Q341)</f>
        <v>59531.605958500048</v>
      </c>
      <c r="E31" s="111">
        <f ca="1">SUM(Calcul!AB339:AB341)</f>
        <v>63110.471875672476</v>
      </c>
      <c r="F31" s="111">
        <f ca="1">SUM(Calcul!AM339:AM341)</f>
        <v>71648.377983603743</v>
      </c>
      <c r="G31" s="111">
        <f ca="1">SUM(Calcul!AX339:AX341)</f>
        <v>76719.478991997079</v>
      </c>
      <c r="I31" s="1" t="str">
        <f>Constantes!A17</f>
        <v>Services</v>
      </c>
      <c r="J31" s="310">
        <f ca="1">SUM(Calcul!C326:C328)*Calcul!C109+SUM(Calcul!D326:D328)*Calcul!D109+SUM(Calcul!E326:E328)*Calcul!E109</f>
        <v>51226.6</v>
      </c>
      <c r="K31" s="310">
        <f ca="1">SUM(Calcul!N326:N328)*Calcul!N109+SUM(Calcul!O326:O328)*Calcul!O109+SUM(Calcul!P326:P328)*Calcul!P109</f>
        <v>53926.605958500055</v>
      </c>
      <c r="L31" s="310">
        <f ca="1">SUM(Calcul!Y326:Y328)*Calcul!Y109+SUM(Calcul!Z326:Z328)*Calcul!Z109+SUM(Calcul!AA326:AA328)*Calcul!AA109</f>
        <v>58881.221875672476</v>
      </c>
      <c r="M31" s="310">
        <f ca="1">SUM(Calcul!AJ326:AJ328)*Calcul!AJ109+SUM(Calcul!AK326:AK328)*Calcul!AK109+SUM(Calcul!AL326:AL328)*Calcul!AL109</f>
        <v>68147.377983603743</v>
      </c>
      <c r="N31" s="310">
        <f ca="1">SUM(Calcul!AU326:AU328)*Calcul!AU109+SUM(Calcul!AV326:AV328)*Calcul!AV109+SUM(Calcul!AW326:AW328)*Calcul!AW109</f>
        <v>71947.728991997094</v>
      </c>
    </row>
    <row r="32" spans="2:15" ht="24" customHeight="1" x14ac:dyDescent="0.3">
      <c r="B32" s="36" t="s">
        <v>315</v>
      </c>
      <c r="C32" s="123">
        <f ca="1">SUM(C28:C31)</f>
        <v>143243.07655249999</v>
      </c>
      <c r="D32" s="123">
        <f ca="1">SUM(D28:D31)</f>
        <v>151971.49825585773</v>
      </c>
      <c r="E32" s="123">
        <f ca="1">SUM(E28:E31)</f>
        <v>163729.88779346907</v>
      </c>
      <c r="F32" s="123">
        <f ca="1">SUM(F28:F31)</f>
        <v>185751.61709969683</v>
      </c>
      <c r="G32" s="123">
        <f ca="1">SUM(G28:G31)</f>
        <v>200062.97823617124</v>
      </c>
    </row>
    <row r="33" spans="1:14" ht="24" customHeight="1" x14ac:dyDescent="0.3">
      <c r="B33" s="49"/>
      <c r="C33" s="109"/>
      <c r="D33" s="109"/>
      <c r="E33" s="109"/>
      <c r="F33" s="109"/>
      <c r="G33" s="137">
        <f ca="1">SUM(D32:G32)</f>
        <v>701515.98138519493</v>
      </c>
      <c r="I33" s="45" t="s">
        <v>188</v>
      </c>
    </row>
    <row r="34" spans="1:14" ht="24" customHeight="1" x14ac:dyDescent="0.3">
      <c r="B34" s="303"/>
      <c r="D34" s="315">
        <f>D14</f>
        <v>1</v>
      </c>
      <c r="E34" s="315">
        <f>E14</f>
        <v>2</v>
      </c>
      <c r="F34" s="315">
        <f>F14</f>
        <v>3</v>
      </c>
      <c r="G34" s="315">
        <f>G14</f>
        <v>4</v>
      </c>
      <c r="I34" s="1" t="str">
        <f>Constantes!B44</f>
        <v>Développement commercial</v>
      </c>
      <c r="K34" s="287">
        <v>1</v>
      </c>
      <c r="L34" s="287">
        <v>2</v>
      </c>
      <c r="M34" s="287">
        <v>3</v>
      </c>
      <c r="N34" s="287">
        <v>4</v>
      </c>
    </row>
    <row r="35" spans="1:14" ht="24" customHeight="1" x14ac:dyDescent="0.3">
      <c r="B35" s="1" t="s">
        <v>288</v>
      </c>
      <c r="D35" s="128">
        <f ca="1">D32/Scénario!$C$43</f>
        <v>0.23380230500901189</v>
      </c>
      <c r="E35" s="128">
        <f ca="1">SUM(D32:E32)/Scénario!$C$43</f>
        <v>0.48569444007588741</v>
      </c>
      <c r="F35" s="128">
        <f ca="1">SUM(D32:F32)/Scénario!$C$43</f>
        <v>0.77146615869080559</v>
      </c>
      <c r="G35" s="128">
        <f ca="1">SUM(D32:G32)/Scénario!$C$43</f>
        <v>1.0792553559772229</v>
      </c>
      <c r="I35" s="1" t="s">
        <v>189</v>
      </c>
      <c r="K35" s="113">
        <f>SUM(Calcul!N346:N347)</f>
        <v>3000</v>
      </c>
      <c r="L35" s="113">
        <f>SUM(Calcul!Y346:Y347)</f>
        <v>3600</v>
      </c>
      <c r="M35" s="113">
        <f>SUM(Calcul!AJ346:AJ347)</f>
        <v>13100</v>
      </c>
      <c r="N35" s="113">
        <f>SUM(Calcul!AU346:AU347)</f>
        <v>4200</v>
      </c>
    </row>
    <row r="36" spans="1:14" ht="24" customHeight="1" x14ac:dyDescent="0.3">
      <c r="B36" s="1" t="s">
        <v>291</v>
      </c>
      <c r="D36" s="33">
        <f>Scénario!C46</f>
        <v>0.28000000000000003</v>
      </c>
      <c r="E36" s="33">
        <f>Scénario!D46</f>
        <v>0.6</v>
      </c>
      <c r="F36" s="33">
        <f>Scénario!E46</f>
        <v>0.75</v>
      </c>
      <c r="G36" s="33">
        <f>Scénario!F46</f>
        <v>1</v>
      </c>
      <c r="I36" s="1" t="s">
        <v>190</v>
      </c>
      <c r="J36" s="113">
        <f>Constantes!C44</f>
        <v>25000</v>
      </c>
      <c r="K36" s="113">
        <f>Calcul!N348</f>
        <v>22000</v>
      </c>
      <c r="L36" s="113">
        <f>Calcul!Y348</f>
        <v>18400</v>
      </c>
      <c r="M36" s="113">
        <f>Calcul!AJ348</f>
        <v>5300</v>
      </c>
      <c r="N36" s="113">
        <f>Calcul!AU348</f>
        <v>1100</v>
      </c>
    </row>
    <row r="37" spans="1:14" ht="24" customHeight="1" x14ac:dyDescent="0.3">
      <c r="C37" s="33"/>
      <c r="I37" s="1" t="str">
        <f>Constantes!B45</f>
        <v>Motivation</v>
      </c>
      <c r="J37" s="205"/>
    </row>
    <row r="38" spans="1:14" ht="24" customHeight="1" x14ac:dyDescent="0.3">
      <c r="C38" s="33"/>
      <c r="I38" s="1" t="s">
        <v>189</v>
      </c>
      <c r="J38" s="205"/>
      <c r="K38" s="113">
        <f ca="1">SUM(Calcul!N351:N352)</f>
        <v>3300</v>
      </c>
      <c r="L38" s="113">
        <f ca="1">SUM(Calcul!Y351:Y352)</f>
        <v>2700</v>
      </c>
      <c r="M38" s="113">
        <f ca="1">SUM(Calcul!AJ351:AJ352)</f>
        <v>1200</v>
      </c>
      <c r="N38" s="113">
        <f ca="1">SUM(Calcul!AU351:AU352)</f>
        <v>3000</v>
      </c>
    </row>
    <row r="39" spans="1:14" ht="24" customHeight="1" x14ac:dyDescent="0.3">
      <c r="C39" s="33"/>
      <c r="I39" s="1" t="s">
        <v>190</v>
      </c>
      <c r="J39" s="113">
        <f>Constantes!C45</f>
        <v>15000</v>
      </c>
      <c r="K39" s="113">
        <f ca="1">Calcul!N353</f>
        <v>11700</v>
      </c>
      <c r="L39" s="113">
        <f ca="1">Calcul!Y353</f>
        <v>9000</v>
      </c>
      <c r="M39" s="113">
        <f ca="1">Calcul!AJ353</f>
        <v>7800</v>
      </c>
      <c r="N39" s="113">
        <f ca="1">Calcul!AU353</f>
        <v>4800</v>
      </c>
    </row>
    <row r="40" spans="1:14" ht="24" customHeight="1" x14ac:dyDescent="0.3">
      <c r="C40" s="33"/>
    </row>
    <row r="41" spans="1:14" ht="24" customHeight="1" x14ac:dyDescent="0.3">
      <c r="C41" s="33"/>
    </row>
    <row r="42" spans="1:14" ht="24" customHeight="1" x14ac:dyDescent="0.3">
      <c r="C42" s="33"/>
    </row>
    <row r="43" spans="1:14" ht="24" customHeight="1" x14ac:dyDescent="0.3">
      <c r="C43" s="33"/>
    </row>
    <row r="44" spans="1:14" ht="24" customHeight="1" x14ac:dyDescent="0.3">
      <c r="C44" s="33"/>
    </row>
    <row r="45" spans="1:14" ht="24" customHeight="1" x14ac:dyDescent="0.3">
      <c r="C45" s="33"/>
    </row>
    <row r="46" spans="1:14" ht="24" customHeight="1" x14ac:dyDescent="0.3">
      <c r="C46" s="33"/>
    </row>
    <row r="48" spans="1:14" ht="24" customHeight="1" x14ac:dyDescent="0.3">
      <c r="A48" s="45" t="s">
        <v>301</v>
      </c>
      <c r="D48" s="20"/>
    </row>
    <row r="49" spans="1:15" ht="24" customHeight="1" x14ac:dyDescent="0.3">
      <c r="C49" s="312">
        <v>0</v>
      </c>
      <c r="D49" s="312">
        <v>1</v>
      </c>
      <c r="E49" s="312">
        <v>2</v>
      </c>
      <c r="F49" s="312">
        <v>3</v>
      </c>
      <c r="G49" s="223">
        <v>4</v>
      </c>
      <c r="J49" s="312">
        <v>0</v>
      </c>
      <c r="K49" s="312">
        <v>1</v>
      </c>
      <c r="L49" s="312">
        <v>2</v>
      </c>
      <c r="M49" s="312">
        <v>3</v>
      </c>
      <c r="N49" s="312">
        <v>4</v>
      </c>
    </row>
    <row r="50" spans="1:15" ht="24" customHeight="1" x14ac:dyDescent="0.3">
      <c r="A50" s="1" t="s">
        <v>4</v>
      </c>
      <c r="B50" s="1" t="s">
        <v>160</v>
      </c>
      <c r="C50" s="219">
        <f ca="1">SUM(Calcul!F332:F333)</f>
        <v>19347.241020000001</v>
      </c>
      <c r="D50" s="219">
        <f ca="1">SUM(Calcul!Q332:Q333)</f>
        <v>20177.759932851088</v>
      </c>
      <c r="E50" s="219">
        <f ca="1">SUM(Calcul!AB332:AB333)</f>
        <v>21812.343840170299</v>
      </c>
      <c r="F50" s="219">
        <f ca="1">SUM(Calcul!AM332:AM333)</f>
        <v>24929.880157918677</v>
      </c>
      <c r="G50" s="219">
        <f ca="1">SUM(Calcul!AX332:AX333)</f>
        <v>26229.062486360541</v>
      </c>
      <c r="J50" s="153">
        <f ca="1">IF(C50&lt;=Constantes!$E$158,Constantes!$E$162,IF(C50&lt;Constantes!$E$159,_xlfn.FORECAST.LINEAR(C50,Constantes!$E$162:$E$163,Constantes!$E$158:$E$159),IF(C50&lt;Constantes!$E$160,_xlfn.FORECAST.LINEAR(C50,Constantes!$E$163:$E$164,Constantes!$E$159:$E$160),IF(C50&lt;Constantes!$E$161,_xlfn.FORECAST.LINEAR(C50,Constantes!$E$164:$E$165,Constantes!$E$160:$E$161),Constantes!$E$165))))</f>
        <v>2.8041723059999999</v>
      </c>
      <c r="K50" s="153">
        <f ca="1">IF(D50&lt;=Constantes!$E$158,Constantes!$E$162,IF(D50&lt;Constantes!$E$159,_xlfn.FORECAST.LINEAR(D50,Constantes!$E$162:$E$163,Constantes!$E$158:$E$159),IF(D50&lt;Constantes!$E$160,_xlfn.FORECAST.LINEAR(D50,Constantes!$E$163:$E$164,Constantes!$E$159:$E$160),IF(D50&lt;Constantes!$E$161,_xlfn.FORECAST.LINEAR(D50,Constantes!$E$164:$E$165,Constantes!$E$160:$E$161),Constantes!$E$165))))</f>
        <v>3.0711039731404348</v>
      </c>
      <c r="L50" s="153">
        <f ca="1">IF(E50&lt;=Constantes!$E$158,Constantes!$E$162,IF(E50&lt;Constantes!$E$159,_xlfn.FORECAST.LINEAR(E50,Constantes!$E$162:$E$163,Constantes!$E$158:$E$159),IF(E50&lt;Constantes!$E$160,_xlfn.FORECAST.LINEAR(E50,Constantes!$E$163:$E$164,Constantes!$E$159:$E$160),IF(E50&lt;Constantes!$E$161,_xlfn.FORECAST.LINEAR(E50,Constantes!$E$164:$E$165,Constantes!$E$160:$E$161),Constantes!$E$165))))</f>
        <v>3.7249375360681203</v>
      </c>
      <c r="M50" s="153">
        <f ca="1">IF(F50&lt;=Constantes!$E$158,Constantes!$E$162,IF(F50&lt;Constantes!$E$159,_xlfn.FORECAST.LINEAR(F50,Constantes!$E$162:$E$163,Constantes!$E$158:$E$159),IF(F50&lt;Constantes!$E$160,_xlfn.FORECAST.LINEAR(F50,Constantes!$E$163:$E$164,Constantes!$E$159:$E$160),IF(F50&lt;Constantes!$E$161,_xlfn.FORECAST.LINEAR(F50,Constantes!$E$164:$E$165,Constantes!$E$160:$E$161),Constantes!$E$165))))</f>
        <v>4.9719520631674712</v>
      </c>
      <c r="N50" s="153">
        <f ca="1">IF(G50&lt;=Constantes!$E$158,Constantes!$E$162,IF(G50&lt;Constantes!$E$159,_xlfn.FORECAST.LINEAR(G50,Constantes!$E$162:$E$163,Constantes!$E$158:$E$159),IF(G50&lt;Constantes!$E$160,_xlfn.FORECAST.LINEAR(G50,Constantes!$E$163:$E$164,Constantes!$E$159:$E$160),IF(G50&lt;Constantes!$E$161,_xlfn.FORECAST.LINEAR(G50,Constantes!$E$164:$E$165,Constantes!$E$160:$E$161),Constantes!$E$165))))</f>
        <v>5.4916249945442175</v>
      </c>
      <c r="O50" s="1" t="str">
        <f>CONCATENATE("/ ",Constantes!$C$117)</f>
        <v>/ 10</v>
      </c>
    </row>
    <row r="51" spans="1:15" ht="24" customHeight="1" x14ac:dyDescent="0.3">
      <c r="B51" s="1" t="s">
        <v>199</v>
      </c>
      <c r="C51" s="105">
        <f ca="1">SUM(Calcul!F190:F191)</f>
        <v>129</v>
      </c>
      <c r="D51" s="105">
        <f ca="1">SUM(Calcul!Q190:Q191)</f>
        <v>151</v>
      </c>
      <c r="E51" s="105">
        <f ca="1">SUM(Calcul!AB190:AB191)</f>
        <v>148</v>
      </c>
      <c r="F51" s="105">
        <f ca="1">SUM(Calcul!AM190:AM191)</f>
        <v>64</v>
      </c>
      <c r="G51" s="105">
        <f ca="1">SUM(Calcul!AX190:AX191)</f>
        <v>126</v>
      </c>
      <c r="J51" s="153">
        <f ca="1">IF(C51/(Scénario!C$40/100)&lt;=Constantes!$F$158,Constantes!$F$162,IF(C51/(Scénario!C$40/100)&lt;Constantes!$F$159,_xlfn.FORECAST.LINEAR(C51/(Scénario!C$40/100),Constantes!$F$162:$F$163,Constantes!$F$158:$F$159),IF(C51/(Scénario!C$40/100)&lt;Constantes!$F$160,_xlfn.FORECAST.LINEAR(C51/(Scénario!C$40/100),Constantes!$F$163:$F$164,Constantes!$F$159:$F$160),IF(C51/(Scénario!C$40/100)&lt;Constantes!$F$161,_xlfn.FORECAST.LINEAR(C51/(Scénario!C$40/100),Constantes!$F$164:$F$165,Constantes!$F$160:$F$161),Constantes!$F$165))))</f>
        <v>2.58</v>
      </c>
      <c r="K51" s="153">
        <f ca="1">IF(D51/(Scénario!D$40/100)&lt;=Constantes!$F$158,Constantes!$F$162,IF(D51/(Scénario!D$40/100)&lt;Constantes!$F$159,_xlfn.FORECAST.LINEAR(D51/(Scénario!D$40/100),Constantes!$F$162:$F$163,Constantes!$F$158:$F$159),IF(D51/(Scénario!D$40/100)&lt;Constantes!$F$160,_xlfn.FORECAST.LINEAR(D51/(Scénario!D$40/100),Constantes!$F$163:$F$164,Constantes!$F$159:$F$160),IF(D51/(Scénario!D$40/100)&lt;Constantes!$F$161,_xlfn.FORECAST.LINEAR(D51/(Scénario!D$40/100),Constantes!$F$164:$F$165,Constantes!$F$160:$F$161),Constantes!$F$165))))</f>
        <v>3.0133333333333336</v>
      </c>
      <c r="L51" s="153">
        <f ca="1">IF(E51/(Scénario!E$40/100)&lt;=Constantes!$F$158,Constantes!$F$162,IF(E51/(Scénario!E$40/100)&lt;Constantes!$F$159,_xlfn.FORECAST.LINEAR(E51/(Scénario!E$40/100),Constantes!$F$162:$F$163,Constantes!$F$158:$F$159),IF(E51/(Scénario!E$40/100)&lt;Constantes!$F$160,_xlfn.FORECAST.LINEAR(E51/(Scénario!E$40/100),Constantes!$F$163:$F$164,Constantes!$F$159:$F$160),IF(E51/(Scénario!E$40/100)&lt;Constantes!$F$161,_xlfn.FORECAST.LINEAR(E51/(Scénario!E$40/100),Constantes!$F$164:$F$165,Constantes!$F$160:$F$161),Constantes!$F$165))))</f>
        <v>2.96</v>
      </c>
      <c r="M51" s="153">
        <f ca="1">IF(F51/(Scénario!F$40/100)&lt;=Constantes!$F$158,Constantes!$F$162,IF(F51/(Scénario!F$40/100)&lt;Constantes!$F$159,_xlfn.FORECAST.LINEAR(F51/(Scénario!F$40/100),Constantes!$F$162:$F$163,Constantes!$F$158:$F$159),IF(F51/(Scénario!F$40/100)&lt;Constantes!$F$160,_xlfn.FORECAST.LINEAR(F51/(Scénario!F$40/100),Constantes!$F$163:$F$164,Constantes!$F$159:$F$160),IF(F51/(Scénario!F$40/100)&lt;Constantes!$F$161,_xlfn.FORECAST.LINEAR(F51/(Scénario!F$40/100),Constantes!$F$164:$F$165,Constantes!$F$160:$F$161),Constantes!$F$165))))</f>
        <v>1.4133333333333331</v>
      </c>
      <c r="N51" s="153">
        <f ca="1">IF(G51/(Scénario!G$40/100)&lt;=Constantes!$F$158,Constantes!$F$162,IF(G51/(Scénario!G$40/100)&lt;Constantes!$F$159,_xlfn.FORECAST.LINEAR(G51/(Scénario!G$40/100),Constantes!$F$162:$F$163,Constantes!$F$158:$F$159),IF(G51/(Scénario!G$40/100)&lt;Constantes!$F$160,_xlfn.FORECAST.LINEAR(G51/(Scénario!G$40/100),Constantes!$F$163:$F$164,Constantes!$F$159:$F$160),IF(G51/(Scénario!G$40/100)&lt;Constantes!$F$161,_xlfn.FORECAST.LINEAR(G51/(Scénario!G$40/100),Constantes!$F$164:$F$165,Constantes!$F$160:$F$161),Constantes!$F$165))))</f>
        <v>2.52</v>
      </c>
      <c r="O51" s="1" t="str">
        <f>CONCATENATE("/ ",Constantes!$C$118)</f>
        <v>/ 5</v>
      </c>
    </row>
    <row r="52" spans="1:15" ht="24" customHeight="1" x14ac:dyDescent="0.3">
      <c r="B52" s="1" t="s">
        <v>296</v>
      </c>
      <c r="C52" s="105">
        <f ca="1">SUM(Calcul!F278:F279)</f>
        <v>80</v>
      </c>
      <c r="D52" s="105">
        <f ca="1">SUM(Calcul!Q278:Q279)</f>
        <v>115</v>
      </c>
      <c r="E52" s="105">
        <f ca="1">SUM(Calcul!AB278:AB279)</f>
        <v>78</v>
      </c>
      <c r="F52" s="105">
        <f ca="1">SUM(Calcul!AM278:AM279)</f>
        <v>33</v>
      </c>
      <c r="G52" s="105">
        <f ca="1">SUM(Calcul!AX278:AX279)</f>
        <v>66</v>
      </c>
      <c r="J52" s="153">
        <f ca="1">IF(C52/(Scénario!C$40/100)&lt;=Constantes!$G$158,Constantes!$G$162,IF(C52/(Scénario!C$40/100)&lt;Constantes!$G$159,_xlfn.FORECAST.LINEAR(C52/(Scénario!C$40/100),Constantes!$G$162:$G$163,Constantes!$G$158:$G$159),IF(C52/(Scénario!C$40/100)&lt;Constantes!$G$160,_xlfn.FORECAST.LINEAR(C52/(Scénario!C$40/100),Constantes!$G$163:$G$164,Constantes!$G$159:$G$160),IF(C52/(Scénario!C$40/100)&lt;Constantes!$G$161,_xlfn.FORECAST.LINEAR(C52/(Scénario!C$40/100),Constantes!$G$164:$G$165,Constantes!$G$160:$G$161),Constantes!$G$165))))</f>
        <v>2</v>
      </c>
      <c r="K52" s="153">
        <f ca="1">IF(D52/(Scénario!D$40/100)&lt;=Constantes!$G$158,Constantes!$G$162,IF(D52/(Scénario!D$40/100)&lt;Constantes!$G$159,_xlfn.FORECAST.LINEAR(D52/(Scénario!D$40/100),Constantes!$G$162:$G$163,Constantes!$G$158:$G$159),IF(D52/(Scénario!D$40/100)&lt;Constantes!$G$160,_xlfn.FORECAST.LINEAR(D52/(Scénario!D$40/100),Constantes!$G$163:$G$164,Constantes!$G$159:$G$160),IF(D52/(Scénario!D$40/100)&lt;Constantes!$G$161,_xlfn.FORECAST.LINEAR(D52/(Scénario!D$40/100),Constantes!$G$164:$G$165,Constantes!$G$160:$G$161),Constantes!$G$165))))</f>
        <v>2.875</v>
      </c>
      <c r="L52" s="153">
        <f ca="1">IF(E52/(Scénario!E$40/100)&lt;=Constantes!$G$158,Constantes!$G$162,IF(E52/(Scénario!E$40/100)&lt;Constantes!$G$159,_xlfn.FORECAST.LINEAR(E52/(Scénario!E$40/100),Constantes!$G$162:$G$163,Constantes!$G$158:$G$159),IF(E52/(Scénario!E$40/100)&lt;Constantes!$G$160,_xlfn.FORECAST.LINEAR(E52/(Scénario!E$40/100),Constantes!$G$163:$G$164,Constantes!$G$159:$G$160),IF(E52/(Scénario!E$40/100)&lt;Constantes!$G$161,_xlfn.FORECAST.LINEAR(E52/(Scénario!E$40/100),Constantes!$G$164:$G$165,Constantes!$G$160:$G$161),Constantes!$G$165))))</f>
        <v>1.8666666666666671</v>
      </c>
      <c r="M52" s="153">
        <f ca="1">IF(F52/(Scénario!F$40/100)&lt;=Constantes!$G$158,Constantes!$G$162,IF(F52/(Scénario!F$40/100)&lt;Constantes!$G$159,_xlfn.FORECAST.LINEAR(F52/(Scénario!F$40/100),Constantes!$G$162:$G$163,Constantes!$G$158:$G$159),IF(F52/(Scénario!F$40/100)&lt;Constantes!$G$160,_xlfn.FORECAST.LINEAR(F52/(Scénario!F$40/100),Constantes!$G$163:$G$164,Constantes!$G$159:$G$160),IF(F52/(Scénario!F$40/100)&lt;Constantes!$G$161,_xlfn.FORECAST.LINEAR(F52/(Scénario!F$40/100),Constantes!$G$164:$G$165,Constantes!$G$160:$G$161),Constantes!$G$165))))</f>
        <v>0</v>
      </c>
      <c r="N52" s="153">
        <f ca="1">IF(G52/(Scénario!G$40/100)&lt;=Constantes!$G$158,Constantes!$G$162,IF(G52/(Scénario!G$40/100)&lt;Constantes!$G$159,_xlfn.FORECAST.LINEAR(G52/(Scénario!G$40/100),Constantes!$G$162:$G$163,Constantes!$G$158:$G$159),IF(G52/(Scénario!G$40/100)&lt;Constantes!$G$160,_xlfn.FORECAST.LINEAR(G52/(Scénario!G$40/100),Constantes!$G$163:$G$164,Constantes!$G$159:$G$160),IF(G52/(Scénario!G$40/100)&lt;Constantes!$G$161,_xlfn.FORECAST.LINEAR(G52/(Scénario!G$40/100),Constantes!$G$164:$G$165,Constantes!$G$160:$G$161),Constantes!$G$165))))</f>
        <v>1.0666666666666673</v>
      </c>
      <c r="O52" s="1" t="str">
        <f>CONCATENATE("/ ",Constantes!$C$119)</f>
        <v>/ 5</v>
      </c>
    </row>
    <row r="53" spans="1:15" ht="24" customHeight="1" x14ac:dyDescent="0.3">
      <c r="A53" s="1" t="s">
        <v>6</v>
      </c>
      <c r="B53" s="1" t="s">
        <v>160</v>
      </c>
      <c r="C53" s="219">
        <f ca="1">SUM(Calcul!F334:F336)</f>
        <v>40425.135532499997</v>
      </c>
      <c r="D53" s="219">
        <f ca="1">SUM(Calcul!Q334:Q336)</f>
        <v>41589.976381268978</v>
      </c>
      <c r="E53" s="219">
        <f ca="1">SUM(Calcul!AB334:AB336)</f>
        <v>45091.55214256703</v>
      </c>
      <c r="F53" s="219">
        <f ca="1">SUM(Calcul!AM334:AM336)</f>
        <v>51335.566690612977</v>
      </c>
      <c r="G53" s="219">
        <f ca="1">SUM(Calcul!AX334:AX336)</f>
        <v>53970.675250502718</v>
      </c>
      <c r="J53" s="153">
        <f ca="1">IF(C53&lt;=Constantes!$H$158,Constantes!$H$162,IF(C53&lt;Constantes!$H$159,_xlfn.FORECAST.LINEAR(C53,Constantes!$H$162:$H$163,Constantes!$H$158:$H$159),IF(C53&lt;Constantes!$H$160,_xlfn.FORECAST.LINEAR(C53,Constantes!$H$163:$H$164,Constantes!$H$159:$H$160),IF(C53&lt;Constantes!$H$161,_xlfn.FORECAST.LINEAR(C53,Constantes!$H$164:$H$165,Constantes!$H$160:$H$161),Constantes!$H$165))))</f>
        <v>3.1700542130000002</v>
      </c>
      <c r="K53" s="153">
        <f ca="1">IF(D53&lt;=Constantes!$H$158,Constantes!$H$162,IF(D53&lt;Constantes!$H$159,_xlfn.FORECAST.LINEAR(D53,Constantes!$H$162:$H$163,Constantes!$H$158:$H$159),IF(D53&lt;Constantes!$H$160,_xlfn.FORECAST.LINEAR(D53,Constantes!$H$163:$H$164,Constantes!$H$159:$H$160),IF(D53&lt;Constantes!$H$161,_xlfn.FORECAST.LINEAR(D53,Constantes!$H$164:$H$165,Constantes!$H$160:$H$161),Constantes!$H$165))))</f>
        <v>3.6359905525075931</v>
      </c>
      <c r="L53" s="153">
        <f ca="1">IF(E53&lt;=Constantes!$H$158,Constantes!$H$162,IF(E53&lt;Constantes!$H$159,_xlfn.FORECAST.LINEAR(E53,Constantes!$H$162:$H$163,Constantes!$H$158:$H$159),IF(E53&lt;Constantes!$H$160,_xlfn.FORECAST.LINEAR(E53,Constantes!$H$163:$H$164,Constantes!$H$159:$H$160),IF(E53&lt;Constantes!$H$161,_xlfn.FORECAST.LINEAR(E53,Constantes!$H$164:$H$165,Constantes!$H$160:$H$161),Constantes!$H$165))))</f>
        <v>5.0366208570268114</v>
      </c>
      <c r="M53" s="153">
        <f ca="1">IF(F53&lt;=Constantes!$H$158,Constantes!$H$162,IF(F53&lt;Constantes!$H$159,_xlfn.FORECAST.LINEAR(F53,Constantes!$H$162:$H$163,Constantes!$H$158:$H$159),IF(F53&lt;Constantes!$H$160,_xlfn.FORECAST.LINEAR(F53,Constantes!$H$163:$H$164,Constantes!$H$159:$H$160),IF(F53&lt;Constantes!$H$161,_xlfn.FORECAST.LINEAR(F53,Constantes!$H$164:$H$165,Constantes!$H$160:$H$161),Constantes!$H$165))))</f>
        <v>7.4006700071838925</v>
      </c>
      <c r="N53" s="153">
        <f ca="1">IF(G53&lt;=Constantes!$H$158,Constantes!$H$162,IF(G53&lt;Constantes!$H$159,_xlfn.FORECAST.LINEAR(G53,Constantes!$H$162:$H$163,Constantes!$H$158:$H$159),IF(G53&lt;Constantes!$H$160,_xlfn.FORECAST.LINEAR(G53,Constantes!$H$163:$H$164,Constantes!$H$159:$H$160),IF(G53&lt;Constantes!$H$161,_xlfn.FORECAST.LINEAR(G53,Constantes!$H$164:$H$165,Constantes!$H$160:$H$161),Constantes!$H$165))))</f>
        <v>8.1912025751508146</v>
      </c>
      <c r="O53" s="1" t="str">
        <f>CONCATENATE("/ ",Constantes!$C$117)</f>
        <v>/ 10</v>
      </c>
    </row>
    <row r="54" spans="1:15" ht="24" customHeight="1" x14ac:dyDescent="0.3">
      <c r="B54" s="1" t="s">
        <v>199</v>
      </c>
      <c r="C54" s="105">
        <f ca="1">SUM(Calcul!F192:F194)</f>
        <v>123</v>
      </c>
      <c r="D54" s="105">
        <f ca="1">SUM(Calcul!Q192:Q194)</f>
        <v>150</v>
      </c>
      <c r="E54" s="105">
        <f ca="1">SUM(Calcul!AB192:AB194)</f>
        <v>152</v>
      </c>
      <c r="F54" s="105">
        <f ca="1">SUM(Calcul!AM192:AM194)</f>
        <v>133</v>
      </c>
      <c r="G54" s="105">
        <f ca="1">SUM(Calcul!AX192:AX194)</f>
        <v>119</v>
      </c>
      <c r="J54" s="153">
        <f ca="1">IF(C54/(Scénario!C$40/100)&lt;=Constantes!$I$158,Constantes!$I$162,IF(C54/(Scénario!C$40/100)&lt;Constantes!$I$159,_xlfn.FORECAST.LINEAR(C54/(Scénario!C$40/100),Constantes!$I$162:$I$163,Constantes!$I$158:$I$159),IF(C54/(Scénario!C$40/100)&lt;Constantes!$I$160,_xlfn.FORECAST.LINEAR(C54/(Scénario!C$40/100),Constantes!$I$163:$I$164,Constantes!$I$159:$I$160),IF(C54/(Scénario!C$40/100)&lt;Constantes!$I$161,_xlfn.FORECAST.LINEAR(C54/(Scénario!C$40/100),Constantes!$I$164:$I$165,Constantes!$I$160:$I$161),Constantes!$I$165))))</f>
        <v>2.46</v>
      </c>
      <c r="K54" s="153">
        <f ca="1">IF(D54/(Scénario!D$40/100)&lt;=Constantes!$I$158,Constantes!$I$162,IF(D54/(Scénario!D$40/100)&lt;Constantes!$I$159,_xlfn.FORECAST.LINEAR(D54/(Scénario!D$40/100),Constantes!$I$162:$I$163,Constantes!$I$158:$I$159),IF(D54/(Scénario!D$40/100)&lt;Constantes!$I$160,_xlfn.FORECAST.LINEAR(D54/(Scénario!D$40/100),Constantes!$I$163:$I$164,Constantes!$I$159:$I$160),IF(D54/(Scénario!D$40/100)&lt;Constantes!$I$161,_xlfn.FORECAST.LINEAR(D54/(Scénario!D$40/100),Constantes!$I$164:$I$165,Constantes!$I$160:$I$161),Constantes!$I$165))))</f>
        <v>3</v>
      </c>
      <c r="L54" s="153">
        <f ca="1">IF(E54/(Scénario!E$40/100)&lt;=Constantes!$I$158,Constantes!$I$162,IF(E54/(Scénario!E$40/100)&lt;Constantes!$I$159,_xlfn.FORECAST.LINEAR(E54/(Scénario!E$40/100),Constantes!$I$162:$I$163,Constantes!$I$158:$I$159),IF(E54/(Scénario!E$40/100)&lt;Constantes!$I$160,_xlfn.FORECAST.LINEAR(E54/(Scénario!E$40/100),Constantes!$I$163:$I$164,Constantes!$I$159:$I$160),IF(E54/(Scénario!E$40/100)&lt;Constantes!$I$161,_xlfn.FORECAST.LINEAR(E54/(Scénario!E$40/100),Constantes!$I$164:$I$165,Constantes!$I$160:$I$161),Constantes!$I$165))))</f>
        <v>3.0266666666666668</v>
      </c>
      <c r="M54" s="153">
        <f ca="1">IF(F54/(Scénario!F$40/100)&lt;=Constantes!$I$158,Constantes!$I$162,IF(F54/(Scénario!F$40/100)&lt;Constantes!$I$159,_xlfn.FORECAST.LINEAR(F54/(Scénario!F$40/100),Constantes!$I$162:$I$163,Constantes!$I$158:$I$159),IF(F54/(Scénario!F$40/100)&lt;Constantes!$I$160,_xlfn.FORECAST.LINEAR(F54/(Scénario!F$40/100),Constantes!$I$163:$I$164,Constantes!$I$159:$I$160),IF(F54/(Scénario!F$40/100)&lt;Constantes!$I$161,_xlfn.FORECAST.LINEAR(F54/(Scénario!F$40/100),Constantes!$I$164:$I$165,Constantes!$I$160:$I$161),Constantes!$I$165))))</f>
        <v>3.3644444444444446</v>
      </c>
      <c r="N54" s="153">
        <f ca="1">IF(G54/(Scénario!G$40/100)&lt;=Constantes!$I$158,Constantes!$I$162,IF(G54/(Scénario!G$40/100)&lt;Constantes!$I$159,_xlfn.FORECAST.LINEAR(G54/(Scénario!G$40/100),Constantes!$I$162:$I$163,Constantes!$I$158:$I$159),IF(G54/(Scénario!G$40/100)&lt;Constantes!$I$160,_xlfn.FORECAST.LINEAR(G54/(Scénario!G$40/100),Constantes!$I$163:$I$164,Constantes!$I$159:$I$160),IF(G54/(Scénario!G$40/100)&lt;Constantes!$I$161,_xlfn.FORECAST.LINEAR(G54/(Scénario!G$40/100),Constantes!$I$164:$I$165,Constantes!$I$160:$I$161),Constantes!$I$165))))</f>
        <v>2.38</v>
      </c>
      <c r="O54" s="1" t="str">
        <f>CONCATENATE("/ ",Constantes!$C$118)</f>
        <v>/ 5</v>
      </c>
    </row>
    <row r="55" spans="1:15" ht="24" customHeight="1" x14ac:dyDescent="0.3">
      <c r="B55" s="1" t="s">
        <v>296</v>
      </c>
      <c r="C55" s="105">
        <f ca="1">SUM(Calcul!F280:F282)</f>
        <v>49</v>
      </c>
      <c r="D55" s="105">
        <f ca="1">SUM(Calcul!Q280:Q282)</f>
        <v>72</v>
      </c>
      <c r="E55" s="105">
        <f ca="1">SUM(Calcul!AB280:AB282)</f>
        <v>53</v>
      </c>
      <c r="F55" s="105">
        <f ca="1">SUM(Calcul!AM280:AM282)</f>
        <v>40</v>
      </c>
      <c r="G55" s="105">
        <f ca="1">SUM(Calcul!AX280:AX282)</f>
        <v>38</v>
      </c>
      <c r="J55" s="153">
        <f ca="1">IF(C55/(Scénario!C$40/100)&lt;=Constantes!$J$158,Constantes!$J$162,IF(C55/(Scénario!C$40/100)&lt;Constantes!$J$159,_xlfn.FORECAST.LINEAR(C55/(Scénario!C$40/100),Constantes!$J$162:$J$163,Constantes!$J$158:$J$159),IF(C55/(Scénario!C$40/100)&lt;Constantes!$J$160,_xlfn.FORECAST.LINEAR(C55/(Scénario!C$40/100),Constantes!$J$163:$J$164,Constantes!$J$159:$J$160),IF(C55/(Scénario!C$40/100)&lt;Constantes!$J$161,_xlfn.FORECAST.LINEAR(C55/(Scénario!C$40/100),Constantes!$J$164:$J$165,Constantes!$J$160:$J$161),Constantes!$J$165))))</f>
        <v>2.4500000000000002</v>
      </c>
      <c r="K55" s="153">
        <f ca="1">IF(D55/(Scénario!D$40/100)&lt;=Constantes!$J$158,Constantes!$J$162,IF(D55/(Scénario!D$40/100)&lt;Constantes!$J$159,_xlfn.FORECAST.LINEAR(D55/(Scénario!D$40/100),Constantes!$J$162:$J$163,Constantes!$J$158:$J$159),IF(D55/(Scénario!D$40/100)&lt;Constantes!$J$160,_xlfn.FORECAST.LINEAR(D55/(Scénario!D$40/100),Constantes!$J$163:$J$164,Constantes!$J$159:$J$160),IF(D55/(Scénario!D$40/100)&lt;Constantes!$J$161,_xlfn.FORECAST.LINEAR(D55/(Scénario!D$40/100),Constantes!$J$164:$J$165,Constantes!$J$160:$J$161),Constantes!$J$165))))</f>
        <v>3.6</v>
      </c>
      <c r="L55" s="153">
        <f ca="1">IF(E55/(Scénario!E$40/100)&lt;=Constantes!$J$158,Constantes!$J$162,IF(E55/(Scénario!E$40/100)&lt;Constantes!$J$159,_xlfn.FORECAST.LINEAR(E55/(Scénario!E$40/100),Constantes!$J$162:$J$163,Constantes!$J$158:$J$159),IF(E55/(Scénario!E$40/100)&lt;Constantes!$J$160,_xlfn.FORECAST.LINEAR(E55/(Scénario!E$40/100),Constantes!$J$163:$J$164,Constantes!$J$159:$J$160),IF(E55/(Scénario!E$40/100)&lt;Constantes!$J$161,_xlfn.FORECAST.LINEAR(E55/(Scénario!E$40/100),Constantes!$J$164:$J$165,Constantes!$J$160:$J$161),Constantes!$J$165))))</f>
        <v>2.6500000000000004</v>
      </c>
      <c r="M55" s="153">
        <f ca="1">IF(F55/(Scénario!F$40/100)&lt;=Constantes!$J$158,Constantes!$J$162,IF(F55/(Scénario!F$40/100)&lt;Constantes!$J$159,_xlfn.FORECAST.LINEAR(F55/(Scénario!F$40/100),Constantes!$J$162:$J$163,Constantes!$J$158:$J$159),IF(F55/(Scénario!F$40/100)&lt;Constantes!$J$160,_xlfn.FORECAST.LINEAR(F55/(Scénario!F$40/100),Constantes!$J$163:$J$164,Constantes!$J$159:$J$160),IF(F55/(Scénario!F$40/100)&lt;Constantes!$J$161,_xlfn.FORECAST.LINEAR(F55/(Scénario!F$40/100),Constantes!$J$164:$J$165,Constantes!$J$160:$J$161),Constantes!$J$165))))</f>
        <v>2.666666666666667</v>
      </c>
      <c r="N55" s="153">
        <f ca="1">IF(G55/(Scénario!G$40/100)&lt;=Constantes!$J$158,Constantes!$J$162,IF(G55/(Scénario!G$40/100)&lt;Constantes!$J$159,_xlfn.FORECAST.LINEAR(G55/(Scénario!G$40/100),Constantes!$J$162:$J$163,Constantes!$J$158:$J$159),IF(G55/(Scénario!G$40/100)&lt;Constantes!$J$160,_xlfn.FORECAST.LINEAR(G55/(Scénario!G$40/100),Constantes!$J$163:$J$164,Constantes!$J$159:$J$160),IF(G55/(Scénario!G$40/100)&lt;Constantes!$J$161,_xlfn.FORECAST.LINEAR(G55/(Scénario!G$40/100),Constantes!$J$164:$J$165,Constantes!$J$160:$J$161),Constantes!$J$165))))</f>
        <v>1.8000000000000003</v>
      </c>
      <c r="O55" s="1" t="str">
        <f>CONCATENATE("/ ",Constantes!$C$119)</f>
        <v>/ 5</v>
      </c>
    </row>
    <row r="56" spans="1:15" ht="24" customHeight="1" x14ac:dyDescent="0.3">
      <c r="A56" s="1" t="s">
        <v>9</v>
      </c>
      <c r="B56" s="1" t="s">
        <v>160</v>
      </c>
      <c r="C56" s="219">
        <f ca="1">SUM(Calcul!F337:F338)</f>
        <v>28474.100000000002</v>
      </c>
      <c r="D56" s="219">
        <f ca="1">SUM(Calcul!Q337:Q338)</f>
        <v>30672.155983237622</v>
      </c>
      <c r="E56" s="219">
        <f ca="1">SUM(Calcul!AB337:AB338)</f>
        <v>33715.519935059267</v>
      </c>
      <c r="F56" s="219">
        <f ca="1">SUM(Calcul!AM337:AM338)</f>
        <v>37837.792267561439</v>
      </c>
      <c r="G56" s="219">
        <f ca="1">SUM(Calcul!AX337:AX338)</f>
        <v>43143.76150731089</v>
      </c>
      <c r="J56" s="153">
        <f ca="1">IF(C56&lt;=Constantes!$K$158,Constantes!$K$162,IF(C56&lt;Constantes!$K$159,_xlfn.FORECAST.LINEAR(C56,Constantes!$K$162:$K$163,Constantes!$K$158:$K$159),IF(C56&lt;Constantes!$K$160,_xlfn.FORECAST.LINEAR(C56,Constantes!$K$163:$K$164,Constantes!$K$159:$K$160),IF(C56&lt;Constantes!$K$161,_xlfn.FORECAST.LINEAR(C56,Constantes!$K$164:$K$165,Constantes!$K$160:$K$161),Constantes!$K$165))))</f>
        <v>1.6948200000000009</v>
      </c>
      <c r="K56" s="153">
        <f ca="1">IF(D56&lt;=Constantes!$K$158,Constantes!$K$162,IF(D56&lt;Constantes!$K$159,_xlfn.FORECAST.LINEAR(D56,Constantes!$K$162:$K$163,Constantes!$K$158:$K$159),IF(D56&lt;Constantes!$K$160,_xlfn.FORECAST.LINEAR(D56,Constantes!$K$163:$K$164,Constantes!$K$159:$K$160),IF(D56&lt;Constantes!$K$161,_xlfn.FORECAST.LINEAR(D56,Constantes!$K$164:$K$165,Constantes!$K$160:$K$161),Constantes!$K$165))))</f>
        <v>2.1344311966475251</v>
      </c>
      <c r="L56" s="153">
        <f ca="1">IF(E56&lt;=Constantes!$K$158,Constantes!$K$162,IF(E56&lt;Constantes!$K$159,_xlfn.FORECAST.LINEAR(E56,Constantes!$K$162:$K$163,Constantes!$K$158:$K$159),IF(E56&lt;Constantes!$K$160,_xlfn.FORECAST.LINEAR(E56,Constantes!$K$163:$K$164,Constantes!$K$159:$K$160),IF(E56&lt;Constantes!$K$161,_xlfn.FORECAST.LINEAR(E56,Constantes!$K$164:$K$165,Constantes!$K$160:$K$161),Constantes!$K$165))))</f>
        <v>2.7431039870118532</v>
      </c>
      <c r="M56" s="153">
        <f ca="1">IF(F56&lt;=Constantes!$K$158,Constantes!$K$162,IF(F56&lt;Constantes!$K$159,_xlfn.FORECAST.LINEAR(F56,Constantes!$K$162:$K$163,Constantes!$K$158:$K$159),IF(F56&lt;Constantes!$K$160,_xlfn.FORECAST.LINEAR(F56,Constantes!$K$163:$K$164,Constantes!$K$159:$K$160),IF(F56&lt;Constantes!$K$161,_xlfn.FORECAST.LINEAR(F56,Constantes!$K$164:$K$165,Constantes!$K$160:$K$161),Constantes!$K$165))))</f>
        <v>3.7567446046830497</v>
      </c>
      <c r="N56" s="153">
        <f ca="1">IF(G56&lt;=Constantes!$K$158,Constantes!$K$162,IF(G56&lt;Constantes!$K$159,_xlfn.FORECAST.LINEAR(G56,Constantes!$K$162:$K$163,Constantes!$K$158:$K$159),IF(G56&lt;Constantes!$K$160,_xlfn.FORECAST.LINEAR(G56,Constantes!$K$163:$K$164,Constantes!$K$159:$K$160),IF(G56&lt;Constantes!$K$161,_xlfn.FORECAST.LINEAR(G56,Constantes!$K$164:$K$165,Constantes!$K$160:$K$161),Constantes!$K$165))))</f>
        <v>5.1716697352829044</v>
      </c>
      <c r="O56" s="1" t="str">
        <f>CONCATENATE("/ ",Constantes!$C$117)</f>
        <v>/ 10</v>
      </c>
    </row>
    <row r="57" spans="1:15" ht="24" customHeight="1" x14ac:dyDescent="0.3">
      <c r="B57" s="1" t="s">
        <v>199</v>
      </c>
      <c r="C57" s="105">
        <f ca="1">SUM(Calcul!F195:F196)</f>
        <v>66</v>
      </c>
      <c r="D57" s="105">
        <f ca="1">SUM(Calcul!Q195:Q196)</f>
        <v>66</v>
      </c>
      <c r="E57" s="105">
        <f ca="1">SUM(Calcul!AB195:AB196)</f>
        <v>79</v>
      </c>
      <c r="F57" s="105">
        <f ca="1">SUM(Calcul!AM195:AM196)</f>
        <v>65</v>
      </c>
      <c r="G57" s="105">
        <f ca="1">SUM(Calcul!AX195:AX196)</f>
        <v>115</v>
      </c>
      <c r="J57" s="153">
        <f ca="1">IF(C57/(Scénario!C$40/100)&lt;=Constantes!$L$158,Constantes!$L$162,IF(C57/(Scénario!C$40/100)&lt;Constantes!$L$159,_xlfn.FORECAST.LINEAR(C57/(Scénario!C$40/100),Constantes!$L$162:$L$163,Constantes!$L$158:$L$159),IF(C57/(Scénario!C$40/100)&lt;Constantes!$L$160,_xlfn.FORECAST.LINEAR(C57/(Scénario!C$40/100),Constantes!$L$163:$L$164,Constantes!$L$159:$L$160),IF(C57/(Scénario!C$40/100)&lt;Constantes!$L$161,_xlfn.FORECAST.LINEAR(C57/(Scénario!C$40/100),Constantes!$L$164:$L$165,Constantes!$L$160:$L$161),Constantes!$L$165))))</f>
        <v>2.5333333333333337</v>
      </c>
      <c r="K57" s="153">
        <f ca="1">IF(D57/(Scénario!D$40/100)&lt;=Constantes!$L$158,Constantes!$L$162,IF(D57/(Scénario!D$40/100)&lt;Constantes!$L$159,_xlfn.FORECAST.LINEAR(D57/(Scénario!D$40/100),Constantes!$L$162:$L$163,Constantes!$L$158:$L$159),IF(D57/(Scénario!D$40/100)&lt;Constantes!$L$160,_xlfn.FORECAST.LINEAR(D57/(Scénario!D$40/100),Constantes!$L$163:$L$164,Constantes!$L$159:$L$160),IF(D57/(Scénario!D$40/100)&lt;Constantes!$L$161,_xlfn.FORECAST.LINEAR(D57/(Scénario!D$40/100),Constantes!$L$164:$L$165,Constantes!$L$160:$L$161),Constantes!$L$165))))</f>
        <v>2.5333333333333337</v>
      </c>
      <c r="L57" s="153">
        <f ca="1">IF(E57/(Scénario!E$40/100)&lt;=Constantes!$L$158,Constantes!$L$162,IF(E57/(Scénario!E$40/100)&lt;Constantes!$L$159,_xlfn.FORECAST.LINEAR(E57/(Scénario!E$40/100),Constantes!$L$162:$L$163,Constantes!$L$158:$L$159),IF(E57/(Scénario!E$40/100)&lt;Constantes!$L$160,_xlfn.FORECAST.LINEAR(E57/(Scénario!E$40/100),Constantes!$L$163:$L$164,Constantes!$L$159:$L$160),IF(E57/(Scénario!E$40/100)&lt;Constantes!$L$161,_xlfn.FORECAST.LINEAR(E57/(Scénario!E$40/100),Constantes!$L$164:$L$165,Constantes!$L$160:$L$161),Constantes!$L$165))))</f>
        <v>2.9666666666666668</v>
      </c>
      <c r="M57" s="153">
        <f ca="1">IF(F57/(Scénario!F$40/100)&lt;=Constantes!$L$158,Constantes!$L$162,IF(F57/(Scénario!F$40/100)&lt;Constantes!$L$159,_xlfn.FORECAST.LINEAR(F57/(Scénario!F$40/100),Constantes!$L$162:$L$163,Constantes!$L$158:$L$159),IF(F57/(Scénario!F$40/100)&lt;Constantes!$L$160,_xlfn.FORECAST.LINEAR(F57/(Scénario!F$40/100),Constantes!$L$163:$L$164,Constantes!$L$159:$L$160),IF(F57/(Scénario!F$40/100)&lt;Constantes!$L$161,_xlfn.FORECAST.LINEAR(F57/(Scénario!F$40/100),Constantes!$L$164:$L$165,Constantes!$L$160:$L$161),Constantes!$L$165))))</f>
        <v>3.3333333333333339</v>
      </c>
      <c r="N57" s="153">
        <f ca="1">IF(G57/(Scénario!G$40/100)&lt;=Constantes!$L$158,Constantes!$L$162,IF(G57/(Scénario!G$40/100)&lt;Constantes!$L$159,_xlfn.FORECAST.LINEAR(G57/(Scénario!G$40/100),Constantes!$L$162:$L$163,Constantes!$L$158:$L$159),IF(G57/(Scénario!G$40/100)&lt;Constantes!$L$160,_xlfn.FORECAST.LINEAR(G57/(Scénario!G$40/100),Constantes!$L$163:$L$164,Constantes!$L$159:$L$160),IF(G57/(Scénario!G$40/100)&lt;Constantes!$L$161,_xlfn.FORECAST.LINEAR(G57/(Scénario!G$40/100),Constantes!$L$164:$L$165,Constantes!$L$160:$L$161),Constantes!$L$165))))</f>
        <v>4.75</v>
      </c>
      <c r="O57" s="1" t="str">
        <f>CONCATENATE("/ ",Constantes!$C$118)</f>
        <v>/ 5</v>
      </c>
    </row>
    <row r="58" spans="1:15" ht="24" customHeight="1" x14ac:dyDescent="0.3">
      <c r="B58" s="1" t="s">
        <v>296</v>
      </c>
      <c r="C58" s="105">
        <f ca="1">SUM(Calcul!F283:F284)</f>
        <v>38</v>
      </c>
      <c r="D58" s="105">
        <f ca="1">SUM(Calcul!Q283:Q284)</f>
        <v>48</v>
      </c>
      <c r="E58" s="105">
        <f ca="1">SUM(Calcul!AB283:AB284)</f>
        <v>41</v>
      </c>
      <c r="F58" s="105">
        <f ca="1">SUM(Calcul!AM283:AM284)</f>
        <v>29</v>
      </c>
      <c r="G58" s="105">
        <f ca="1">SUM(Calcul!AX283:AX284)</f>
        <v>55</v>
      </c>
      <c r="J58" s="153">
        <f ca="1">IF(C58/(Scénario!C$40/100)&lt;=Constantes!$M$158,Constantes!$M$162,IF(C58/(Scénario!C$40/100)&lt;Constantes!$M$159,_xlfn.FORECAST.LINEAR(C58/(Scénario!C$40/100),Constantes!$M$162:$M$163,Constantes!$M$158:$M$159),IF(C58/(Scénario!C$40/100)&lt;Constantes!$M$160,_xlfn.FORECAST.LINEAR(C58/(Scénario!C$40/100),Constantes!$M$163:$M$164,Constantes!$M$159:$M$160),IF(C58/(Scénario!C$40/100)&lt;Constantes!$M$161,_xlfn.FORECAST.LINEAR(C58/(Scénario!C$40/100),Constantes!$M$164:$M$165,Constantes!$M$160:$M$161),Constantes!$M$165))))</f>
        <v>2.5333333333333332</v>
      </c>
      <c r="K58" s="153">
        <f ca="1">IF(D58/(Scénario!D$40/100)&lt;=Constantes!$M$158,Constantes!$M$162,IF(D58/(Scénario!D$40/100)&lt;Constantes!$M$159,_xlfn.FORECAST.LINEAR(D58/(Scénario!D$40/100),Constantes!$M$162:$M$163,Constantes!$M$158:$M$159),IF(D58/(Scénario!D$40/100)&lt;Constantes!$M$160,_xlfn.FORECAST.LINEAR(D58/(Scénario!D$40/100),Constantes!$M$163:$M$164,Constantes!$M$159:$M$160),IF(D58/(Scénario!D$40/100)&lt;Constantes!$M$161,_xlfn.FORECAST.LINEAR(D58/(Scénario!D$40/100),Constantes!$M$164:$M$165,Constantes!$M$160:$M$161),Constantes!$M$165))))</f>
        <v>3.4000000000000004</v>
      </c>
      <c r="L58" s="153">
        <f ca="1">IF(E58/(Scénario!E$40/100)&lt;=Constantes!$M$158,Constantes!$M$162,IF(E58/(Scénario!E$40/100)&lt;Constantes!$M$159,_xlfn.FORECAST.LINEAR(E58/(Scénario!E$40/100),Constantes!$M$162:$M$163,Constantes!$M$158:$M$159),IF(E58/(Scénario!E$40/100)&lt;Constantes!$M$160,_xlfn.FORECAST.LINEAR(E58/(Scénario!E$40/100),Constantes!$M$163:$M$164,Constantes!$M$159:$M$160),IF(E58/(Scénario!E$40/100)&lt;Constantes!$M$161,_xlfn.FORECAST.LINEAR(E58/(Scénario!E$40/100),Constantes!$M$164:$M$165,Constantes!$M$160:$M$161),Constantes!$M$165))))</f>
        <v>2.7333333333333334</v>
      </c>
      <c r="M58" s="153">
        <f ca="1">IF(F58/(Scénario!F$40/100)&lt;=Constantes!$M$158,Constantes!$M$162,IF(F58/(Scénario!F$40/100)&lt;Constantes!$M$159,_xlfn.FORECAST.LINEAR(F58/(Scénario!F$40/100),Constantes!$M$162:$M$163,Constantes!$M$158:$M$159),IF(F58/(Scénario!F$40/100)&lt;Constantes!$M$160,_xlfn.FORECAST.LINEAR(F58/(Scénario!F$40/100),Constantes!$M$163:$M$164,Constantes!$M$159:$M$160),IF(F58/(Scénario!F$40/100)&lt;Constantes!$M$161,_xlfn.FORECAST.LINEAR(F58/(Scénario!F$40/100),Constantes!$M$164:$M$165,Constantes!$M$160:$M$161),Constantes!$M$165))))</f>
        <v>2.5777777777777775</v>
      </c>
      <c r="N58" s="153">
        <f ca="1">IF(G58/(Scénario!G$40/100)&lt;=Constantes!$M$158,Constantes!$M$162,IF(G58/(Scénario!G$40/100)&lt;Constantes!$M$159,_xlfn.FORECAST.LINEAR(G58/(Scénario!G$40/100),Constantes!$M$162:$M$163,Constantes!$M$158:$M$159),IF(G58/(Scénario!G$40/100)&lt;Constantes!$M$160,_xlfn.FORECAST.LINEAR(G58/(Scénario!G$40/100),Constantes!$M$163:$M$164,Constantes!$M$159:$M$160),IF(G58/(Scénario!G$40/100)&lt;Constantes!$M$161,_xlfn.FORECAST.LINEAR(G58/(Scénario!G$40/100),Constantes!$M$164:$M$165,Constantes!$M$160:$M$161),Constantes!$M$165))))</f>
        <v>4.333333333333333</v>
      </c>
      <c r="O58" s="1" t="str">
        <f>CONCATENATE("/ ",Constantes!$C$119)</f>
        <v>/ 5</v>
      </c>
    </row>
    <row r="59" spans="1:15" ht="24" customHeight="1" x14ac:dyDescent="0.3">
      <c r="A59" s="1" t="s">
        <v>11</v>
      </c>
      <c r="B59" s="1" t="s">
        <v>160</v>
      </c>
      <c r="C59" s="219">
        <f ca="1">SUM(Calcul!F339:F341)</f>
        <v>54996.6</v>
      </c>
      <c r="D59" s="219">
        <f ca="1">SUM(Calcul!Q339:Q341)</f>
        <v>59531.605958500048</v>
      </c>
      <c r="E59" s="219">
        <f ca="1">SUM(Calcul!AB339:AB341)</f>
        <v>63110.471875672476</v>
      </c>
      <c r="F59" s="219">
        <f ca="1">SUM(Calcul!AM339:AM341)</f>
        <v>71648.377983603743</v>
      </c>
      <c r="G59" s="219">
        <f ca="1">SUM(Calcul!AX339:AX341)</f>
        <v>76719.478991997079</v>
      </c>
      <c r="J59" s="153">
        <f ca="1">IF(C59&lt;=Constantes!$N$158,Constantes!$N$162,IF(C59&lt;Constantes!$N$159,_xlfn.FORECAST.LINEAR(C59,Constantes!$N$162:$N$163,Constantes!$N$158:$N$159),IF(C59&lt;Constantes!$N$160,_xlfn.FORECAST.LINEAR(C59,Constantes!$N$163:$N$164,Constantes!$N$159:$N$160),IF(C59&lt;Constantes!$N$161,_xlfn.FORECAST.LINEAR(C59,Constantes!$N$164:$N$165,Constantes!$N$160:$N$161),Constantes!$N$165))))</f>
        <v>2.2494900000000007</v>
      </c>
      <c r="K59" s="153">
        <f ca="1">IF(D59&lt;=Constantes!$N$158,Constantes!$N$162,IF(D59&lt;Constantes!$N$159,_xlfn.FORECAST.LINEAR(D59,Constantes!$N$162:$N$163,Constantes!$N$158:$N$159),IF(D59&lt;Constantes!$N$160,_xlfn.FORECAST.LINEAR(D59,Constantes!$N$163:$N$164,Constantes!$N$159:$N$160),IF(D59&lt;Constantes!$N$161,_xlfn.FORECAST.LINEAR(D59,Constantes!$N$164:$N$165,Constantes!$N$160:$N$161),Constantes!$N$165))))</f>
        <v>2.9297408937750076</v>
      </c>
      <c r="L59" s="153">
        <f ca="1">IF(E59&lt;=Constantes!$N$158,Constantes!$N$162,IF(E59&lt;Constantes!$N$159,_xlfn.FORECAST.LINEAR(E59,Constantes!$N$162:$N$163,Constantes!$N$158:$N$159),IF(E59&lt;Constantes!$N$160,_xlfn.FORECAST.LINEAR(E59,Constantes!$N$163:$N$164,Constantes!$N$159:$N$160),IF(E59&lt;Constantes!$N$161,_xlfn.FORECAST.LINEAR(E59,Constantes!$N$164:$N$165,Constantes!$N$160:$N$161),Constantes!$N$165))))</f>
        <v>3.6220943751344965</v>
      </c>
      <c r="M59" s="153">
        <f ca="1">IF(F59&lt;=Constantes!$N$158,Constantes!$N$162,IF(F59&lt;Constantes!$N$159,_xlfn.FORECAST.LINEAR(F59,Constantes!$N$162:$N$163,Constantes!$N$158:$N$159),IF(F59&lt;Constantes!$N$160,_xlfn.FORECAST.LINEAR(F59,Constantes!$N$163:$N$164,Constantes!$N$159:$N$160),IF(F59&lt;Constantes!$N$161,_xlfn.FORECAST.LINEAR(F59,Constantes!$N$164:$N$165,Constantes!$N$160:$N$161),Constantes!$N$165))))</f>
        <v>5.3296755967207492</v>
      </c>
      <c r="N59" s="153">
        <f ca="1">IF(G59&lt;=Constantes!$N$158,Constantes!$N$162,IF(G59&lt;Constantes!$N$159,_xlfn.FORECAST.LINEAR(G59,Constantes!$N$162:$N$163,Constantes!$N$158:$N$159),IF(G59&lt;Constantes!$N$160,_xlfn.FORECAST.LINEAR(G59,Constantes!$N$163:$N$164,Constantes!$N$159:$N$160),IF(G59&lt;Constantes!$N$161,_xlfn.FORECAST.LINEAR(G59,Constantes!$N$164:$N$165,Constantes!$N$160:$N$161),Constantes!$N$165))))</f>
        <v>6.3438957983994158</v>
      </c>
      <c r="O59" s="1" t="str">
        <f>CONCATENATE("/ ",Constantes!$C$117)</f>
        <v>/ 10</v>
      </c>
    </row>
    <row r="60" spans="1:15" ht="24" customHeight="1" x14ac:dyDescent="0.3">
      <c r="B60" s="1" t="s">
        <v>199</v>
      </c>
      <c r="C60" s="105">
        <f ca="1">SUM(Calcul!F197:F199)</f>
        <v>196</v>
      </c>
      <c r="D60" s="105">
        <f ca="1">SUM(Calcul!Q197:Q199)</f>
        <v>249</v>
      </c>
      <c r="E60" s="105">
        <f ca="1">SUM(Calcul!AB197:AB199)</f>
        <v>185</v>
      </c>
      <c r="F60" s="105">
        <f ca="1">SUM(Calcul!AM197:AM199)</f>
        <v>155</v>
      </c>
      <c r="G60" s="105">
        <f ca="1">SUM(Calcul!AX197:AX199)</f>
        <v>184</v>
      </c>
      <c r="J60" s="153">
        <f ca="1">IF(C60/(Scénario!C$40/100)&lt;=Constantes!$O$158,Constantes!$O$162,IF(C60/(Scénario!C$40/100)&lt;Constantes!$O$159,_xlfn.FORECAST.LINEAR(C60/(Scénario!C$40/100),Constantes!$O$162:$O$163,Constantes!$O$158:$O$159),IF(C60/(Scénario!C$40/100)&lt;Constantes!$O$160,_xlfn.FORECAST.LINEAR(C60/(Scénario!C$40/100),Constantes!$O$163:$O$164,Constantes!$O$159:$O$160),IF(C60/(Scénario!C$40/100)&lt;Constantes!$O$161,_xlfn.FORECAST.LINEAR(C60/(Scénario!C$40/100),Constantes!$O$164:$O$165,Constantes!$O$160:$O$161),Constantes!$O$165))))</f>
        <v>1.92</v>
      </c>
      <c r="K60" s="153">
        <f ca="1">IF(D60/(Scénario!D$40/100)&lt;=Constantes!$O$158,Constantes!$O$162,IF(D60/(Scénario!D$40/100)&lt;Constantes!$O$159,_xlfn.FORECAST.LINEAR(D60/(Scénario!D$40/100),Constantes!$O$162:$O$163,Constantes!$O$158:$O$159),IF(D60/(Scénario!D$40/100)&lt;Constantes!$O$160,_xlfn.FORECAST.LINEAR(D60/(Scénario!D$40/100),Constantes!$O$163:$O$164,Constantes!$O$159:$O$160),IF(D60/(Scénario!D$40/100)&lt;Constantes!$O$161,_xlfn.FORECAST.LINEAR(D60/(Scénario!D$40/100),Constantes!$O$164:$O$165,Constantes!$O$160:$O$161),Constantes!$O$165))))</f>
        <v>2.4900000000000002</v>
      </c>
      <c r="L60" s="153">
        <f ca="1">IF(E60/(Scénario!E$40/100)&lt;=Constantes!$O$158,Constantes!$O$162,IF(E60/(Scénario!E$40/100)&lt;Constantes!$O$159,_xlfn.FORECAST.LINEAR(E60/(Scénario!E$40/100),Constantes!$O$162:$O$163,Constantes!$O$158:$O$159),IF(E60/(Scénario!E$40/100)&lt;Constantes!$O$160,_xlfn.FORECAST.LINEAR(E60/(Scénario!E$40/100),Constantes!$O$163:$O$164,Constantes!$O$159:$O$160),IF(E60/(Scénario!E$40/100)&lt;Constantes!$O$161,_xlfn.FORECAST.LINEAR(E60/(Scénario!E$40/100),Constantes!$O$164:$O$165,Constantes!$O$160:$O$161),Constantes!$O$165))))</f>
        <v>1.7000000000000002</v>
      </c>
      <c r="M60" s="153">
        <f ca="1">IF(F60/(Scénario!F$40/100)&lt;=Constantes!$O$158,Constantes!$O$162,IF(F60/(Scénario!F$40/100)&lt;Constantes!$O$159,_xlfn.FORECAST.LINEAR(F60/(Scénario!F$40/100),Constantes!$O$162:$O$163,Constantes!$O$158:$O$159),IF(F60/(Scénario!F$40/100)&lt;Constantes!$O$160,_xlfn.FORECAST.LINEAR(F60/(Scénario!F$40/100),Constantes!$O$163:$O$164,Constantes!$O$159:$O$160),IF(F60/(Scénario!F$40/100)&lt;Constantes!$O$161,_xlfn.FORECAST.LINEAR(F60/(Scénario!F$40/100),Constantes!$O$164:$O$165,Constantes!$O$160:$O$161),Constantes!$O$165))))</f>
        <v>2.0666666666666664</v>
      </c>
      <c r="N60" s="153">
        <f ca="1">IF(G60/(Scénario!G$40/100)&lt;=Constantes!$O$158,Constantes!$O$162,IF(G60/(Scénario!G$40/100)&lt;Constantes!$O$159,_xlfn.FORECAST.LINEAR(G60/(Scénario!G$40/100),Constantes!$O$162:$O$163,Constantes!$O$158:$O$159),IF(G60/(Scénario!G$40/100)&lt;Constantes!$O$160,_xlfn.FORECAST.LINEAR(G60/(Scénario!G$40/100),Constantes!$O$163:$O$164,Constantes!$O$159:$O$160),IF(G60/(Scénario!G$40/100)&lt;Constantes!$O$161,_xlfn.FORECAST.LINEAR(G60/(Scénario!G$40/100),Constantes!$O$164:$O$165,Constantes!$O$160:$O$161),Constantes!$O$165))))</f>
        <v>1.6800000000000002</v>
      </c>
      <c r="O60" s="1" t="str">
        <f>CONCATENATE("/ ",Constantes!$C$118)</f>
        <v>/ 5</v>
      </c>
    </row>
    <row r="61" spans="1:15" ht="24" customHeight="1" x14ac:dyDescent="0.3">
      <c r="B61" s="1" t="s">
        <v>296</v>
      </c>
      <c r="C61" s="105">
        <f ca="1">SUM(Calcul!F285:F287)</f>
        <v>150</v>
      </c>
      <c r="D61" s="105">
        <f ca="1">SUM(Calcul!Q285:Q287)</f>
        <v>221</v>
      </c>
      <c r="E61" s="105">
        <f ca="1">SUM(Calcul!AB285:AB287)</f>
        <v>120</v>
      </c>
      <c r="F61" s="105">
        <f ca="1">SUM(Calcul!AM285:AM287)</f>
        <v>93</v>
      </c>
      <c r="G61" s="105">
        <f ca="1">SUM(Calcul!AX285:AX287)</f>
        <v>126</v>
      </c>
      <c r="J61" s="153">
        <f ca="1">IF(C61/(Scénario!C$40/100)&lt;=Constantes!$P$158,Constantes!$P$162,IF(C61/(Scénario!C$40/100)&lt;Constantes!$P$159,_xlfn.FORECAST.LINEAR(C61/(Scénario!C$40/100),Constantes!$P$162:$P$163,Constantes!$P$158:$P$159),IF(C61/(Scénario!C$40/100)&lt;Constantes!$P$160,_xlfn.FORECAST.LINEAR(C61/(Scénario!C$40/100),Constantes!$P$163:$P$164,Constantes!$P$159:$P$160),IF(C61/(Scénario!C$40/100)&lt;Constantes!$P$161,_xlfn.FORECAST.LINEAR(C61/(Scénario!C$40/100),Constantes!$P$164:$P$165,Constantes!$P$160:$P$161),Constantes!$P$165))))</f>
        <v>1</v>
      </c>
      <c r="K61" s="153">
        <f ca="1">IF(D61/(Scénario!D$40/100)&lt;=Constantes!$P$158,Constantes!$P$162,IF(D61/(Scénario!D$40/100)&lt;Constantes!$P$159,_xlfn.FORECAST.LINEAR(D61/(Scénario!D$40/100),Constantes!$P$162:$P$163,Constantes!$P$158:$P$159),IF(D61/(Scénario!D$40/100)&lt;Constantes!$P$160,_xlfn.FORECAST.LINEAR(D61/(Scénario!D$40/100),Constantes!$P$163:$P$164,Constantes!$P$159:$P$160),IF(D61/(Scénario!D$40/100)&lt;Constantes!$P$161,_xlfn.FORECAST.LINEAR(D61/(Scénario!D$40/100),Constantes!$P$164:$P$165,Constantes!$P$160:$P$161),Constantes!$P$165))))</f>
        <v>2.21</v>
      </c>
      <c r="L61" s="153">
        <f ca="1">IF(E61/(Scénario!E$40/100)&lt;=Constantes!$P$158,Constantes!$P$162,IF(E61/(Scénario!E$40/100)&lt;Constantes!$P$159,_xlfn.FORECAST.LINEAR(E61/(Scénario!E$40/100),Constantes!$P$162:$P$163,Constantes!$P$158:$P$159),IF(E61/(Scénario!E$40/100)&lt;Constantes!$P$160,_xlfn.FORECAST.LINEAR(E61/(Scénario!E$40/100),Constantes!$P$163:$P$164,Constantes!$P$159:$P$160),IF(E61/(Scénario!E$40/100)&lt;Constantes!$P$161,_xlfn.FORECAST.LINEAR(E61/(Scénario!E$40/100),Constantes!$P$164:$P$165,Constantes!$P$160:$P$161),Constantes!$P$165))))</f>
        <v>0.39999999999999991</v>
      </c>
      <c r="M61" s="153">
        <f ca="1">IF(F61/(Scénario!F$40/100)&lt;=Constantes!$P$158,Constantes!$P$162,IF(F61/(Scénario!F$40/100)&lt;Constantes!$P$159,_xlfn.FORECAST.LINEAR(F61/(Scénario!F$40/100),Constantes!$P$162:$P$163,Constantes!$P$158:$P$159),IF(F61/(Scénario!F$40/100)&lt;Constantes!$P$160,_xlfn.FORECAST.LINEAR(F61/(Scénario!F$40/100),Constantes!$P$163:$P$164,Constantes!$P$159:$P$160),IF(F61/(Scénario!F$40/100)&lt;Constantes!$P$161,_xlfn.FORECAST.LINEAR(F61/(Scénario!F$40/100),Constantes!$P$164:$P$165,Constantes!$P$160:$P$161),Constantes!$P$165))))</f>
        <v>0.48</v>
      </c>
      <c r="N61" s="153">
        <f ca="1">IF(G61/(Scénario!G$40/100)&lt;=Constantes!$P$158,Constantes!$P$162,IF(G61/(Scénario!G$40/100)&lt;Constantes!$P$159,_xlfn.FORECAST.LINEAR(G61/(Scénario!G$40/100),Constantes!$P$162:$P$163,Constantes!$P$158:$P$159),IF(G61/(Scénario!G$40/100)&lt;Constantes!$P$160,_xlfn.FORECAST.LINEAR(G61/(Scénario!G$40/100),Constantes!$P$163:$P$164,Constantes!$P$159:$P$160),IF(G61/(Scénario!G$40/100)&lt;Constantes!$P$161,_xlfn.FORECAST.LINEAR(G61/(Scénario!G$40/100),Constantes!$P$164:$P$165,Constantes!$P$160:$P$161),Constantes!$P$165))))</f>
        <v>0.52</v>
      </c>
      <c r="O61" s="1" t="str">
        <f>CONCATENATE("/ ",Constantes!$C$119)</f>
        <v>/ 5</v>
      </c>
    </row>
    <row r="62" spans="1:15" ht="24" customHeight="1" x14ac:dyDescent="0.3">
      <c r="J62" s="130"/>
      <c r="K62" s="130"/>
    </row>
    <row r="63" spans="1:15" ht="24" customHeight="1" x14ac:dyDescent="0.3">
      <c r="B63" s="1" t="s">
        <v>161</v>
      </c>
      <c r="C63" s="105">
        <f ca="1">C15</f>
        <v>93.085762610773244</v>
      </c>
      <c r="D63" s="105">
        <f ca="1">D15</f>
        <v>89.864762739668279</v>
      </c>
      <c r="E63" s="105">
        <f ca="1">E15</f>
        <v>96.896429594089568</v>
      </c>
      <c r="F63" s="105">
        <f ca="1">F15</f>
        <v>108.9114297870596</v>
      </c>
      <c r="G63" s="105">
        <f ca="1">G15</f>
        <v>124.37642992936568</v>
      </c>
      <c r="J63" s="220">
        <f ca="1">IF(C63&lt;=Constantes!$C$158,Constantes!$C$162,IF(C63&lt;Constantes!$C$159,_xlfn.FORECAST.LINEAR(C63,Constantes!$C$162:$C$163,Constantes!$C$158:$C$159),IF(C63&lt;Constantes!$C$160,_xlfn.FORECAST.LINEAR(C63,Constantes!$C$163:$C$164,Constantes!$C$159:$C$160),IF(C63&lt;Constantes!$C$161,_xlfn.FORECAST.LINEAR(C63,Constantes!$C$164:$C$165,Constantes!$C$160:$C$161),Constantes!$C$165))))</f>
        <v>6.5428813053866222</v>
      </c>
      <c r="K63" s="220">
        <f ca="1">IF(D63&lt;=Constantes!$C$158,Constantes!$C$162,IF(D63&lt;Constantes!$C$159,_xlfn.FORECAST.LINEAR(D63,Constantes!$C$162:$C$163,Constantes!$C$158:$C$159),IF(D63&lt;Constantes!$C$160,_xlfn.FORECAST.LINEAR(D63,Constantes!$C$163:$C$164,Constantes!$C$159:$C$160),IF(D63&lt;Constantes!$C$161,_xlfn.FORECAST.LINEAR(D63,Constantes!$C$164:$C$165,Constantes!$C$160:$C$161),Constantes!$C$165))))</f>
        <v>4.9661906849170698</v>
      </c>
      <c r="L63" s="220">
        <f ca="1">IF(E63&lt;=Constantes!$C$158,Constantes!$C$162,IF(E63&lt;Constantes!$C$159,_xlfn.FORECAST.LINEAR(E63,Constantes!$C$162:$C$163,Constantes!$C$158:$C$159),IF(E63&lt;Constantes!$C$160,_xlfn.FORECAST.LINEAR(E63,Constantes!$C$163:$C$164,Constantes!$C$159:$C$160),IF(E63&lt;Constantes!$C$161,_xlfn.FORECAST.LINEAR(E63,Constantes!$C$164:$C$165,Constantes!$C$160:$C$161),Constantes!$C$165))))</f>
        <v>8.4482147970447841</v>
      </c>
      <c r="M63" s="220">
        <f ca="1">IF(F63&lt;=Constantes!$C$158,Constantes!$C$162,IF(F63&lt;Constantes!$C$159,_xlfn.FORECAST.LINEAR(F63,Constantes!$C$162:$C$163,Constantes!$C$158:$C$159),IF(F63&lt;Constantes!$C$160,_xlfn.FORECAST.LINEAR(F63,Constantes!$C$163:$C$164,Constantes!$C$159:$C$160),IF(F63&lt;Constantes!$C$161,_xlfn.FORECAST.LINEAR(F63,Constantes!$C$164:$C$165,Constantes!$C$160:$C$161),Constantes!$C$165))))</f>
        <v>14.455714893529802</v>
      </c>
      <c r="N63" s="220">
        <f ca="1">IF(G63&lt;=Constantes!$C$158,Constantes!$C$162,IF(G63&lt;Constantes!$C$159,_xlfn.FORECAST.LINEAR(G63,Constantes!$C$162:$C$163,Constantes!$C$158:$C$159),IF(G63&lt;Constantes!$C$160,_xlfn.FORECAST.LINEAR(G63,Constantes!$C$163:$C$164,Constantes!$C$159:$C$160),IF(G63&lt;Constantes!$C$161,_xlfn.FORECAST.LINEAR(G63,Constantes!$C$164:$C$165,Constantes!$C$160:$C$161),Constantes!$C$165))))</f>
        <v>15</v>
      </c>
      <c r="O63" s="1" t="str">
        <f>CONCATENATE("/ ",Constantes!$C$120)</f>
        <v>/ 15</v>
      </c>
    </row>
    <row r="64" spans="1:15" ht="24" customHeight="1" x14ac:dyDescent="0.3">
      <c r="B64" s="1" t="s">
        <v>200</v>
      </c>
      <c r="C64" s="105">
        <f ca="1">C18</f>
        <v>27</v>
      </c>
      <c r="D64" s="105">
        <f ca="1">D18</f>
        <v>16</v>
      </c>
      <c r="E64" s="105">
        <f ca="1">E18</f>
        <v>8</v>
      </c>
      <c r="F64" s="105">
        <f ca="1">F18</f>
        <v>9</v>
      </c>
      <c r="G64" s="105">
        <f ca="1">G18</f>
        <v>6</v>
      </c>
      <c r="J64" s="220">
        <f ca="1">IF(C64&gt;=Constantes!$D$158,Constantes!$D$162,IF(C64&gt;Constantes!$D$159,_xlfn.FORECAST.LINEAR(C64,Constantes!$D$162:$D$163,Constantes!$D$158:$D$159),IF(C64&gt;Constantes!$D$160,_xlfn.FORECAST.LINEAR(C64,Constantes!$D$163:$D$164,Constantes!$D$159:$D$160),IF(C64&gt;Constantes!$D$161,_xlfn.FORECAST.LINEAR(C64,Constantes!$D$164:$D$165,Constantes!$D$160:$D$161),Constantes!$D$165))))</f>
        <v>0.75</v>
      </c>
      <c r="K64" s="220">
        <f ca="1">IF(D64&gt;=Constantes!$D$158,Constantes!$D$162,IF(D64&gt;Constantes!$D$159,_xlfn.FORECAST.LINEAR(D64,Constantes!$D$162:$D$163,Constantes!$D$158:$D$159),IF(D64&gt;Constantes!$D$160,_xlfn.FORECAST.LINEAR(D64,Constantes!$D$163:$D$164,Constantes!$D$159:$D$160),IF(D64&gt;Constantes!$D$161,_xlfn.FORECAST.LINEAR(D64,Constantes!$D$164:$D$165,Constantes!$D$160:$D$161),Constantes!$D$165))))</f>
        <v>2.8571428571428568</v>
      </c>
      <c r="L64" s="220">
        <f ca="1">IF(E64&gt;=Constantes!$D$158,Constantes!$D$162,IF(E64&gt;Constantes!$D$159,_xlfn.FORECAST.LINEAR(E64,Constantes!$D$162:$D$163,Constantes!$D$158:$D$159),IF(E64&gt;Constantes!$D$160,_xlfn.FORECAST.LINEAR(E64,Constantes!$D$163:$D$164,Constantes!$D$159:$D$160),IF(E64&gt;Constantes!$D$161,_xlfn.FORECAST.LINEAR(E64,Constantes!$D$164:$D$165,Constantes!$D$160:$D$161),Constantes!$D$165))))</f>
        <v>5</v>
      </c>
      <c r="M64" s="220">
        <f ca="1">IF(F64&gt;=Constantes!$D$158,Constantes!$D$162,IF(F64&gt;Constantes!$D$159,_xlfn.FORECAST.LINEAR(F64,Constantes!$D$162:$D$163,Constantes!$D$158:$D$159),IF(F64&gt;Constantes!$D$160,_xlfn.FORECAST.LINEAR(F64,Constantes!$D$163:$D$164,Constantes!$D$159:$D$160),IF(F64&gt;Constantes!$D$161,_xlfn.FORECAST.LINEAR(F64,Constantes!$D$164:$D$165,Constantes!$D$160:$D$161),Constantes!$D$165))))</f>
        <v>5</v>
      </c>
      <c r="N64" s="220">
        <f ca="1">IF(G64&gt;=Constantes!$D$158,Constantes!$D$162,IF(G64&gt;Constantes!$D$159,_xlfn.FORECAST.LINEAR(G64,Constantes!$D$162:$D$163,Constantes!$D$158:$D$159),IF(G64&gt;Constantes!$D$160,_xlfn.FORECAST.LINEAR(G64,Constantes!$D$163:$D$164,Constantes!$D$159:$D$160),IF(G64&gt;Constantes!$D$161,_xlfn.FORECAST.LINEAR(G64,Constantes!$D$164:$D$165,Constantes!$D$160:$D$161),Constantes!$D$165))))</f>
        <v>5</v>
      </c>
      <c r="O64" s="1" t="str">
        <f>CONCATENATE("/ ",Constantes!$C$121)</f>
        <v>/ 5</v>
      </c>
    </row>
    <row r="65" spans="5:15" ht="24" customHeight="1" x14ac:dyDescent="0.3"/>
    <row r="66" spans="5:15" ht="24" customHeight="1" x14ac:dyDescent="0.3">
      <c r="E66" s="3"/>
      <c r="I66" s="1" t="s">
        <v>303</v>
      </c>
      <c r="J66" s="220">
        <f ca="1">SUM(J50:J61)+J63+J64</f>
        <v>34.688084491053296</v>
      </c>
      <c r="K66" s="220">
        <f ca="1">SUM(K50:K61)+K63+K64</f>
        <v>42.716266824797152</v>
      </c>
      <c r="L66" s="220">
        <f ca="1">SUM(L50:L61)+L63+L64</f>
        <v>46.8783048856194</v>
      </c>
      <c r="M66" s="220">
        <f ca="1">SUM(M50:M61)+M63+M64</f>
        <v>56.816979387507182</v>
      </c>
      <c r="N66" s="220">
        <f ca="1">SUM(N50:N61)+N63+N64</f>
        <v>64.248393103377353</v>
      </c>
      <c r="O66" s="3" t="s">
        <v>304</v>
      </c>
    </row>
    <row r="67" spans="5:15" ht="24" customHeight="1" x14ac:dyDescent="0.3"/>
    <row r="68" spans="5:15" ht="24" customHeight="1" x14ac:dyDescent="0.3">
      <c r="J68" s="20"/>
    </row>
    <row r="69" spans="5:15" ht="24" customHeight="1" x14ac:dyDescent="0.3"/>
    <row r="70" spans="5:15" ht="24" customHeight="1" x14ac:dyDescent="0.3"/>
    <row r="71" spans="5:15" ht="24" customHeight="1" x14ac:dyDescent="0.3"/>
    <row r="72" spans="5:15" ht="24" customHeight="1" x14ac:dyDescent="0.3"/>
    <row r="73" spans="5:15" ht="24" customHeight="1" x14ac:dyDescent="0.3"/>
    <row r="74" spans="5:15" ht="24" customHeight="1" x14ac:dyDescent="0.3"/>
    <row r="75" spans="5:15" ht="24" customHeight="1" x14ac:dyDescent="0.3"/>
    <row r="76" spans="5:15" ht="24" customHeight="1" x14ac:dyDescent="0.3"/>
    <row r="77" spans="5:15" ht="24" customHeight="1" x14ac:dyDescent="0.3"/>
    <row r="78" spans="5:15" ht="24" customHeight="1" x14ac:dyDescent="0.3"/>
    <row r="79" spans="5:15" ht="24" customHeight="1" x14ac:dyDescent="0.3"/>
    <row r="80" spans="5:15" ht="24" customHeight="1" x14ac:dyDescent="0.3"/>
    <row r="81" ht="24" customHeight="1" x14ac:dyDescent="0.3"/>
    <row r="82" ht="24" customHeight="1" x14ac:dyDescent="0.3"/>
    <row r="83" ht="24" customHeight="1" x14ac:dyDescent="0.3"/>
    <row r="84" ht="24" customHeight="1" x14ac:dyDescent="0.3"/>
    <row r="85" ht="24" customHeight="1" x14ac:dyDescent="0.3"/>
    <row r="86" ht="24" customHeight="1" x14ac:dyDescent="0.3"/>
    <row r="87" ht="24" customHeight="1" x14ac:dyDescent="0.3"/>
    <row r="88" ht="24" customHeight="1" x14ac:dyDescent="0.3"/>
    <row r="89" ht="24" customHeight="1" x14ac:dyDescent="0.3"/>
    <row r="90" ht="24" customHeight="1" x14ac:dyDescent="0.3"/>
    <row r="91" ht="24" customHeight="1" x14ac:dyDescent="0.3"/>
    <row r="92" ht="24" customHeight="1" x14ac:dyDescent="0.3"/>
    <row r="93" ht="24" customHeight="1" x14ac:dyDescent="0.3"/>
    <row r="94" ht="24" customHeight="1" x14ac:dyDescent="0.3"/>
    <row r="95" ht="24" customHeight="1" x14ac:dyDescent="0.3"/>
    <row r="96" ht="24" customHeight="1" x14ac:dyDescent="0.3"/>
    <row r="97" ht="24" customHeight="1" x14ac:dyDescent="0.3"/>
    <row r="98" ht="24" customHeight="1" x14ac:dyDescent="0.3"/>
    <row r="99" ht="24" customHeight="1" x14ac:dyDescent="0.3"/>
    <row r="100" ht="24" customHeight="1" x14ac:dyDescent="0.3"/>
    <row r="101" ht="24" customHeight="1" x14ac:dyDescent="0.3"/>
    <row r="102" ht="24" customHeight="1" x14ac:dyDescent="0.3"/>
    <row r="103" ht="24" customHeight="1" x14ac:dyDescent="0.3"/>
    <row r="104" ht="24" customHeight="1" x14ac:dyDescent="0.3"/>
    <row r="105" ht="24" customHeight="1" x14ac:dyDescent="0.3"/>
    <row r="106" ht="24" customHeight="1" x14ac:dyDescent="0.3"/>
    <row r="107" ht="24" customHeight="1" x14ac:dyDescent="0.3"/>
    <row r="108" ht="24" customHeight="1" x14ac:dyDescent="0.3"/>
    <row r="109" ht="24" customHeight="1" x14ac:dyDescent="0.3"/>
    <row r="110" ht="24" customHeight="1" x14ac:dyDescent="0.3"/>
    <row r="111" ht="24" customHeight="1" x14ac:dyDescent="0.3"/>
    <row r="112" ht="24" customHeight="1" x14ac:dyDescent="0.3"/>
    <row r="113" ht="24" customHeight="1" x14ac:dyDescent="0.3"/>
    <row r="114" ht="24" customHeight="1" x14ac:dyDescent="0.3"/>
    <row r="115" ht="24" customHeight="1" x14ac:dyDescent="0.3"/>
    <row r="116" ht="24" customHeight="1" x14ac:dyDescent="0.3"/>
    <row r="117" ht="24" customHeight="1" x14ac:dyDescent="0.3"/>
    <row r="118" ht="24" customHeight="1" x14ac:dyDescent="0.3"/>
    <row r="119" ht="24" customHeight="1" x14ac:dyDescent="0.3"/>
    <row r="120" ht="24" customHeight="1" x14ac:dyDescent="0.3"/>
    <row r="121" ht="24" customHeight="1" x14ac:dyDescent="0.3"/>
    <row r="122" ht="24" customHeight="1" x14ac:dyDescent="0.3"/>
    <row r="123" ht="24" customHeight="1" x14ac:dyDescent="0.3"/>
    <row r="124" ht="24" customHeight="1" x14ac:dyDescent="0.3"/>
    <row r="125" ht="24" customHeight="1" x14ac:dyDescent="0.3"/>
    <row r="126" ht="24" customHeight="1" x14ac:dyDescent="0.3"/>
    <row r="127" ht="24" customHeight="1" x14ac:dyDescent="0.3"/>
    <row r="128" ht="24" customHeight="1" x14ac:dyDescent="0.3"/>
    <row r="129" ht="24" customHeight="1" x14ac:dyDescent="0.3"/>
    <row r="130" ht="24" customHeight="1" x14ac:dyDescent="0.3"/>
    <row r="131" ht="24" customHeight="1" x14ac:dyDescent="0.3"/>
    <row r="132" ht="24" customHeight="1" x14ac:dyDescent="0.3"/>
    <row r="133" ht="24" customHeight="1" x14ac:dyDescent="0.3"/>
    <row r="134" ht="24" customHeight="1" x14ac:dyDescent="0.3"/>
  </sheetData>
  <conditionalFormatting sqref="D16:G16">
    <cfRule type="cellIs" dxfId="7" priority="9" operator="lessThan">
      <formula>0</formula>
    </cfRule>
    <cfRule type="cellIs" dxfId="6" priority="10" operator="greaterThan">
      <formula>0</formula>
    </cfRule>
  </conditionalFormatting>
  <conditionalFormatting sqref="D19:G19">
    <cfRule type="cellIs" dxfId="5" priority="3" operator="lessThan">
      <formula>0</formula>
    </cfRule>
    <cfRule type="cellIs" dxfId="4" priority="4" operator="greaterThan">
      <formula>0</formula>
    </cfRule>
    <cfRule type="cellIs" dxfId="3" priority="5" operator="lessThan">
      <formula>0</formula>
    </cfRule>
    <cfRule type="cellIs" dxfId="2" priority="6" operator="greaterThan">
      <formula>0</formula>
    </cfRule>
  </conditionalFormatting>
  <conditionalFormatting sqref="J22:N25">
    <cfRule type="cellIs" dxfId="1" priority="2" operator="greaterThan">
      <formula>0</formula>
    </cfRule>
  </conditionalFormatting>
  <conditionalFormatting sqref="J36:N36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:W35"/>
  <sheetViews>
    <sheetView topLeftCell="A7" workbookViewId="0">
      <selection activeCell="J17" sqref="J17"/>
    </sheetView>
  </sheetViews>
  <sheetFormatPr baseColWidth="10" defaultRowHeight="14.4" x14ac:dyDescent="0.3"/>
  <cols>
    <col min="2" max="2" width="19.5546875" bestFit="1" customWidth="1"/>
    <col min="15" max="15" width="13.33203125" bestFit="1" customWidth="1"/>
  </cols>
  <sheetData>
    <row r="1" spans="1:23" ht="19.2" customHeight="1" thickBot="1" x14ac:dyDescent="0.35">
      <c r="A1" s="1"/>
      <c r="B1" s="1" t="s">
        <v>210</v>
      </c>
      <c r="C1" s="76">
        <v>0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1:23" ht="19.2" customHeight="1" x14ac:dyDescent="0.3">
      <c r="A2" s="1"/>
      <c r="B2" s="1"/>
      <c r="C2" s="821" t="s">
        <v>184</v>
      </c>
      <c r="D2" s="822"/>
      <c r="E2" s="822"/>
      <c r="F2" s="823"/>
      <c r="G2" s="821" t="s">
        <v>69</v>
      </c>
      <c r="H2" s="822"/>
      <c r="I2" s="822"/>
      <c r="J2" s="823"/>
      <c r="K2" s="821" t="s">
        <v>179</v>
      </c>
      <c r="L2" s="822"/>
      <c r="M2" s="822"/>
      <c r="N2" s="823"/>
      <c r="O2" s="1"/>
      <c r="P2" s="821" t="s">
        <v>183</v>
      </c>
      <c r="Q2" s="822"/>
      <c r="R2" s="822"/>
      <c r="S2" s="823"/>
      <c r="T2" s="821" t="s">
        <v>332</v>
      </c>
      <c r="U2" s="822"/>
      <c r="V2" s="822"/>
      <c r="W2" s="823"/>
    </row>
    <row r="3" spans="1:23" ht="19.2" customHeight="1" thickBot="1" x14ac:dyDescent="0.35">
      <c r="A3" s="1"/>
      <c r="B3" s="1"/>
      <c r="C3" s="190" t="s">
        <v>64</v>
      </c>
      <c r="D3" s="170" t="s">
        <v>65</v>
      </c>
      <c r="E3" s="170" t="s">
        <v>66</v>
      </c>
      <c r="F3" s="191" t="s">
        <v>286</v>
      </c>
      <c r="G3" s="190" t="s">
        <v>64</v>
      </c>
      <c r="H3" s="170" t="s">
        <v>65</v>
      </c>
      <c r="I3" s="170" t="s">
        <v>66</v>
      </c>
      <c r="J3" s="191" t="s">
        <v>286</v>
      </c>
      <c r="K3" s="190" t="s">
        <v>64</v>
      </c>
      <c r="L3" s="170" t="s">
        <v>65</v>
      </c>
      <c r="M3" s="170" t="s">
        <v>66</v>
      </c>
      <c r="N3" s="191" t="s">
        <v>286</v>
      </c>
      <c r="O3" s="160" t="s">
        <v>287</v>
      </c>
      <c r="P3" s="190" t="s">
        <v>64</v>
      </c>
      <c r="Q3" s="327" t="s">
        <v>65</v>
      </c>
      <c r="R3" s="327" t="s">
        <v>66</v>
      </c>
      <c r="S3" s="191" t="s">
        <v>255</v>
      </c>
      <c r="T3" s="190" t="s">
        <v>64</v>
      </c>
      <c r="U3" s="327" t="s">
        <v>65</v>
      </c>
      <c r="V3" s="327" t="s">
        <v>66</v>
      </c>
      <c r="W3" s="191" t="s">
        <v>255</v>
      </c>
    </row>
    <row r="4" spans="1:23" ht="19.2" customHeight="1" x14ac:dyDescent="0.3">
      <c r="A4" s="12" t="s">
        <v>4</v>
      </c>
      <c r="B4" s="54" t="s">
        <v>5</v>
      </c>
      <c r="C4" s="206">
        <f ca="1">Calcul!C190</f>
        <v>70</v>
      </c>
      <c r="D4" s="207">
        <f ca="1">Calcul!D190</f>
        <v>22</v>
      </c>
      <c r="E4" s="207">
        <f ca="1">Calcul!E190</f>
        <v>19</v>
      </c>
      <c r="F4" s="208">
        <f t="shared" ref="F4:F13" ca="1" si="0">SUM(C4:E4)</f>
        <v>111</v>
      </c>
      <c r="G4" s="209">
        <f ca="1">Calcul!C278</f>
        <v>51</v>
      </c>
      <c r="H4" s="210">
        <f ca="1">Calcul!D278</f>
        <v>12</v>
      </c>
      <c r="I4" s="210">
        <f ca="1">Calcul!E278</f>
        <v>7</v>
      </c>
      <c r="J4" s="208">
        <f t="shared" ref="J4:J13" ca="1" si="1">SUM(G4:I4)</f>
        <v>70</v>
      </c>
      <c r="K4" s="211">
        <f ca="1">Calcul!C332</f>
        <v>1047.951</v>
      </c>
      <c r="L4" s="212">
        <f ca="1">Calcul!D332</f>
        <v>1227.8365199999998</v>
      </c>
      <c r="M4" s="212">
        <f ca="1">Calcul!E332</f>
        <v>1390.3700999999999</v>
      </c>
      <c r="N4" s="213">
        <f t="shared" ref="N4:N13" ca="1" si="2">SUM(K4:M4)</f>
        <v>3666.15762</v>
      </c>
      <c r="O4" s="214">
        <f t="shared" ref="O4:O14" ca="1" si="3">IF(F4&lt;&gt;0,J4/F4,0)</f>
        <v>0.63063063063063063</v>
      </c>
      <c r="P4" s="211">
        <f ca="1">IF(C4&lt;&gt;0,K4/C4,0)</f>
        <v>14.970728571428571</v>
      </c>
      <c r="Q4" s="212">
        <f ca="1">IF(D4&lt;&gt;0,L4/D4,0)</f>
        <v>55.810750909090899</v>
      </c>
      <c r="R4" s="212">
        <f ca="1">IF(E4&lt;&gt;0,M4/E4,0)</f>
        <v>73.177373684210522</v>
      </c>
      <c r="S4" s="213">
        <f ca="1">IF(F4&lt;&gt;0,N4/F4,0)</f>
        <v>33.028447027027028</v>
      </c>
      <c r="T4" s="211">
        <f ca="1">IF(G4&lt;&gt;0,K4/G4,0)</f>
        <v>20.548058823529413</v>
      </c>
      <c r="U4" s="212">
        <f ca="1">IF(H4&lt;&gt;0,L4/H4,0)</f>
        <v>102.31970999999999</v>
      </c>
      <c r="V4" s="212">
        <f ca="1">IF(I4&lt;&gt;0,M4/I4,0)</f>
        <v>198.62429999999998</v>
      </c>
      <c r="W4" s="213">
        <f ca="1">IF(J4&lt;&gt;0,N4/J4,0)</f>
        <v>52.373680285714286</v>
      </c>
    </row>
    <row r="5" spans="1:23" ht="19.2" customHeight="1" thickBot="1" x14ac:dyDescent="0.35">
      <c r="A5" s="15"/>
      <c r="B5" s="56" t="s">
        <v>158</v>
      </c>
      <c r="C5" s="194">
        <f ca="1">Calcul!C191</f>
        <v>0</v>
      </c>
      <c r="D5" s="195">
        <f ca="1">Calcul!D191</f>
        <v>6</v>
      </c>
      <c r="E5" s="195">
        <f ca="1">Calcul!E191</f>
        <v>12</v>
      </c>
      <c r="F5" s="196">
        <f t="shared" ca="1" si="0"/>
        <v>18</v>
      </c>
      <c r="G5" s="198">
        <f ca="1">Calcul!C279</f>
        <v>0</v>
      </c>
      <c r="H5" s="199">
        <f ca="1">Calcul!D279</f>
        <v>4</v>
      </c>
      <c r="I5" s="199">
        <f ca="1">Calcul!E279</f>
        <v>6</v>
      </c>
      <c r="J5" s="196">
        <f t="shared" ca="1" si="1"/>
        <v>10</v>
      </c>
      <c r="K5" s="202">
        <f ca="1">Calcul!C333</f>
        <v>3231.0431999999996</v>
      </c>
      <c r="L5" s="203">
        <f ca="1">Calcul!D333</f>
        <v>6095.9826000000003</v>
      </c>
      <c r="M5" s="203">
        <f ca="1">Calcul!E333</f>
        <v>6354.0576000000001</v>
      </c>
      <c r="N5" s="204">
        <f t="shared" ca="1" si="2"/>
        <v>15681.0834</v>
      </c>
      <c r="O5" s="215">
        <f t="shared" ca="1" si="3"/>
        <v>0.55555555555555558</v>
      </c>
      <c r="P5" s="202">
        <f t="shared" ref="P5:P13" ca="1" si="4">IF(C5&lt;&gt;0,K5/C5,0)</f>
        <v>0</v>
      </c>
      <c r="Q5" s="203">
        <f t="shared" ref="Q5:Q13" ca="1" si="5">IF(D5&lt;&gt;0,L5/D5,0)</f>
        <v>1015.9971</v>
      </c>
      <c r="R5" s="203">
        <f t="shared" ref="R5:R13" ca="1" si="6">IF(E5&lt;&gt;0,M5/E5,0)</f>
        <v>529.50480000000005</v>
      </c>
      <c r="S5" s="204">
        <f t="shared" ref="S5:S13" ca="1" si="7">IF(F5&lt;&gt;0,N5/F5,0)</f>
        <v>871.17129999999997</v>
      </c>
      <c r="T5" s="202">
        <f t="shared" ref="T5:T13" ca="1" si="8">IF(G5&lt;&gt;0,K5/G5,0)</f>
        <v>0</v>
      </c>
      <c r="U5" s="203">
        <f t="shared" ref="U5:U13" ca="1" si="9">IF(H5&lt;&gt;0,L5/H5,0)</f>
        <v>1523.9956500000001</v>
      </c>
      <c r="V5" s="203">
        <f t="shared" ref="V5:V13" ca="1" si="10">IF(I5&lt;&gt;0,M5/I5,0)</f>
        <v>1059.0096000000001</v>
      </c>
      <c r="W5" s="204">
        <f t="shared" ref="W5:W13" ca="1" si="11">IF(J5&lt;&gt;0,N5/J5,0)</f>
        <v>1568.10834</v>
      </c>
    </row>
    <row r="6" spans="1:23" ht="19.2" customHeight="1" x14ac:dyDescent="0.3">
      <c r="A6" s="12" t="s">
        <v>6</v>
      </c>
      <c r="B6" s="54" t="s">
        <v>142</v>
      </c>
      <c r="C6" s="206">
        <f ca="1">Calcul!C192</f>
        <v>0</v>
      </c>
      <c r="D6" s="207">
        <f ca="1">Calcul!D192</f>
        <v>8</v>
      </c>
      <c r="E6" s="207">
        <f ca="1">Calcul!E192</f>
        <v>15</v>
      </c>
      <c r="F6" s="208">
        <f t="shared" ca="1" si="0"/>
        <v>23</v>
      </c>
      <c r="G6" s="209">
        <f ca="1">Calcul!C280</f>
        <v>0</v>
      </c>
      <c r="H6" s="210">
        <f ca="1">Calcul!D280</f>
        <v>6</v>
      </c>
      <c r="I6" s="210">
        <f ca="1">Calcul!E280</f>
        <v>12</v>
      </c>
      <c r="J6" s="208">
        <f t="shared" ca="1" si="1"/>
        <v>18</v>
      </c>
      <c r="K6" s="211">
        <f ca="1">Calcul!C334</f>
        <v>10097.009999999998</v>
      </c>
      <c r="L6" s="212">
        <f ca="1">Calcul!D334</f>
        <v>15419.956499999997</v>
      </c>
      <c r="M6" s="212">
        <f ca="1">Calcul!E334</f>
        <v>10805.714999999998</v>
      </c>
      <c r="N6" s="213">
        <f t="shared" ca="1" si="2"/>
        <v>36322.681499999992</v>
      </c>
      <c r="O6" s="214">
        <f t="shared" ca="1" si="3"/>
        <v>0.78260869565217395</v>
      </c>
      <c r="P6" s="211">
        <f t="shared" ca="1" si="4"/>
        <v>0</v>
      </c>
      <c r="Q6" s="212">
        <f t="shared" ca="1" si="5"/>
        <v>1927.4945624999996</v>
      </c>
      <c r="R6" s="212">
        <f t="shared" ca="1" si="6"/>
        <v>720.38099999999986</v>
      </c>
      <c r="S6" s="213">
        <f t="shared" ca="1" si="7"/>
        <v>1579.2470217391301</v>
      </c>
      <c r="T6" s="211">
        <f t="shared" ca="1" si="8"/>
        <v>0</v>
      </c>
      <c r="U6" s="212">
        <f t="shared" ca="1" si="9"/>
        <v>2569.9927499999994</v>
      </c>
      <c r="V6" s="212">
        <f t="shared" ca="1" si="10"/>
        <v>900.47624999999982</v>
      </c>
      <c r="W6" s="213">
        <f t="shared" ca="1" si="11"/>
        <v>2017.9267499999996</v>
      </c>
    </row>
    <row r="7" spans="1:23" ht="19.2" customHeight="1" x14ac:dyDescent="0.3">
      <c r="A7" s="17"/>
      <c r="B7" s="57" t="s">
        <v>143</v>
      </c>
      <c r="C7" s="192">
        <f ca="1">Calcul!C193</f>
        <v>20</v>
      </c>
      <c r="D7" s="111">
        <f ca="1">Calcul!D193</f>
        <v>15</v>
      </c>
      <c r="E7" s="111">
        <f ca="1">Calcul!E193</f>
        <v>19</v>
      </c>
      <c r="F7" s="193">
        <f t="shared" ca="1" si="0"/>
        <v>54</v>
      </c>
      <c r="G7" s="197">
        <f ca="1">Calcul!C281</f>
        <v>8</v>
      </c>
      <c r="H7" s="104">
        <f ca="1">Calcul!D281</f>
        <v>6</v>
      </c>
      <c r="I7" s="104">
        <f ca="1">Calcul!E281</f>
        <v>6</v>
      </c>
      <c r="J7" s="193">
        <f t="shared" ca="1" si="1"/>
        <v>20</v>
      </c>
      <c r="K7" s="200">
        <f ca="1">Calcul!C335</f>
        <v>817.36079999999993</v>
      </c>
      <c r="L7" s="113">
        <f ca="1">Calcul!D335</f>
        <v>822.39767999999992</v>
      </c>
      <c r="M7" s="113">
        <f ca="1">Calcul!E335</f>
        <v>374.96573999999998</v>
      </c>
      <c r="N7" s="201">
        <f t="shared" ca="1" si="2"/>
        <v>2014.7242200000001</v>
      </c>
      <c r="O7" s="216">
        <f t="shared" ca="1" si="3"/>
        <v>0.37037037037037035</v>
      </c>
      <c r="P7" s="200">
        <f t="shared" ca="1" si="4"/>
        <v>40.868039999999993</v>
      </c>
      <c r="Q7" s="113">
        <f t="shared" ca="1" si="5"/>
        <v>54.826511999999994</v>
      </c>
      <c r="R7" s="113">
        <f t="shared" ca="1" si="6"/>
        <v>19.73503894736842</v>
      </c>
      <c r="S7" s="201">
        <f t="shared" ca="1" si="7"/>
        <v>37.309707777777781</v>
      </c>
      <c r="T7" s="200">
        <f t="shared" ca="1" si="8"/>
        <v>102.17009999999999</v>
      </c>
      <c r="U7" s="113">
        <f t="shared" ca="1" si="9"/>
        <v>137.06627999999998</v>
      </c>
      <c r="V7" s="113">
        <f t="shared" ca="1" si="10"/>
        <v>62.494289999999999</v>
      </c>
      <c r="W7" s="201">
        <f t="shared" ca="1" si="11"/>
        <v>100.736211</v>
      </c>
    </row>
    <row r="8" spans="1:23" ht="19.2" customHeight="1" thickBot="1" x14ac:dyDescent="0.35">
      <c r="A8" s="15"/>
      <c r="B8" s="56" t="s">
        <v>157</v>
      </c>
      <c r="C8" s="194">
        <f ca="1">Calcul!C194</f>
        <v>0</v>
      </c>
      <c r="D8" s="195">
        <f ca="1">Calcul!D194</f>
        <v>24</v>
      </c>
      <c r="E8" s="195">
        <f ca="1">Calcul!E194</f>
        <v>22</v>
      </c>
      <c r="F8" s="196">
        <f t="shared" ca="1" si="0"/>
        <v>46</v>
      </c>
      <c r="G8" s="198">
        <f ca="1">Calcul!C282</f>
        <v>0</v>
      </c>
      <c r="H8" s="199">
        <f ca="1">Calcul!D282</f>
        <v>7</v>
      </c>
      <c r="I8" s="199">
        <f ca="1">Calcul!E282</f>
        <v>4</v>
      </c>
      <c r="J8" s="196">
        <f t="shared" ca="1" si="1"/>
        <v>11</v>
      </c>
      <c r="K8" s="202">
        <f ca="1">Calcul!C336</f>
        <v>1262.1262500000003</v>
      </c>
      <c r="L8" s="203">
        <f ca="1">Calcul!D336</f>
        <v>596.10950000000003</v>
      </c>
      <c r="M8" s="203">
        <f ca="1">Calcul!E336</f>
        <v>229.49406250000001</v>
      </c>
      <c r="N8" s="204">
        <f t="shared" ca="1" si="2"/>
        <v>2087.7298125000002</v>
      </c>
      <c r="O8" s="215">
        <f t="shared" ca="1" si="3"/>
        <v>0.2391304347826087</v>
      </c>
      <c r="P8" s="202">
        <f t="shared" ca="1" si="4"/>
        <v>0</v>
      </c>
      <c r="Q8" s="203">
        <f t="shared" ca="1" si="5"/>
        <v>24.837895833333334</v>
      </c>
      <c r="R8" s="203">
        <f t="shared" ca="1" si="6"/>
        <v>10.431548295454546</v>
      </c>
      <c r="S8" s="204">
        <f t="shared" ca="1" si="7"/>
        <v>45.385430706521745</v>
      </c>
      <c r="T8" s="202">
        <f t="shared" ca="1" si="8"/>
        <v>0</v>
      </c>
      <c r="U8" s="203">
        <f t="shared" ca="1" si="9"/>
        <v>85.158500000000004</v>
      </c>
      <c r="V8" s="203">
        <f t="shared" ca="1" si="10"/>
        <v>57.373515625000003</v>
      </c>
      <c r="W8" s="204">
        <f t="shared" ca="1" si="11"/>
        <v>189.79361931818184</v>
      </c>
    </row>
    <row r="9" spans="1:23" ht="19.2" customHeight="1" x14ac:dyDescent="0.3">
      <c r="A9" s="12" t="s">
        <v>9</v>
      </c>
      <c r="B9" s="54" t="s">
        <v>32</v>
      </c>
      <c r="C9" s="206">
        <f ca="1">Calcul!C195</f>
        <v>0</v>
      </c>
      <c r="D9" s="207">
        <f ca="1">Calcul!D195</f>
        <v>21</v>
      </c>
      <c r="E9" s="207">
        <f ca="1">Calcul!E195</f>
        <v>0</v>
      </c>
      <c r="F9" s="208">
        <f t="shared" ca="1" si="0"/>
        <v>21</v>
      </c>
      <c r="G9" s="209">
        <f ca="1">Calcul!C283</f>
        <v>0</v>
      </c>
      <c r="H9" s="210">
        <f ca="1">Calcul!D283</f>
        <v>15</v>
      </c>
      <c r="I9" s="210">
        <f ca="1">Calcul!E283</f>
        <v>0</v>
      </c>
      <c r="J9" s="208">
        <f t="shared" ca="1" si="1"/>
        <v>15</v>
      </c>
      <c r="K9" s="211">
        <f ca="1">Calcul!C337</f>
        <v>7672.5</v>
      </c>
      <c r="L9" s="212">
        <f ca="1">Calcul!D337</f>
        <v>6043.2</v>
      </c>
      <c r="M9" s="212">
        <f ca="1">Calcul!E337</f>
        <v>1591.2</v>
      </c>
      <c r="N9" s="213">
        <f t="shared" ca="1" si="2"/>
        <v>15306.900000000001</v>
      </c>
      <c r="O9" s="214">
        <f t="shared" ca="1" si="3"/>
        <v>0.7142857142857143</v>
      </c>
      <c r="P9" s="211">
        <f t="shared" ca="1" si="4"/>
        <v>0</v>
      </c>
      <c r="Q9" s="212">
        <f t="shared" ca="1" si="5"/>
        <v>287.77142857142854</v>
      </c>
      <c r="R9" s="212">
        <f t="shared" ca="1" si="6"/>
        <v>0</v>
      </c>
      <c r="S9" s="213">
        <f t="shared" ca="1" si="7"/>
        <v>728.90000000000009</v>
      </c>
      <c r="T9" s="211">
        <f t="shared" ca="1" si="8"/>
        <v>0</v>
      </c>
      <c r="U9" s="212">
        <f t="shared" ca="1" si="9"/>
        <v>402.88</v>
      </c>
      <c r="V9" s="212">
        <f t="shared" ca="1" si="10"/>
        <v>0</v>
      </c>
      <c r="W9" s="213">
        <f t="shared" ca="1" si="11"/>
        <v>1020.4600000000002</v>
      </c>
    </row>
    <row r="10" spans="1:23" ht="19.2" customHeight="1" thickBot="1" x14ac:dyDescent="0.35">
      <c r="A10" s="15"/>
      <c r="B10" s="56" t="s">
        <v>10</v>
      </c>
      <c r="C10" s="194">
        <f ca="1">Calcul!C196</f>
        <v>0</v>
      </c>
      <c r="D10" s="195">
        <f ca="1">Calcul!D196</f>
        <v>17</v>
      </c>
      <c r="E10" s="195">
        <f ca="1">Calcul!E196</f>
        <v>28</v>
      </c>
      <c r="F10" s="196">
        <f t="shared" ca="1" si="0"/>
        <v>45</v>
      </c>
      <c r="G10" s="198">
        <f ca="1">Calcul!C284</f>
        <v>0</v>
      </c>
      <c r="H10" s="199">
        <f ca="1">Calcul!D284</f>
        <v>7</v>
      </c>
      <c r="I10" s="199">
        <f ca="1">Calcul!E284</f>
        <v>16</v>
      </c>
      <c r="J10" s="196">
        <f t="shared" ca="1" si="1"/>
        <v>23</v>
      </c>
      <c r="K10" s="202">
        <f ca="1">Calcul!C338</f>
        <v>2046.0000000000002</v>
      </c>
      <c r="L10" s="203">
        <f ca="1">Calcul!D338</f>
        <v>4457.2</v>
      </c>
      <c r="M10" s="203">
        <f ca="1">Calcul!E338</f>
        <v>6664</v>
      </c>
      <c r="N10" s="204">
        <f t="shared" ca="1" si="2"/>
        <v>13167.2</v>
      </c>
      <c r="O10" s="215">
        <f t="shared" ca="1" si="3"/>
        <v>0.51111111111111107</v>
      </c>
      <c r="P10" s="202">
        <f t="shared" ca="1" si="4"/>
        <v>0</v>
      </c>
      <c r="Q10" s="203">
        <f t="shared" ca="1" si="5"/>
        <v>262.18823529411765</v>
      </c>
      <c r="R10" s="203">
        <f t="shared" ca="1" si="6"/>
        <v>238</v>
      </c>
      <c r="S10" s="204">
        <f t="shared" ca="1" si="7"/>
        <v>292.60444444444448</v>
      </c>
      <c r="T10" s="202">
        <f t="shared" ca="1" si="8"/>
        <v>0</v>
      </c>
      <c r="U10" s="203">
        <f t="shared" ca="1" si="9"/>
        <v>636.74285714285713</v>
      </c>
      <c r="V10" s="203">
        <f t="shared" ca="1" si="10"/>
        <v>416.5</v>
      </c>
      <c r="W10" s="204">
        <f t="shared" ca="1" si="11"/>
        <v>572.48695652173922</v>
      </c>
    </row>
    <row r="11" spans="1:23" ht="19.2" customHeight="1" x14ac:dyDescent="0.3">
      <c r="A11" s="12" t="s">
        <v>11</v>
      </c>
      <c r="B11" s="54" t="s">
        <v>33</v>
      </c>
      <c r="C11" s="206">
        <f ca="1">Calcul!C197</f>
        <v>48</v>
      </c>
      <c r="D11" s="207">
        <f ca="1">Calcul!D197</f>
        <v>22</v>
      </c>
      <c r="E11" s="207">
        <f ca="1">Calcul!E197</f>
        <v>29</v>
      </c>
      <c r="F11" s="208">
        <f t="shared" ca="1" si="0"/>
        <v>99</v>
      </c>
      <c r="G11" s="209">
        <f ca="1">Calcul!C285</f>
        <v>28</v>
      </c>
      <c r="H11" s="210">
        <f ca="1">Calcul!D285</f>
        <v>16</v>
      </c>
      <c r="I11" s="210">
        <f ca="1">Calcul!E285</f>
        <v>16</v>
      </c>
      <c r="J11" s="208">
        <f t="shared" ca="1" si="1"/>
        <v>60</v>
      </c>
      <c r="K11" s="211">
        <f ca="1">Calcul!C339</f>
        <v>9935</v>
      </c>
      <c r="L11" s="212">
        <f ca="1">Calcul!D339</f>
        <v>8259.5999999999985</v>
      </c>
      <c r="M11" s="212">
        <f ca="1">Calcul!E339</f>
        <v>9542.4000000000015</v>
      </c>
      <c r="N11" s="213">
        <f t="shared" ca="1" si="2"/>
        <v>27737</v>
      </c>
      <c r="O11" s="214">
        <f t="shared" ca="1" si="3"/>
        <v>0.60606060606060608</v>
      </c>
      <c r="P11" s="211">
        <f t="shared" ca="1" si="4"/>
        <v>206.97916666666666</v>
      </c>
      <c r="Q11" s="212">
        <f t="shared" ca="1" si="5"/>
        <v>375.43636363636358</v>
      </c>
      <c r="R11" s="212">
        <f t="shared" ca="1" si="6"/>
        <v>329.04827586206903</v>
      </c>
      <c r="S11" s="213">
        <f t="shared" ca="1" si="7"/>
        <v>280.17171717171715</v>
      </c>
      <c r="T11" s="211">
        <f t="shared" ca="1" si="8"/>
        <v>354.82142857142856</v>
      </c>
      <c r="U11" s="212">
        <f t="shared" ca="1" si="9"/>
        <v>516.22499999999991</v>
      </c>
      <c r="V11" s="212">
        <f t="shared" ca="1" si="10"/>
        <v>596.40000000000009</v>
      </c>
      <c r="W11" s="213">
        <f t="shared" ca="1" si="11"/>
        <v>462.28333333333336</v>
      </c>
    </row>
    <row r="12" spans="1:23" ht="19.2" customHeight="1" x14ac:dyDescent="0.3">
      <c r="A12" s="17"/>
      <c r="B12" s="57" t="s">
        <v>34</v>
      </c>
      <c r="C12" s="192">
        <f ca="1">Calcul!C198</f>
        <v>66</v>
      </c>
      <c r="D12" s="111">
        <f ca="1">Calcul!D198</f>
        <v>24</v>
      </c>
      <c r="E12" s="111">
        <f ca="1">Calcul!E198</f>
        <v>7</v>
      </c>
      <c r="F12" s="193">
        <f t="shared" ca="1" si="0"/>
        <v>97</v>
      </c>
      <c r="G12" s="197">
        <f ca="1">Calcul!C286</f>
        <v>59</v>
      </c>
      <c r="H12" s="104">
        <f ca="1">Calcul!D286</f>
        <v>22</v>
      </c>
      <c r="I12" s="104">
        <f ca="1">Calcul!E286</f>
        <v>9</v>
      </c>
      <c r="J12" s="193">
        <f t="shared" ca="1" si="1"/>
        <v>90</v>
      </c>
      <c r="K12" s="200">
        <f ca="1">Calcul!C340</f>
        <v>11764</v>
      </c>
      <c r="L12" s="113">
        <f ca="1">Calcul!D340</f>
        <v>9894.5999999999985</v>
      </c>
      <c r="M12" s="113">
        <f ca="1">Calcul!E340</f>
        <v>5601</v>
      </c>
      <c r="N12" s="201">
        <f t="shared" ca="1" si="2"/>
        <v>27259.599999999999</v>
      </c>
      <c r="O12" s="216">
        <f t="shared" ca="1" si="3"/>
        <v>0.92783505154639179</v>
      </c>
      <c r="P12" s="200">
        <f t="shared" ca="1" si="4"/>
        <v>178.24242424242425</v>
      </c>
      <c r="Q12" s="113">
        <f t="shared" ca="1" si="5"/>
        <v>412.27499999999992</v>
      </c>
      <c r="R12" s="113">
        <f t="shared" ca="1" si="6"/>
        <v>800.14285714285711</v>
      </c>
      <c r="S12" s="201">
        <f t="shared" ca="1" si="7"/>
        <v>281.02680412371132</v>
      </c>
      <c r="T12" s="200">
        <f t="shared" ca="1" si="8"/>
        <v>199.38983050847457</v>
      </c>
      <c r="U12" s="113">
        <f t="shared" ca="1" si="9"/>
        <v>449.75454545454539</v>
      </c>
      <c r="V12" s="113">
        <f t="shared" ca="1" si="10"/>
        <v>622.33333333333337</v>
      </c>
      <c r="W12" s="201">
        <f t="shared" ca="1" si="11"/>
        <v>302.88444444444445</v>
      </c>
    </row>
    <row r="13" spans="1:23" ht="19.2" customHeight="1" thickBot="1" x14ac:dyDescent="0.35">
      <c r="A13" s="15"/>
      <c r="B13" s="56" t="s">
        <v>12</v>
      </c>
      <c r="C13" s="194">
        <f ca="1">Calcul!C199</f>
        <v>0</v>
      </c>
      <c r="D13" s="195">
        <f ca="1">Calcul!D199</f>
        <v>0</v>
      </c>
      <c r="E13" s="195">
        <f ca="1">Calcul!E199</f>
        <v>0</v>
      </c>
      <c r="F13" s="196">
        <f t="shared" ca="1" si="0"/>
        <v>0</v>
      </c>
      <c r="G13" s="198">
        <f ca="1">Calcul!C287</f>
        <v>0</v>
      </c>
      <c r="H13" s="199">
        <f ca="1">Calcul!D287</f>
        <v>0</v>
      </c>
      <c r="I13" s="199">
        <f ca="1">Calcul!E287</f>
        <v>0</v>
      </c>
      <c r="J13" s="196">
        <f t="shared" ca="1" si="1"/>
        <v>0</v>
      </c>
      <c r="K13" s="202">
        <f ca="1">Calcul!C341</f>
        <v>0</v>
      </c>
      <c r="L13" s="203">
        <f ca="1">Calcul!D341</f>
        <v>0</v>
      </c>
      <c r="M13" s="203">
        <f ca="1">Calcul!E341</f>
        <v>0</v>
      </c>
      <c r="N13" s="204">
        <f t="shared" ca="1" si="2"/>
        <v>0</v>
      </c>
      <c r="O13" s="215">
        <f t="shared" ca="1" si="3"/>
        <v>0</v>
      </c>
      <c r="P13" s="202">
        <f t="shared" ca="1" si="4"/>
        <v>0</v>
      </c>
      <c r="Q13" s="203">
        <f t="shared" ca="1" si="5"/>
        <v>0</v>
      </c>
      <c r="R13" s="203">
        <f t="shared" ca="1" si="6"/>
        <v>0</v>
      </c>
      <c r="S13" s="204">
        <f t="shared" ca="1" si="7"/>
        <v>0</v>
      </c>
      <c r="T13" s="202">
        <f t="shared" ca="1" si="8"/>
        <v>0</v>
      </c>
      <c r="U13" s="203">
        <f t="shared" ca="1" si="9"/>
        <v>0</v>
      </c>
      <c r="V13" s="203">
        <f t="shared" ca="1" si="10"/>
        <v>0</v>
      </c>
      <c r="W13" s="204">
        <f t="shared" ca="1" si="11"/>
        <v>0</v>
      </c>
    </row>
    <row r="14" spans="1:23" ht="19.2" customHeight="1" x14ac:dyDescent="0.3">
      <c r="A14" s="1"/>
      <c r="B14" s="1" t="s">
        <v>225</v>
      </c>
      <c r="C14" s="109">
        <f t="shared" ref="C14:N14" ca="1" si="12">SUM(C4:C13)</f>
        <v>204</v>
      </c>
      <c r="D14" s="109">
        <f t="shared" ca="1" si="12"/>
        <v>159</v>
      </c>
      <c r="E14" s="109">
        <f t="shared" ca="1" si="12"/>
        <v>151</v>
      </c>
      <c r="F14" s="109">
        <f t="shared" ca="1" si="12"/>
        <v>514</v>
      </c>
      <c r="G14" s="109">
        <f t="shared" ca="1" si="12"/>
        <v>146</v>
      </c>
      <c r="H14" s="109">
        <f t="shared" ca="1" si="12"/>
        <v>95</v>
      </c>
      <c r="I14" s="109">
        <f t="shared" ca="1" si="12"/>
        <v>76</v>
      </c>
      <c r="J14" s="109">
        <f t="shared" ca="1" si="12"/>
        <v>317</v>
      </c>
      <c r="K14" s="217">
        <f t="shared" ca="1" si="12"/>
        <v>47872.991249999999</v>
      </c>
      <c r="L14" s="217">
        <f t="shared" ca="1" si="12"/>
        <v>52816.882799999992</v>
      </c>
      <c r="M14" s="217">
        <f t="shared" ca="1" si="12"/>
        <v>42553.202502500004</v>
      </c>
      <c r="N14" s="217">
        <f t="shared" ca="1" si="12"/>
        <v>143243.07655249999</v>
      </c>
      <c r="O14" s="218">
        <f t="shared" ca="1" si="3"/>
        <v>0.61673151750972766</v>
      </c>
    </row>
    <row r="16" spans="1:23" s="1" customFormat="1" ht="21.6" customHeight="1" x14ac:dyDescent="0.3">
      <c r="C16" s="782" t="s">
        <v>184</v>
      </c>
      <c r="D16" s="782"/>
      <c r="E16" s="782"/>
      <c r="F16" s="155"/>
      <c r="G16" s="782" t="s">
        <v>208</v>
      </c>
      <c r="H16" s="782"/>
      <c r="I16" s="782"/>
      <c r="J16" s="155"/>
      <c r="K16" s="782" t="s">
        <v>294</v>
      </c>
      <c r="L16" s="782"/>
      <c r="M16" s="782"/>
    </row>
    <row r="17" spans="2:15" s="1" customFormat="1" ht="21.6" customHeight="1" x14ac:dyDescent="0.3">
      <c r="C17" s="74" t="s">
        <v>64</v>
      </c>
      <c r="D17" s="74" t="s">
        <v>65</v>
      </c>
      <c r="E17" s="74" t="s">
        <v>66</v>
      </c>
      <c r="F17" s="156" t="s">
        <v>286</v>
      </c>
      <c r="G17" s="74" t="s">
        <v>64</v>
      </c>
      <c r="H17" s="74" t="s">
        <v>65</v>
      </c>
      <c r="I17" s="74" t="s">
        <v>66</v>
      </c>
      <c r="J17" s="155"/>
      <c r="K17" s="74" t="s">
        <v>64</v>
      </c>
      <c r="L17" s="74" t="s">
        <v>65</v>
      </c>
      <c r="M17" s="74" t="s">
        <v>66</v>
      </c>
    </row>
    <row r="18" spans="2:15" s="1" customFormat="1" ht="27" customHeight="1" x14ac:dyDescent="0.3">
      <c r="B18" s="1" t="s">
        <v>4</v>
      </c>
      <c r="C18" s="111">
        <f ca="1">SUM('Résultats par mois'!C4:C5)</f>
        <v>70</v>
      </c>
      <c r="D18" s="111">
        <f ca="1">SUM('Résultats par mois'!D4:D5)</f>
        <v>28</v>
      </c>
      <c r="E18" s="111">
        <f ca="1">SUM('Résultats par mois'!E4:E5)</f>
        <v>31</v>
      </c>
      <c r="F18" s="111">
        <f ca="1">SUM(C18:E18)</f>
        <v>129</v>
      </c>
      <c r="G18" s="114">
        <f ca="1">IF(C18&lt;&gt;0,SUM('Résultats par mois'!G4:G5)/C18,0)</f>
        <v>0.72857142857142854</v>
      </c>
      <c r="H18" s="114">
        <f ca="1">IF(D18&lt;&gt;0,SUM('Résultats par mois'!H4:H5)/D18,0)</f>
        <v>0.5714285714285714</v>
      </c>
      <c r="I18" s="114">
        <f ca="1">IF(E18&lt;&gt;0,SUM('Résultats par mois'!I4:I5)/E18,0)</f>
        <v>0.41935483870967744</v>
      </c>
      <c r="J18" s="114"/>
      <c r="K18" s="113">
        <f ca="1">SUM('Résultats par mois'!K4:K5)</f>
        <v>4278.9941999999992</v>
      </c>
      <c r="L18" s="113">
        <f ca="1">SUM('Résultats par mois'!L4:L5)</f>
        <v>7323.8191200000001</v>
      </c>
      <c r="M18" s="113">
        <f ca="1">SUM('Résultats par mois'!M4:M5)</f>
        <v>7744.4277000000002</v>
      </c>
    </row>
    <row r="19" spans="2:15" s="1" customFormat="1" ht="27" customHeight="1" x14ac:dyDescent="0.3">
      <c r="B19" s="1" t="s">
        <v>6</v>
      </c>
      <c r="C19" s="111">
        <f ca="1">SUM('Résultats par mois'!C6:C8)</f>
        <v>20</v>
      </c>
      <c r="D19" s="111">
        <f ca="1">SUM('Résultats par mois'!D6:D8)</f>
        <v>47</v>
      </c>
      <c r="E19" s="111">
        <f ca="1">SUM('Résultats par mois'!E6:E8)</f>
        <v>56</v>
      </c>
      <c r="F19" s="111">
        <f ca="1">SUM(C19:E19)</f>
        <v>123</v>
      </c>
      <c r="G19" s="114">
        <f ca="1">IF(C19&lt;&gt;0,SUM('Résultats par mois'!G6:G8)/C19,0)</f>
        <v>0.4</v>
      </c>
      <c r="H19" s="114">
        <f ca="1">IF(D19&lt;&gt;0,SUM('Résultats par mois'!H6:H8)/D19,0)</f>
        <v>0.40425531914893614</v>
      </c>
      <c r="I19" s="114">
        <f ca="1">IF(E19&lt;&gt;0,SUM('Résultats par mois'!I6:I8)/E19,0)</f>
        <v>0.39285714285714285</v>
      </c>
      <c r="J19" s="114"/>
      <c r="K19" s="113">
        <f ca="1">SUM('Résultats par mois'!K6:K8)</f>
        <v>12176.497049999998</v>
      </c>
      <c r="L19" s="113">
        <f ca="1">SUM('Résultats par mois'!L6:L8)</f>
        <v>16838.463679999997</v>
      </c>
      <c r="M19" s="113">
        <f ca="1">SUM('Résultats par mois'!M6:M8)</f>
        <v>11410.174802499998</v>
      </c>
    </row>
    <row r="20" spans="2:15" s="1" customFormat="1" ht="27" customHeight="1" x14ac:dyDescent="0.3">
      <c r="B20" s="1" t="s">
        <v>9</v>
      </c>
      <c r="C20" s="111">
        <f ca="1">SUM('Résultats par mois'!C9:C10)</f>
        <v>0</v>
      </c>
      <c r="D20" s="111">
        <f ca="1">SUM('Résultats par mois'!D9:D10)</f>
        <v>38</v>
      </c>
      <c r="E20" s="111">
        <f ca="1">SUM('Résultats par mois'!E9:E10)</f>
        <v>28</v>
      </c>
      <c r="F20" s="111">
        <f ca="1">SUM(C20:E20)</f>
        <v>66</v>
      </c>
      <c r="G20" s="114">
        <f ca="1">IF(C20&lt;&gt;0,SUM('Résultats par mois'!G9:G10)/C20,0)</f>
        <v>0</v>
      </c>
      <c r="H20" s="114">
        <f ca="1">IF(D20&lt;&gt;0,SUM('Résultats par mois'!H9:H10)/D20,0)</f>
        <v>0.57894736842105265</v>
      </c>
      <c r="I20" s="114">
        <f ca="1">IF(E20&lt;&gt;0,SUM('Résultats par mois'!I9:I10)/E20,0)</f>
        <v>0.5714285714285714</v>
      </c>
      <c r="J20" s="114"/>
      <c r="K20" s="113">
        <f ca="1">SUM('Résultats par mois'!K9:K10)</f>
        <v>9718.5</v>
      </c>
      <c r="L20" s="113">
        <f ca="1">SUM('Résultats par mois'!L9:L10)</f>
        <v>10500.4</v>
      </c>
      <c r="M20" s="113">
        <f ca="1">SUM('Résultats par mois'!M9:M10)</f>
        <v>8255.2000000000007</v>
      </c>
    </row>
    <row r="21" spans="2:15" s="1" customFormat="1" ht="27" customHeight="1" x14ac:dyDescent="0.3">
      <c r="B21" s="1" t="s">
        <v>11</v>
      </c>
      <c r="C21" s="111">
        <f ca="1">SUM('Résultats par mois'!C11:C13)</f>
        <v>114</v>
      </c>
      <c r="D21" s="111">
        <f ca="1">SUM('Résultats par mois'!D11:D13)</f>
        <v>46</v>
      </c>
      <c r="E21" s="111">
        <f ca="1">SUM('Résultats par mois'!E11:E13)</f>
        <v>36</v>
      </c>
      <c r="F21" s="111">
        <f ca="1">SUM(C21:E21)</f>
        <v>196</v>
      </c>
      <c r="G21" s="114">
        <f ca="1">IF(C21&lt;&gt;0,SUM('Résultats par mois'!G11:G13)/C21,0)</f>
        <v>0.76315789473684215</v>
      </c>
      <c r="H21" s="114">
        <f ca="1">IF(D21&lt;&gt;0,SUM('Résultats par mois'!H11:H13)/D21,0)</f>
        <v>0.82608695652173914</v>
      </c>
      <c r="I21" s="114">
        <f ca="1">IF(E21&lt;&gt;0,SUM('Résultats par mois'!I11:I13)/E21,0)</f>
        <v>0.69444444444444442</v>
      </c>
      <c r="J21" s="114"/>
      <c r="K21" s="113">
        <f ca="1">SUM('Résultats par mois'!K11:K13)</f>
        <v>21699</v>
      </c>
      <c r="L21" s="113">
        <f ca="1">SUM('Résultats par mois'!L11:L13)</f>
        <v>18154.199999999997</v>
      </c>
      <c r="M21" s="113">
        <f ca="1">SUM('Résultats par mois'!M11:M13)</f>
        <v>15143.400000000001</v>
      </c>
    </row>
    <row r="24" spans="2:15" s="1" customFormat="1" ht="21.6" customHeight="1" x14ac:dyDescent="0.3"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</row>
    <row r="25" spans="2:15" s="1" customFormat="1" ht="24" customHeight="1" x14ac:dyDescent="0.3">
      <c r="C25" s="74" t="s">
        <v>64</v>
      </c>
      <c r="D25" s="74" t="s">
        <v>65</v>
      </c>
      <c r="E25" s="74" t="s">
        <v>66</v>
      </c>
      <c r="F25" s="74" t="s">
        <v>207</v>
      </c>
    </row>
    <row r="26" spans="2:15" s="1" customFormat="1" ht="24" customHeight="1" x14ac:dyDescent="0.3">
      <c r="B26" s="1" t="s">
        <v>182</v>
      </c>
      <c r="C26" s="114">
        <f ca="1">IF('Résultats par mois'!C14&lt;&gt;0,'Résultats par mois'!G14/'Résultats par mois'!C14,0)</f>
        <v>0.71568627450980393</v>
      </c>
      <c r="D26" s="114">
        <f ca="1">IF('Résultats par mois'!D14&lt;&gt;0,'Résultats par mois'!H14/'Résultats par mois'!D14,0)</f>
        <v>0.59748427672955973</v>
      </c>
      <c r="E26" s="114">
        <f ca="1">IF('Résultats par mois'!E14&lt;&gt;0,'Résultats par mois'!I14/'Résultats par mois'!E14,0)</f>
        <v>0.50331125827814571</v>
      </c>
      <c r="F26" s="114">
        <f ca="1">IF(SUM('Résultats par mois'!C14:E14)&lt;&gt;0,SUM('Résultats par mois'!G14:I14)/SUM('Résultats par mois'!C14:E14),0)</f>
        <v>0.61673151750972766</v>
      </c>
      <c r="I26" t="str">
        <f>Calcul!B87</f>
        <v>Satisfaction</v>
      </c>
      <c r="J26"/>
      <c r="L26" t="s">
        <v>149</v>
      </c>
      <c r="M26" t="str">
        <f>C25</f>
        <v>junior</v>
      </c>
      <c r="N26" t="str">
        <f>D25</f>
        <v>senior</v>
      </c>
      <c r="O26" t="str">
        <f>E25</f>
        <v>premium</v>
      </c>
    </row>
    <row r="27" spans="2:15" s="1" customFormat="1" ht="24" customHeight="1" x14ac:dyDescent="0.3">
      <c r="B27" s="1" t="s">
        <v>180</v>
      </c>
      <c r="C27" s="63"/>
      <c r="D27" s="63"/>
      <c r="E27" s="63"/>
      <c r="F27" s="63"/>
      <c r="I27" t="s">
        <v>275</v>
      </c>
      <c r="J27">
        <f>Calcul!C89</f>
        <v>-5</v>
      </c>
      <c r="L27" t="str">
        <f>I27</f>
        <v>perte naturelle</v>
      </c>
      <c r="M27">
        <f>Calcul!C43</f>
        <v>-5</v>
      </c>
      <c r="N27">
        <f>Calcul!D43</f>
        <v>-5</v>
      </c>
      <c r="O27">
        <f>Calcul!E43</f>
        <v>-5</v>
      </c>
    </row>
    <row r="28" spans="2:15" s="1" customFormat="1" ht="24" customHeight="1" x14ac:dyDescent="0.3">
      <c r="B28" s="1" t="s">
        <v>186</v>
      </c>
      <c r="C28" s="115">
        <f ca="1">'Résultats par mois'!C14/(Constantes!$C$2/Constantes!$C$3)</f>
        <v>3.57</v>
      </c>
      <c r="D28" s="115">
        <f ca="1">'Résultats par mois'!D14/(Constantes!$C$2/Constantes!$C$3)</f>
        <v>2.7824999999999998</v>
      </c>
      <c r="E28" s="115">
        <f ca="1">'Résultats par mois'!E14/(Constantes!$C$2/Constantes!$C$3)</f>
        <v>2.6425000000000001</v>
      </c>
      <c r="F28" s="115">
        <f ca="1">AVERAGE(C28:E28)</f>
        <v>2.9983333333333331</v>
      </c>
      <c r="I28" t="s">
        <v>279</v>
      </c>
      <c r="J28">
        <f ca="1">Calcul!C90</f>
        <v>-1</v>
      </c>
      <c r="L28" t="s">
        <v>305</v>
      </c>
      <c r="M28">
        <f>Calcul!C45</f>
        <v>2</v>
      </c>
      <c r="N28">
        <f>Calcul!D45</f>
        <v>2</v>
      </c>
      <c r="O28">
        <f>Calcul!E45</f>
        <v>2</v>
      </c>
    </row>
    <row r="29" spans="2:15" s="1" customFormat="1" ht="24" customHeight="1" x14ac:dyDescent="0.3">
      <c r="B29" s="1" t="s">
        <v>180</v>
      </c>
      <c r="C29" s="63"/>
      <c r="D29" s="63"/>
      <c r="E29" s="63"/>
      <c r="F29" s="63"/>
      <c r="I29" t="s">
        <v>276</v>
      </c>
      <c r="J29">
        <f>Calcul!C91</f>
        <v>1.9262333065271369</v>
      </c>
      <c r="L29" t="s">
        <v>271</v>
      </c>
      <c r="M29">
        <f ca="1">Calcul!C46</f>
        <v>0</v>
      </c>
      <c r="N29">
        <f ca="1">Calcul!D46</f>
        <v>0</v>
      </c>
      <c r="O29">
        <f ca="1">Calcul!E46</f>
        <v>0</v>
      </c>
    </row>
    <row r="30" spans="2:15" s="1" customFormat="1" ht="24" customHeight="1" x14ac:dyDescent="0.3">
      <c r="B30" s="1" t="s">
        <v>183</v>
      </c>
      <c r="C30" s="113">
        <f ca="1">IF('Résultats par mois'!C14&lt;&gt;0,'Résultats par mois'!K14/'Résultats par mois'!C14,0)</f>
        <v>234.67152573529413</v>
      </c>
      <c r="D30" s="113">
        <f ca="1">IF('Résultats par mois'!D14&lt;&gt;0,'Résultats par mois'!L14/'Résultats par mois'!D14,0)</f>
        <v>332.18165283018863</v>
      </c>
      <c r="E30" s="113">
        <f ca="1">IF('Résultats par mois'!E14&lt;&gt;0,'Résultats par mois'!M14/'Résultats par mois'!E14,0)</f>
        <v>281.80928809602653</v>
      </c>
      <c r="F30" s="113">
        <f ca="1">IF(SUM('Résultats par mois'!C14:E14)&lt;&gt;0,SUM('Résultats par mois'!K14:M14)/SUM('Résultats par mois'!C14:E14),0)</f>
        <v>278.68302831225679</v>
      </c>
      <c r="I30" t="s">
        <v>277</v>
      </c>
      <c r="J30">
        <f>Calcul!C92</f>
        <v>1.5238626375794406</v>
      </c>
      <c r="L30" t="s">
        <v>306</v>
      </c>
      <c r="M30">
        <f>Calcul!C47</f>
        <v>0</v>
      </c>
      <c r="N30">
        <f>Calcul!D47</f>
        <v>0</v>
      </c>
      <c r="O30">
        <f>Calcul!E47</f>
        <v>0</v>
      </c>
    </row>
    <row r="31" spans="2:15" s="1" customFormat="1" ht="24" customHeight="1" x14ac:dyDescent="0.3">
      <c r="B31" s="1" t="s">
        <v>180</v>
      </c>
      <c r="C31" s="63"/>
      <c r="D31" s="63"/>
      <c r="E31" s="63"/>
      <c r="F31" s="63"/>
      <c r="I31" t="s">
        <v>278</v>
      </c>
      <c r="J31">
        <f>Calcul!C93</f>
        <v>3</v>
      </c>
      <c r="L31" t="s">
        <v>100</v>
      </c>
      <c r="M31">
        <f>Calcul!C49</f>
        <v>2</v>
      </c>
      <c r="N31">
        <f>Calcul!D49</f>
        <v>-1.6500000000000021</v>
      </c>
      <c r="O31">
        <f>Calcul!E49</f>
        <v>-17.960000000000008</v>
      </c>
    </row>
    <row r="32" spans="2:15" s="1" customFormat="1" ht="24" customHeight="1" x14ac:dyDescent="0.3">
      <c r="B32" s="1" t="s">
        <v>187</v>
      </c>
      <c r="C32" s="115">
        <f ca="1">'Résultats par mois'!G14/(Constantes!$C$2/Constantes!$C$3)</f>
        <v>2.5549999999999997</v>
      </c>
      <c r="D32" s="115">
        <f ca="1">'Résultats par mois'!H14/(Constantes!$C$2/Constantes!$C$3)</f>
        <v>1.6624999999999999</v>
      </c>
      <c r="E32" s="115">
        <f ca="1">'Résultats par mois'!I14/(Constantes!$C$2/Constantes!$C$3)</f>
        <v>1.3299999999999998</v>
      </c>
      <c r="F32" s="115">
        <f ca="1">AVERAGE(C32:E32)</f>
        <v>1.8491666666666664</v>
      </c>
      <c r="I32" t="s">
        <v>149</v>
      </c>
      <c r="J32">
        <f ca="1">Calcul!C94</f>
        <v>0.21900000000000119</v>
      </c>
      <c r="L32" t="s">
        <v>282</v>
      </c>
      <c r="M32">
        <f ca="1">SUM(M27:M31)</f>
        <v>-1</v>
      </c>
      <c r="N32">
        <f ca="1">SUM(N27:N31)</f>
        <v>-4.6500000000000021</v>
      </c>
      <c r="O32">
        <f ca="1">SUM(O27:O31)</f>
        <v>-20.960000000000008</v>
      </c>
    </row>
    <row r="33" spans="2:10" s="1" customFormat="1" ht="24" customHeight="1" x14ac:dyDescent="0.3">
      <c r="B33" s="1" t="s">
        <v>180</v>
      </c>
      <c r="C33" s="63"/>
      <c r="D33" s="63"/>
      <c r="E33" s="63"/>
      <c r="F33" s="63"/>
      <c r="I33" t="s">
        <v>280</v>
      </c>
      <c r="J33">
        <f>Calcul!C95</f>
        <v>-4.5833333333333339</v>
      </c>
    </row>
    <row r="34" spans="2:10" s="1" customFormat="1" ht="24" customHeight="1" x14ac:dyDescent="0.3">
      <c r="I34" t="s">
        <v>281</v>
      </c>
      <c r="J34">
        <f>Calcul!C97</f>
        <v>-3</v>
      </c>
    </row>
    <row r="35" spans="2:10" s="1" customFormat="1" ht="24" customHeight="1" x14ac:dyDescent="0.3">
      <c r="I35" t="s">
        <v>282</v>
      </c>
      <c r="J35">
        <f ca="1">SUM(J27:J34)</f>
        <v>-6.9142373892267557</v>
      </c>
    </row>
  </sheetData>
  <mergeCells count="8">
    <mergeCell ref="C16:E16"/>
    <mergeCell ref="G16:I16"/>
    <mergeCell ref="K16:M16"/>
    <mergeCell ref="P2:S2"/>
    <mergeCell ref="T2:W2"/>
    <mergeCell ref="C2:F2"/>
    <mergeCell ref="G2:J2"/>
    <mergeCell ref="K2:N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B1:AI38"/>
  <sheetViews>
    <sheetView workbookViewId="0">
      <selection activeCell="A7" sqref="A7"/>
    </sheetView>
  </sheetViews>
  <sheetFormatPr baseColWidth="10" defaultRowHeight="13.8" x14ac:dyDescent="0.25"/>
  <cols>
    <col min="1" max="2" width="11.5546875" style="32"/>
    <col min="3" max="3" width="19.88671875" style="32" bestFit="1" customWidth="1"/>
    <col min="4" max="8" width="10.109375" style="32" customWidth="1"/>
    <col min="9" max="16384" width="11.5546875" style="32"/>
  </cols>
  <sheetData>
    <row r="1" spans="2:35" ht="22.2" customHeight="1" x14ac:dyDescent="0.25">
      <c r="D1" s="782" t="str">
        <f>Constantes!C4</f>
        <v>junior</v>
      </c>
      <c r="E1" s="782"/>
      <c r="F1" s="782"/>
      <c r="G1" s="782"/>
      <c r="H1" s="782"/>
      <c r="I1" s="782" t="str">
        <f>Constantes!C5</f>
        <v>senior</v>
      </c>
      <c r="J1" s="782"/>
      <c r="K1" s="782"/>
      <c r="L1" s="782"/>
      <c r="M1" s="782"/>
      <c r="N1" s="782" t="str">
        <f>Constantes!C6</f>
        <v>premium</v>
      </c>
      <c r="O1" s="782"/>
      <c r="P1" s="782"/>
      <c r="Q1" s="782"/>
      <c r="R1" s="782"/>
      <c r="S1" s="223"/>
      <c r="T1" s="223"/>
    </row>
    <row r="2" spans="2:35" ht="28.2" thickBot="1" x14ac:dyDescent="0.3">
      <c r="D2" s="222" t="s">
        <v>310</v>
      </c>
      <c r="E2" s="222" t="s">
        <v>181</v>
      </c>
      <c r="F2" s="222" t="s">
        <v>269</v>
      </c>
      <c r="G2" s="222" t="s">
        <v>270</v>
      </c>
      <c r="H2" s="48" t="s">
        <v>274</v>
      </c>
      <c r="I2" s="222" t="s">
        <v>310</v>
      </c>
      <c r="J2" s="222" t="s">
        <v>181</v>
      </c>
      <c r="K2" s="222" t="s">
        <v>269</v>
      </c>
      <c r="L2" s="222" t="s">
        <v>270</v>
      </c>
      <c r="M2" s="48" t="s">
        <v>274</v>
      </c>
      <c r="N2" s="222" t="s">
        <v>310</v>
      </c>
      <c r="O2" s="222" t="s">
        <v>181</v>
      </c>
      <c r="P2" s="222" t="s">
        <v>269</v>
      </c>
      <c r="Q2" s="222" t="s">
        <v>270</v>
      </c>
      <c r="R2" s="48" t="s">
        <v>274</v>
      </c>
      <c r="S2" s="48"/>
      <c r="T2" s="48"/>
    </row>
    <row r="3" spans="2:35" ht="172.2" customHeight="1" x14ac:dyDescent="0.25">
      <c r="B3" s="12" t="str">
        <f>Calcul!A210</f>
        <v>Collecte</v>
      </c>
      <c r="C3" s="284" t="str">
        <f>Calcul!B210</f>
        <v>Court terme</v>
      </c>
      <c r="D3" s="826"/>
      <c r="E3" s="826"/>
      <c r="F3" s="826"/>
      <c r="G3" s="826"/>
      <c r="H3" s="827"/>
      <c r="I3" s="826"/>
      <c r="J3" s="826"/>
      <c r="K3" s="826"/>
      <c r="L3" s="826"/>
      <c r="M3" s="827"/>
      <c r="N3" s="826"/>
      <c r="O3" s="826"/>
      <c r="P3" s="826"/>
      <c r="Q3" s="826"/>
      <c r="R3" s="827"/>
      <c r="S3" s="95"/>
      <c r="T3" s="95"/>
      <c r="U3" s="135">
        <f>Calcul!C210</f>
        <v>0.15</v>
      </c>
      <c r="V3" s="283">
        <f ca="1">Calcul!C$203</f>
        <v>8.1999999999999962E-2</v>
      </c>
      <c r="W3" s="283">
        <f>Calcul!$C$204</f>
        <v>0</v>
      </c>
      <c r="X3" s="283">
        <f>Calcul!$C$205</f>
        <v>0</v>
      </c>
      <c r="Y3" s="283">
        <f ca="1">SUM(U3:X3)</f>
        <v>0.23199999999999996</v>
      </c>
      <c r="Z3" s="135">
        <f>Calcul!D210</f>
        <v>0.05</v>
      </c>
      <c r="AA3" s="283">
        <f ca="1">Calcul!D$203</f>
        <v>3.2499999999999751E-3</v>
      </c>
      <c r="AB3" s="283">
        <f>Calcul!$C$204</f>
        <v>0</v>
      </c>
      <c r="AC3" s="283">
        <f>Calcul!$C$205</f>
        <v>0</v>
      </c>
      <c r="AD3" s="283">
        <f ca="1">SUM(Z3:AC3)</f>
        <v>5.3249999999999978E-2</v>
      </c>
      <c r="AE3" s="135">
        <f>Calcul!E210</f>
        <v>0.05</v>
      </c>
      <c r="AF3" s="283">
        <f ca="1">Calcul!E$203</f>
        <v>1.4099999999999946E-2</v>
      </c>
      <c r="AG3" s="283">
        <f>Calcul!$C$204</f>
        <v>0</v>
      </c>
      <c r="AH3" s="283">
        <f>Calcul!$C$205</f>
        <v>0</v>
      </c>
      <c r="AI3" s="283">
        <f ca="1">SUM(AE3:AH3)</f>
        <v>6.4099999999999949E-2</v>
      </c>
    </row>
    <row r="4" spans="2:35" ht="81" customHeight="1" thickBot="1" x14ac:dyDescent="0.3">
      <c r="B4" s="15"/>
      <c r="C4" s="285" t="str">
        <f>Calcul!B211</f>
        <v>Moyen et Long terme</v>
      </c>
      <c r="D4" s="824"/>
      <c r="E4" s="824"/>
      <c r="F4" s="824"/>
      <c r="G4" s="824"/>
      <c r="H4" s="825"/>
      <c r="I4" s="824"/>
      <c r="J4" s="824"/>
      <c r="K4" s="824"/>
      <c r="L4" s="824"/>
      <c r="M4" s="825"/>
      <c r="N4" s="824"/>
      <c r="O4" s="824"/>
      <c r="P4" s="824"/>
      <c r="Q4" s="824"/>
      <c r="R4" s="825"/>
      <c r="S4" s="95"/>
      <c r="T4" s="95"/>
      <c r="U4" s="135">
        <f>Calcul!C211</f>
        <v>0</v>
      </c>
      <c r="V4" s="283">
        <f ca="1">Calcul!C$203</f>
        <v>8.1999999999999962E-2</v>
      </c>
      <c r="W4" s="283">
        <f>Calcul!$C$204</f>
        <v>0</v>
      </c>
      <c r="X4" s="283">
        <f>Calcul!$C$205</f>
        <v>0</v>
      </c>
      <c r="Y4" s="283">
        <f ca="1">SUM(U4:X4)</f>
        <v>8.1999999999999962E-2</v>
      </c>
      <c r="Z4" s="135">
        <f>Calcul!D211</f>
        <v>0.05</v>
      </c>
      <c r="AA4" s="283">
        <f ca="1">Calcul!D$203</f>
        <v>3.2499999999999751E-3</v>
      </c>
      <c r="AB4" s="283">
        <f>Calcul!$C$204</f>
        <v>0</v>
      </c>
      <c r="AC4" s="283">
        <f>Calcul!$C$205</f>
        <v>0</v>
      </c>
      <c r="AD4" s="283">
        <f t="shared" ref="AD4:AD12" ca="1" si="0">SUM(Z4:AC4)</f>
        <v>5.3249999999999978E-2</v>
      </c>
      <c r="AE4" s="135">
        <f>Calcul!E211</f>
        <v>0.05</v>
      </c>
      <c r="AF4" s="283">
        <f ca="1">Calcul!E$203</f>
        <v>1.4099999999999946E-2</v>
      </c>
      <c r="AG4" s="283">
        <f>Calcul!$C$204</f>
        <v>0</v>
      </c>
      <c r="AH4" s="283">
        <f>Calcul!$C$205</f>
        <v>0</v>
      </c>
      <c r="AI4" s="283">
        <f t="shared" ref="AI4:AI12" ca="1" si="1">SUM(AE4:AH4)</f>
        <v>6.4099999999999949E-2</v>
      </c>
    </row>
    <row r="5" spans="2:35" ht="81" customHeight="1" x14ac:dyDescent="0.25">
      <c r="B5" s="12" t="str">
        <f>Calcul!A212</f>
        <v>Crédit</v>
      </c>
      <c r="C5" s="284" t="str">
        <f>Calcul!B212</f>
        <v>Immo</v>
      </c>
      <c r="D5" s="826"/>
      <c r="E5" s="826"/>
      <c r="F5" s="826"/>
      <c r="G5" s="826"/>
      <c r="H5" s="827"/>
      <c r="I5" s="826"/>
      <c r="J5" s="826"/>
      <c r="K5" s="826"/>
      <c r="L5" s="826"/>
      <c r="M5" s="827"/>
      <c r="N5" s="826"/>
      <c r="O5" s="826"/>
      <c r="P5" s="826"/>
      <c r="Q5" s="826"/>
      <c r="R5" s="827"/>
      <c r="S5" s="95"/>
      <c r="T5" s="95"/>
      <c r="U5" s="135">
        <f>Calcul!C212</f>
        <v>0</v>
      </c>
      <c r="V5" s="283">
        <f ca="1">Calcul!C$203</f>
        <v>8.1999999999999962E-2</v>
      </c>
      <c r="W5" s="283">
        <f>Calcul!$C$204</f>
        <v>0</v>
      </c>
      <c r="X5" s="283">
        <f>Calcul!$C$205</f>
        <v>0</v>
      </c>
      <c r="Y5" s="283">
        <f ca="1">SUM(U5:X5)</f>
        <v>8.1999999999999962E-2</v>
      </c>
      <c r="Z5" s="135">
        <f>Calcul!D212</f>
        <v>0.4</v>
      </c>
      <c r="AA5" s="283">
        <f ca="1">Calcul!D$203</f>
        <v>3.2499999999999751E-3</v>
      </c>
      <c r="AB5" s="283">
        <f>Calcul!$C$204</f>
        <v>0</v>
      </c>
      <c r="AC5" s="283">
        <f>Calcul!$C$205</f>
        <v>0</v>
      </c>
      <c r="AD5" s="283">
        <f t="shared" ca="1" si="0"/>
        <v>0.40325</v>
      </c>
      <c r="AE5" s="135">
        <f>Calcul!E212</f>
        <v>0.4</v>
      </c>
      <c r="AF5" s="283">
        <f ca="1">Calcul!E$203</f>
        <v>1.4099999999999946E-2</v>
      </c>
      <c r="AG5" s="283">
        <f>Calcul!$C$204</f>
        <v>0</v>
      </c>
      <c r="AH5" s="283">
        <f>Calcul!$C$205</f>
        <v>0</v>
      </c>
      <c r="AI5" s="283">
        <f t="shared" ca="1" si="1"/>
        <v>0.41409999999999997</v>
      </c>
    </row>
    <row r="6" spans="2:35" ht="81" customHeight="1" x14ac:dyDescent="0.25">
      <c r="B6" s="17"/>
      <c r="C6" s="22" t="str">
        <f>Calcul!B213</f>
        <v>Conso</v>
      </c>
      <c r="D6" s="828"/>
      <c r="E6" s="828"/>
      <c r="F6" s="828"/>
      <c r="G6" s="828"/>
      <c r="H6" s="829"/>
      <c r="I6" s="828"/>
      <c r="J6" s="828"/>
      <c r="K6" s="828"/>
      <c r="L6" s="828"/>
      <c r="M6" s="829"/>
      <c r="N6" s="828"/>
      <c r="O6" s="828"/>
      <c r="P6" s="828"/>
      <c r="Q6" s="828"/>
      <c r="R6" s="829"/>
      <c r="S6" s="95"/>
      <c r="T6" s="95"/>
      <c r="U6" s="135">
        <f>Calcul!C213</f>
        <v>0.05</v>
      </c>
      <c r="V6" s="283">
        <f ca="1">Calcul!C$203</f>
        <v>8.1999999999999962E-2</v>
      </c>
      <c r="W6" s="283">
        <f>Calcul!$C$204</f>
        <v>0</v>
      </c>
      <c r="X6" s="283">
        <f>Calcul!$C$205</f>
        <v>0</v>
      </c>
      <c r="Y6" s="283">
        <f ca="1">SUM(U6:X6)</f>
        <v>0.13199999999999995</v>
      </c>
      <c r="Z6" s="135">
        <f>Calcul!D213</f>
        <v>0.05</v>
      </c>
      <c r="AA6" s="283">
        <f ca="1">Calcul!D$203</f>
        <v>3.2499999999999751E-3</v>
      </c>
      <c r="AB6" s="283">
        <f>Calcul!$C$204</f>
        <v>0</v>
      </c>
      <c r="AC6" s="283">
        <f>Calcul!$C$205</f>
        <v>0</v>
      </c>
      <c r="AD6" s="283">
        <f t="shared" ca="1" si="0"/>
        <v>5.3249999999999978E-2</v>
      </c>
      <c r="AE6" s="135">
        <f>Calcul!E213</f>
        <v>0.05</v>
      </c>
      <c r="AF6" s="283">
        <f ca="1">Calcul!E$203</f>
        <v>1.4099999999999946E-2</v>
      </c>
      <c r="AG6" s="283">
        <f>Calcul!$C$204</f>
        <v>0</v>
      </c>
      <c r="AH6" s="283">
        <f>Calcul!$C$205</f>
        <v>0</v>
      </c>
      <c r="AI6" s="283">
        <f t="shared" ca="1" si="1"/>
        <v>6.4099999999999949E-2</v>
      </c>
    </row>
    <row r="7" spans="2:35" ht="81" customHeight="1" thickBot="1" x14ac:dyDescent="0.3">
      <c r="B7" s="15"/>
      <c r="C7" s="285" t="str">
        <f>Calcul!B214</f>
        <v>Renouvelable</v>
      </c>
      <c r="D7" s="824"/>
      <c r="E7" s="824"/>
      <c r="F7" s="824"/>
      <c r="G7" s="824"/>
      <c r="H7" s="825"/>
      <c r="I7" s="824"/>
      <c r="J7" s="824"/>
      <c r="K7" s="824"/>
      <c r="L7" s="824"/>
      <c r="M7" s="825"/>
      <c r="N7" s="824"/>
      <c r="O7" s="824"/>
      <c r="P7" s="824"/>
      <c r="Q7" s="824"/>
      <c r="R7" s="825"/>
      <c r="S7" s="95"/>
      <c r="T7" s="95"/>
      <c r="U7" s="135">
        <f>Calcul!C214</f>
        <v>0</v>
      </c>
      <c r="V7" s="283">
        <f ca="1">Calcul!C$203</f>
        <v>8.1999999999999962E-2</v>
      </c>
      <c r="W7" s="283">
        <f>Calcul!$C$204</f>
        <v>0</v>
      </c>
      <c r="X7" s="283">
        <f>Calcul!$C$205</f>
        <v>0</v>
      </c>
      <c r="Y7" s="283">
        <f t="shared" ref="Y7:Y12" ca="1" si="2">SUM(U7:X7)</f>
        <v>8.1999999999999962E-2</v>
      </c>
      <c r="Z7" s="135">
        <f>Calcul!D214</f>
        <v>0.05</v>
      </c>
      <c r="AA7" s="283">
        <f ca="1">Calcul!D$203</f>
        <v>3.2499999999999751E-3</v>
      </c>
      <c r="AB7" s="283">
        <f>Calcul!$C$204</f>
        <v>0</v>
      </c>
      <c r="AC7" s="283">
        <f>Calcul!$C$205</f>
        <v>0</v>
      </c>
      <c r="AD7" s="283">
        <f t="shared" ca="1" si="0"/>
        <v>5.3249999999999978E-2</v>
      </c>
      <c r="AE7" s="135">
        <f>Calcul!E214</f>
        <v>0.05</v>
      </c>
      <c r="AF7" s="283">
        <f ca="1">Calcul!E$203</f>
        <v>1.4099999999999946E-2</v>
      </c>
      <c r="AG7" s="283">
        <f>Calcul!$C$204</f>
        <v>0</v>
      </c>
      <c r="AH7" s="283">
        <f>Calcul!$C$205</f>
        <v>0</v>
      </c>
      <c r="AI7" s="283">
        <f t="shared" ca="1" si="1"/>
        <v>6.4099999999999949E-2</v>
      </c>
    </row>
    <row r="8" spans="2:35" ht="81" customHeight="1" x14ac:dyDescent="0.25">
      <c r="B8" s="12" t="str">
        <f>Calcul!A215</f>
        <v>Assurance</v>
      </c>
      <c r="C8" s="284" t="str">
        <f>Calcul!B215</f>
        <v>IARD</v>
      </c>
      <c r="D8" s="826"/>
      <c r="E8" s="826"/>
      <c r="F8" s="826"/>
      <c r="G8" s="826"/>
      <c r="H8" s="827"/>
      <c r="I8" s="826"/>
      <c r="J8" s="826"/>
      <c r="K8" s="826"/>
      <c r="L8" s="826"/>
      <c r="M8" s="827"/>
      <c r="N8" s="826"/>
      <c r="O8" s="826"/>
      <c r="P8" s="826"/>
      <c r="Q8" s="826"/>
      <c r="R8" s="827"/>
      <c r="S8" s="95"/>
      <c r="T8" s="95"/>
      <c r="U8" s="135">
        <f>Calcul!C215</f>
        <v>0</v>
      </c>
      <c r="V8" s="283">
        <f ca="1">Calcul!C$203</f>
        <v>8.1999999999999962E-2</v>
      </c>
      <c r="W8" s="283">
        <f>Calcul!$C$204</f>
        <v>0</v>
      </c>
      <c r="X8" s="283">
        <f>Calcul!$C$205</f>
        <v>0</v>
      </c>
      <c r="Y8" s="283">
        <f t="shared" ca="1" si="2"/>
        <v>8.1999999999999962E-2</v>
      </c>
      <c r="Z8" s="135">
        <f>Calcul!D215</f>
        <v>0.3</v>
      </c>
      <c r="AA8" s="283">
        <f ca="1">Calcul!D$203</f>
        <v>3.2499999999999751E-3</v>
      </c>
      <c r="AB8" s="283">
        <f>Calcul!$C$204</f>
        <v>0</v>
      </c>
      <c r="AC8" s="283">
        <f>Calcul!$C$205</f>
        <v>0</v>
      </c>
      <c r="AD8" s="283">
        <f t="shared" ca="1" si="0"/>
        <v>0.30324999999999996</v>
      </c>
      <c r="AE8" s="135">
        <f>Calcul!E215</f>
        <v>0</v>
      </c>
      <c r="AF8" s="283">
        <f ca="1">Calcul!E$203</f>
        <v>1.4099999999999946E-2</v>
      </c>
      <c r="AG8" s="283">
        <f>Calcul!$C$204</f>
        <v>0</v>
      </c>
      <c r="AH8" s="283">
        <f>Calcul!$C$205</f>
        <v>0</v>
      </c>
      <c r="AI8" s="283">
        <f t="shared" ca="1" si="1"/>
        <v>1.4099999999999946E-2</v>
      </c>
    </row>
    <row r="9" spans="2:35" ht="81" customHeight="1" thickBot="1" x14ac:dyDescent="0.3">
      <c r="B9" s="15"/>
      <c r="C9" s="285" t="str">
        <f>Calcul!B216</f>
        <v>Prévoyance</v>
      </c>
      <c r="D9" s="824"/>
      <c r="E9" s="824"/>
      <c r="F9" s="824"/>
      <c r="G9" s="824"/>
      <c r="H9" s="825"/>
      <c r="I9" s="824"/>
      <c r="J9" s="824"/>
      <c r="K9" s="824"/>
      <c r="L9" s="824"/>
      <c r="M9" s="825"/>
      <c r="N9" s="824"/>
      <c r="O9" s="824"/>
      <c r="P9" s="824"/>
      <c r="Q9" s="824"/>
      <c r="R9" s="825"/>
      <c r="S9" s="95"/>
      <c r="T9" s="95"/>
      <c r="U9" s="135">
        <f>Calcul!C216</f>
        <v>0</v>
      </c>
      <c r="V9" s="283">
        <f ca="1">Calcul!C$203</f>
        <v>8.1999999999999962E-2</v>
      </c>
      <c r="W9" s="283">
        <f>Calcul!$C$204</f>
        <v>0</v>
      </c>
      <c r="X9" s="283">
        <f>Calcul!$C$205</f>
        <v>0</v>
      </c>
      <c r="Y9" s="283">
        <f t="shared" ca="1" si="2"/>
        <v>8.1999999999999962E-2</v>
      </c>
      <c r="Z9" s="135">
        <f>Calcul!D216</f>
        <v>0.05</v>
      </c>
      <c r="AA9" s="283">
        <f ca="1">Calcul!D$203</f>
        <v>3.2499999999999751E-3</v>
      </c>
      <c r="AB9" s="283">
        <f>Calcul!$C$204</f>
        <v>0</v>
      </c>
      <c r="AC9" s="283">
        <f>Calcul!$C$205</f>
        <v>0</v>
      </c>
      <c r="AD9" s="283">
        <f t="shared" ca="1" si="0"/>
        <v>5.3249999999999978E-2</v>
      </c>
      <c r="AE9" s="135">
        <f>Calcul!E216</f>
        <v>0.3</v>
      </c>
      <c r="AF9" s="283">
        <f ca="1">Calcul!E$203</f>
        <v>1.4099999999999946E-2</v>
      </c>
      <c r="AG9" s="283">
        <f>Calcul!$C$204</f>
        <v>0</v>
      </c>
      <c r="AH9" s="283">
        <f>Calcul!$C$205</f>
        <v>0</v>
      </c>
      <c r="AI9" s="283">
        <f t="shared" ca="1" si="1"/>
        <v>0.31409999999999993</v>
      </c>
    </row>
    <row r="10" spans="2:35" ht="81" customHeight="1" x14ac:dyDescent="0.25">
      <c r="B10" s="12" t="str">
        <f>Calcul!A217</f>
        <v>Services</v>
      </c>
      <c r="C10" s="284" t="str">
        <f>Calcul!B217</f>
        <v>Moyens de paiement</v>
      </c>
      <c r="D10" s="826"/>
      <c r="E10" s="826"/>
      <c r="F10" s="826"/>
      <c r="G10" s="826"/>
      <c r="H10" s="827"/>
      <c r="I10" s="826"/>
      <c r="J10" s="826"/>
      <c r="K10" s="826"/>
      <c r="L10" s="826"/>
      <c r="M10" s="827"/>
      <c r="N10" s="826"/>
      <c r="O10" s="826"/>
      <c r="P10" s="826"/>
      <c r="Q10" s="826"/>
      <c r="R10" s="827"/>
      <c r="S10" s="95"/>
      <c r="T10" s="95"/>
      <c r="U10" s="135">
        <f>Calcul!C217</f>
        <v>0.02</v>
      </c>
      <c r="V10" s="283">
        <f ca="1">Calcul!C$203</f>
        <v>8.1999999999999962E-2</v>
      </c>
      <c r="W10" s="283">
        <f>Calcul!$C$204</f>
        <v>0</v>
      </c>
      <c r="X10" s="283">
        <f>Calcul!$C$205</f>
        <v>0</v>
      </c>
      <c r="Y10" s="283">
        <f t="shared" ca="1" si="2"/>
        <v>0.10199999999999997</v>
      </c>
      <c r="Z10" s="135">
        <f>Calcul!D217</f>
        <v>0.02</v>
      </c>
      <c r="AA10" s="283">
        <f ca="1">Calcul!D$203</f>
        <v>3.2499999999999751E-3</v>
      </c>
      <c r="AB10" s="283">
        <f>Calcul!$C$204</f>
        <v>0</v>
      </c>
      <c r="AC10" s="283">
        <f>Calcul!$C$205</f>
        <v>0</v>
      </c>
      <c r="AD10" s="283">
        <f t="shared" ca="1" si="0"/>
        <v>2.3249999999999976E-2</v>
      </c>
      <c r="AE10" s="135">
        <f>Calcul!E217</f>
        <v>0.02</v>
      </c>
      <c r="AF10" s="283">
        <f ca="1">Calcul!E$203</f>
        <v>1.4099999999999946E-2</v>
      </c>
      <c r="AG10" s="283">
        <f>Calcul!$C$204</f>
        <v>0</v>
      </c>
      <c r="AH10" s="283">
        <f>Calcul!$C$205</f>
        <v>0</v>
      </c>
      <c r="AI10" s="283">
        <f t="shared" ca="1" si="1"/>
        <v>3.409999999999995E-2</v>
      </c>
    </row>
    <row r="11" spans="2:35" ht="81" customHeight="1" x14ac:dyDescent="0.25">
      <c r="B11" s="17"/>
      <c r="C11" s="22" t="str">
        <f>Calcul!B218</f>
        <v>Ouverture compte</v>
      </c>
      <c r="D11" s="828"/>
      <c r="E11" s="828"/>
      <c r="F11" s="828"/>
      <c r="G11" s="828"/>
      <c r="H11" s="829"/>
      <c r="I11" s="828"/>
      <c r="J11" s="828"/>
      <c r="K11" s="828"/>
      <c r="L11" s="828"/>
      <c r="M11" s="829"/>
      <c r="N11" s="828"/>
      <c r="O11" s="828"/>
      <c r="P11" s="828"/>
      <c r="Q11" s="828"/>
      <c r="R11" s="829"/>
      <c r="S11" s="95"/>
      <c r="T11" s="95"/>
      <c r="U11" s="135">
        <f>Calcul!C218</f>
        <v>0.02</v>
      </c>
      <c r="V11" s="283">
        <f ca="1">Calcul!C$203</f>
        <v>8.1999999999999962E-2</v>
      </c>
      <c r="W11" s="283">
        <f>Calcul!$C$204</f>
        <v>0</v>
      </c>
      <c r="X11" s="283">
        <f>Calcul!$C$205</f>
        <v>0</v>
      </c>
      <c r="Y11" s="283">
        <f t="shared" ca="1" si="2"/>
        <v>0.10199999999999997</v>
      </c>
      <c r="Z11" s="135">
        <f>Calcul!D218</f>
        <v>0.02</v>
      </c>
      <c r="AA11" s="283">
        <f ca="1">Calcul!D$203</f>
        <v>3.2499999999999751E-3</v>
      </c>
      <c r="AB11" s="283">
        <f>Calcul!$C$204</f>
        <v>0</v>
      </c>
      <c r="AC11" s="283">
        <f>Calcul!$C$205</f>
        <v>0</v>
      </c>
      <c r="AD11" s="283">
        <f t="shared" ca="1" si="0"/>
        <v>2.3249999999999976E-2</v>
      </c>
      <c r="AE11" s="135">
        <f>Calcul!E218</f>
        <v>0.02</v>
      </c>
      <c r="AF11" s="283">
        <f ca="1">Calcul!E$203</f>
        <v>1.4099999999999946E-2</v>
      </c>
      <c r="AG11" s="283">
        <f>Calcul!$C$204</f>
        <v>0</v>
      </c>
      <c r="AH11" s="283">
        <f>Calcul!$C$205</f>
        <v>0</v>
      </c>
      <c r="AI11" s="283">
        <f t="shared" ca="1" si="1"/>
        <v>3.409999999999995E-2</v>
      </c>
    </row>
    <row r="12" spans="2:35" ht="81" customHeight="1" thickBot="1" x14ac:dyDescent="0.3">
      <c r="B12" s="15"/>
      <c r="C12" s="285" t="str">
        <f>Calcul!B219</f>
        <v>Téléphonie</v>
      </c>
      <c r="D12" s="824"/>
      <c r="E12" s="824"/>
      <c r="F12" s="824"/>
      <c r="G12" s="824"/>
      <c r="H12" s="825"/>
      <c r="I12" s="824"/>
      <c r="J12" s="824"/>
      <c r="K12" s="824"/>
      <c r="L12" s="824"/>
      <c r="M12" s="825"/>
      <c r="N12" s="824"/>
      <c r="O12" s="824"/>
      <c r="P12" s="824"/>
      <c r="Q12" s="824"/>
      <c r="R12" s="825"/>
      <c r="S12" s="95"/>
      <c r="T12" s="95"/>
      <c r="U12" s="135">
        <f>Calcul!C219</f>
        <v>0</v>
      </c>
      <c r="V12" s="283">
        <f ca="1">Calcul!C$203</f>
        <v>8.1999999999999962E-2</v>
      </c>
      <c r="W12" s="283">
        <f>Calcul!$C$204</f>
        <v>0</v>
      </c>
      <c r="X12" s="283">
        <f>Calcul!$C$205</f>
        <v>0</v>
      </c>
      <c r="Y12" s="283">
        <f t="shared" ca="1" si="2"/>
        <v>8.1999999999999962E-2</v>
      </c>
      <c r="Z12" s="135">
        <f>Calcul!D219</f>
        <v>0</v>
      </c>
      <c r="AA12" s="283">
        <f ca="1">Calcul!D$203</f>
        <v>3.2499999999999751E-3</v>
      </c>
      <c r="AB12" s="283">
        <f>Calcul!$C$204</f>
        <v>0</v>
      </c>
      <c r="AC12" s="283">
        <f>Calcul!$C$205</f>
        <v>0</v>
      </c>
      <c r="AD12" s="283">
        <f t="shared" ca="1" si="0"/>
        <v>3.2499999999999751E-3</v>
      </c>
      <c r="AE12" s="135">
        <f>Calcul!E219</f>
        <v>0</v>
      </c>
      <c r="AF12" s="283">
        <f ca="1">Calcul!E$203</f>
        <v>1.4099999999999946E-2</v>
      </c>
      <c r="AG12" s="283">
        <f>Calcul!$C$204</f>
        <v>0</v>
      </c>
      <c r="AH12" s="283">
        <f>Calcul!$C$205</f>
        <v>0</v>
      </c>
      <c r="AI12" s="283">
        <f t="shared" ca="1" si="1"/>
        <v>1.4099999999999946E-2</v>
      </c>
    </row>
    <row r="13" spans="2:35" x14ac:dyDescent="0.25">
      <c r="B13" s="35"/>
      <c r="C13" s="1"/>
    </row>
    <row r="14" spans="2:35" x14ac:dyDescent="0.25">
      <c r="C14" s="1"/>
    </row>
    <row r="15" spans="2:35" x14ac:dyDescent="0.25">
      <c r="C15" s="1"/>
    </row>
    <row r="16" spans="2:35" x14ac:dyDescent="0.25">
      <c r="C16" s="1"/>
    </row>
    <row r="38" ht="90" customHeight="1" x14ac:dyDescent="0.25"/>
  </sheetData>
  <mergeCells count="33">
    <mergeCell ref="N12:R12"/>
    <mergeCell ref="N7:R7"/>
    <mergeCell ref="N8:R8"/>
    <mergeCell ref="N9:R9"/>
    <mergeCell ref="N10:R10"/>
    <mergeCell ref="N11:R11"/>
    <mergeCell ref="N1:R1"/>
    <mergeCell ref="N3:R3"/>
    <mergeCell ref="N4:R4"/>
    <mergeCell ref="N5:R5"/>
    <mergeCell ref="N6:R6"/>
    <mergeCell ref="I1:M1"/>
    <mergeCell ref="I3:M3"/>
    <mergeCell ref="I4:M4"/>
    <mergeCell ref="I5:M5"/>
    <mergeCell ref="I11:M11"/>
    <mergeCell ref="D3:H3"/>
    <mergeCell ref="D4:H4"/>
    <mergeCell ref="D5:H5"/>
    <mergeCell ref="D6:H6"/>
    <mergeCell ref="D1:H1"/>
    <mergeCell ref="D9:H9"/>
    <mergeCell ref="D10:H10"/>
    <mergeCell ref="D11:H11"/>
    <mergeCell ref="D12:H12"/>
    <mergeCell ref="I6:M6"/>
    <mergeCell ref="I7:M7"/>
    <mergeCell ref="I8:M8"/>
    <mergeCell ref="I9:M9"/>
    <mergeCell ref="I10:M10"/>
    <mergeCell ref="D7:H7"/>
    <mergeCell ref="D8:H8"/>
    <mergeCell ref="I12:M12"/>
  </mergeCells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type="column" displayEmptyCellsAs="gap" high="1" low="1">
          <x14:colorSeries rgb="FFC6EFCE"/>
          <x14:colorNegative rgb="FFFFC7CE"/>
          <x14:colorAxis rgb="FF000000"/>
          <x14:colorMarkers rgb="FF8CADD6"/>
          <x14:colorFirst rgb="FFFFDC47"/>
          <x14:colorLast rgb="FFFFEB9C"/>
          <x14:colorHigh rgb="FF60D276"/>
          <x14:colorLow rgb="FFFF5367"/>
          <x14:sparklines>
            <x14:sparkline>
              <xm:f>Graphiques!Z12:AD12</xm:f>
              <xm:sqref>I12</xm:sqref>
            </x14:sparkline>
          </x14:sparklines>
        </x14:sparklineGroup>
        <x14:sparklineGroup manualMax="0" manualMin="0" type="column" displayEmptyCellsAs="gap" high="1" low="1">
          <x14:colorSeries rgb="FFC6EFCE"/>
          <x14:colorNegative rgb="FFFFC7CE"/>
          <x14:colorAxis rgb="FF000000"/>
          <x14:colorMarkers rgb="FF8CADD6"/>
          <x14:colorFirst rgb="FFFFDC47"/>
          <x14:colorLast rgb="FFFFEB9C"/>
          <x14:colorHigh rgb="FF60D276"/>
          <x14:colorLow rgb="FFFF5367"/>
          <x14:sparklines>
            <x14:sparkline>
              <xm:f>Graphiques!AE11:AI11</xm:f>
              <xm:sqref>N11</xm:sqref>
            </x14:sparkline>
          </x14:sparklines>
        </x14:sparklineGroup>
        <x14:sparklineGroup manualMax="0" manualMin="0" type="column" displayEmptyCellsAs="gap" high="1" low="1">
          <x14:colorSeries rgb="FFC6EFCE"/>
          <x14:colorNegative rgb="FFFFC7CE"/>
          <x14:colorAxis rgb="FF000000"/>
          <x14:colorMarkers rgb="FF8CADD6"/>
          <x14:colorFirst rgb="FFFFDC47"/>
          <x14:colorLast rgb="FFFFEB9C"/>
          <x14:colorHigh rgb="FF60D276"/>
          <x14:colorLow rgb="FFFF5367"/>
          <x14:sparklines>
            <x14:sparkline>
              <xm:f>Graphiques!Z11:AD11</xm:f>
              <xm:sqref>I11</xm:sqref>
            </x14:sparkline>
          </x14:sparklines>
        </x14:sparklineGroup>
        <x14:sparklineGroup manualMax="0" manualMin="0" type="column" displayEmptyCellsAs="gap" high="1" low="1">
          <x14:colorSeries rgb="FFC6EFCE"/>
          <x14:colorNegative rgb="FFFFC7CE"/>
          <x14:colorAxis rgb="FF000000"/>
          <x14:colorMarkers rgb="FF8CADD6"/>
          <x14:colorFirst rgb="FFFFDC47"/>
          <x14:colorLast rgb="FFFFEB9C"/>
          <x14:colorHigh rgb="FF60D276"/>
          <x14:colorLow rgb="FFFF5367"/>
          <x14:sparklines>
            <x14:sparkline>
              <xm:f>Graphiques!AE10:AI10</xm:f>
              <xm:sqref>N10</xm:sqref>
            </x14:sparkline>
          </x14:sparklines>
        </x14:sparklineGroup>
        <x14:sparklineGroup manualMax="0" manualMin="0" type="column" displayEmptyCellsAs="gap" high="1" low="1">
          <x14:colorSeries rgb="FFC6EFCE"/>
          <x14:colorNegative rgb="FFFFC7CE"/>
          <x14:colorAxis rgb="FF000000"/>
          <x14:colorMarkers rgb="FF8CADD6"/>
          <x14:colorFirst rgb="FFFFDC47"/>
          <x14:colorLast rgb="FFFFEB9C"/>
          <x14:colorHigh rgb="FF60D276"/>
          <x14:colorLow rgb="FFFF5367"/>
          <x14:sparklines>
            <x14:sparkline>
              <xm:f>Graphiques!Z10:AD10</xm:f>
              <xm:sqref>I10</xm:sqref>
            </x14:sparkline>
          </x14:sparklines>
        </x14:sparklineGroup>
        <x14:sparklineGroup manualMax="0" manualMin="0" type="column" displayEmptyCellsAs="gap" high="1" low="1">
          <x14:colorSeries rgb="FFC6EFCE"/>
          <x14:colorNegative rgb="FFFFC7CE"/>
          <x14:colorAxis rgb="FF000000"/>
          <x14:colorMarkers rgb="FF8CADD6"/>
          <x14:colorFirst rgb="FFFFDC47"/>
          <x14:colorLast rgb="FFFFEB9C"/>
          <x14:colorHigh rgb="FF60D276"/>
          <x14:colorLow rgb="FFFF5367"/>
          <x14:sparklines>
            <x14:sparkline>
              <xm:f>Graphiques!AE9:AI9</xm:f>
              <xm:sqref>N9</xm:sqref>
            </x14:sparkline>
          </x14:sparklines>
        </x14:sparklineGroup>
        <x14:sparklineGroup manualMax="0" manualMin="0" type="column" displayEmptyCellsAs="gap" high="1" low="1">
          <x14:colorSeries rgb="FFC6EFCE"/>
          <x14:colorNegative rgb="FFFFC7CE"/>
          <x14:colorAxis rgb="FF000000"/>
          <x14:colorMarkers rgb="FF8CADD6"/>
          <x14:colorFirst rgb="FFFFDC47"/>
          <x14:colorLast rgb="FFFFEB9C"/>
          <x14:colorHigh rgb="FF60D276"/>
          <x14:colorLow rgb="FFFF5367"/>
          <x14:sparklines>
            <x14:sparkline>
              <xm:f>Graphiques!Z9:AD9</xm:f>
              <xm:sqref>I9</xm:sqref>
            </x14:sparkline>
          </x14:sparklines>
        </x14:sparklineGroup>
        <x14:sparklineGroup manualMax="0" manualMin="0" type="column" displayEmptyCellsAs="gap" high="1" low="1">
          <x14:colorSeries rgb="FFC6EFCE"/>
          <x14:colorNegative rgb="FFFFC7CE"/>
          <x14:colorAxis rgb="FF000000"/>
          <x14:colorMarkers rgb="FF8CADD6"/>
          <x14:colorFirst rgb="FFFFDC47"/>
          <x14:colorLast rgb="FFFFEB9C"/>
          <x14:colorHigh rgb="FF60D276"/>
          <x14:colorLow rgb="FFFF5367"/>
          <x14:sparklines>
            <x14:sparkline>
              <xm:f>Graphiques!AE8:AI8</xm:f>
              <xm:sqref>N8</xm:sqref>
            </x14:sparkline>
          </x14:sparklines>
        </x14:sparklineGroup>
        <x14:sparklineGroup manualMax="0" manualMin="0" type="column" displayEmptyCellsAs="gap" high="1" low="1">
          <x14:colorSeries rgb="FFC6EFCE"/>
          <x14:colorNegative rgb="FFFFC7CE"/>
          <x14:colorAxis rgb="FF000000"/>
          <x14:colorMarkers rgb="FF8CADD6"/>
          <x14:colorFirst rgb="FFFFDC47"/>
          <x14:colorLast rgb="FFFFEB9C"/>
          <x14:colorHigh rgb="FF60D276"/>
          <x14:colorLow rgb="FFFF5367"/>
          <x14:sparklines>
            <x14:sparkline>
              <xm:f>Graphiques!Z8:AD8</xm:f>
              <xm:sqref>I8</xm:sqref>
            </x14:sparkline>
          </x14:sparklines>
        </x14:sparklineGroup>
        <x14:sparklineGroup manualMax="0" manualMin="0" type="column" displayEmptyCellsAs="gap" high="1" low="1">
          <x14:colorSeries rgb="FFC6EFCE"/>
          <x14:colorNegative rgb="FFFFC7CE"/>
          <x14:colorAxis rgb="FF000000"/>
          <x14:colorMarkers rgb="FF8CADD6"/>
          <x14:colorFirst rgb="FFFFDC47"/>
          <x14:colorLast rgb="FFFFEB9C"/>
          <x14:colorHigh rgb="FF60D276"/>
          <x14:colorLow rgb="FFFF5367"/>
          <x14:sparklines>
            <x14:sparkline>
              <xm:f>Graphiques!AE7:AI7</xm:f>
              <xm:sqref>N7</xm:sqref>
            </x14:sparkline>
          </x14:sparklines>
        </x14:sparklineGroup>
        <x14:sparklineGroup manualMax="0" manualMin="0" type="column" displayEmptyCellsAs="gap" high="1" low="1">
          <x14:colorSeries rgb="FFC6EFCE"/>
          <x14:colorNegative rgb="FFFFC7CE"/>
          <x14:colorAxis rgb="FF000000"/>
          <x14:colorMarkers rgb="FF8CADD6"/>
          <x14:colorFirst rgb="FFFFDC47"/>
          <x14:colorLast rgb="FFFFEB9C"/>
          <x14:colorHigh rgb="FF60D276"/>
          <x14:colorLow rgb="FFFF5367"/>
          <x14:sparklines>
            <x14:sparkline>
              <xm:f>Graphiques!Z7:AD7</xm:f>
              <xm:sqref>I7</xm:sqref>
            </x14:sparkline>
          </x14:sparklines>
        </x14:sparklineGroup>
        <x14:sparklineGroup manualMax="0" manualMin="0" type="column" displayEmptyCellsAs="gap" high="1" low="1">
          <x14:colorSeries rgb="FFC6EFCE"/>
          <x14:colorNegative rgb="FFFFC7CE"/>
          <x14:colorAxis rgb="FF000000"/>
          <x14:colorMarkers rgb="FF8CADD6"/>
          <x14:colorFirst rgb="FFFFDC47"/>
          <x14:colorLast rgb="FFFFEB9C"/>
          <x14:colorHigh rgb="FF60D276"/>
          <x14:colorLow rgb="FFFF5367"/>
          <x14:sparklines>
            <x14:sparkline>
              <xm:f>Graphiques!AE6:AI6</xm:f>
              <xm:sqref>N6</xm:sqref>
            </x14:sparkline>
          </x14:sparklines>
        </x14:sparklineGroup>
        <x14:sparklineGroup manualMax="0" manualMin="0" type="column" displayEmptyCellsAs="gap" high="1" low="1">
          <x14:colorSeries rgb="FFC6EFCE"/>
          <x14:colorNegative rgb="FFFFC7CE"/>
          <x14:colorAxis rgb="FF000000"/>
          <x14:colorMarkers rgb="FF8CADD6"/>
          <x14:colorFirst rgb="FFFFDC47"/>
          <x14:colorLast rgb="FFFFEB9C"/>
          <x14:colorHigh rgb="FF60D276"/>
          <x14:colorLow rgb="FFFF5367"/>
          <x14:sparklines>
            <x14:sparkline>
              <xm:f>Graphiques!Z6:AD6</xm:f>
              <xm:sqref>I6</xm:sqref>
            </x14:sparkline>
          </x14:sparklines>
        </x14:sparklineGroup>
        <x14:sparklineGroup manualMax="0" manualMin="0" type="column" displayEmptyCellsAs="gap" high="1" low="1">
          <x14:colorSeries rgb="FFC6EFCE"/>
          <x14:colorNegative rgb="FFFFC7CE"/>
          <x14:colorAxis rgb="FF000000"/>
          <x14:colorMarkers rgb="FF8CADD6"/>
          <x14:colorFirst rgb="FFFFDC47"/>
          <x14:colorLast rgb="FFFFEB9C"/>
          <x14:colorHigh rgb="FF60D276"/>
          <x14:colorLow rgb="FFFF5367"/>
          <x14:sparklines>
            <x14:sparkline>
              <xm:f>Graphiques!AE5:AI5</xm:f>
              <xm:sqref>N5</xm:sqref>
            </x14:sparkline>
          </x14:sparklines>
        </x14:sparklineGroup>
        <x14:sparklineGroup manualMax="0" manualMin="0" type="column" displayEmptyCellsAs="gap" high="1" low="1">
          <x14:colorSeries rgb="FFC6EFCE"/>
          <x14:colorNegative rgb="FFFFC7CE"/>
          <x14:colorAxis rgb="FF000000"/>
          <x14:colorMarkers rgb="FF8CADD6"/>
          <x14:colorFirst rgb="FFFFDC47"/>
          <x14:colorLast rgb="FFFFEB9C"/>
          <x14:colorHigh rgb="FF60D276"/>
          <x14:colorLow rgb="FFFF5367"/>
          <x14:sparklines>
            <x14:sparkline>
              <xm:f>Graphiques!Z5:AD5</xm:f>
              <xm:sqref>I5</xm:sqref>
            </x14:sparkline>
          </x14:sparklines>
        </x14:sparklineGroup>
        <x14:sparklineGroup manualMax="0" manualMin="0" type="column" displayEmptyCellsAs="gap" high="1" low="1">
          <x14:colorSeries rgb="FFC6EFCE"/>
          <x14:colorNegative rgb="FFFFC7CE"/>
          <x14:colorAxis rgb="FF000000"/>
          <x14:colorMarkers rgb="FF8CADD6"/>
          <x14:colorFirst rgb="FFFFDC47"/>
          <x14:colorLast rgb="FFFFEB9C"/>
          <x14:colorHigh rgb="FF60D276"/>
          <x14:colorLow rgb="FFFF5367"/>
          <x14:sparklines>
            <x14:sparkline>
              <xm:f>Graphiques!AE12:AI12</xm:f>
              <xm:sqref>N12</xm:sqref>
            </x14:sparkline>
          </x14:sparklines>
        </x14:sparklineGroup>
      </x14:sparklineGroup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/>
  <dimension ref="A1:AR91"/>
  <sheetViews>
    <sheetView showGridLines="0" showZeros="0" zoomScaleNormal="100" workbookViewId="0">
      <selection activeCell="G5" sqref="G5"/>
    </sheetView>
  </sheetViews>
  <sheetFormatPr baseColWidth="10" defaultRowHeight="13.8" x14ac:dyDescent="0.25"/>
  <cols>
    <col min="1" max="1" width="3.5546875" style="32" customWidth="1"/>
    <col min="2" max="2" width="11.21875" style="32" customWidth="1"/>
    <col min="3" max="3" width="21" style="32" customWidth="1"/>
    <col min="4" max="7" width="9.88671875" style="32" customWidth="1"/>
    <col min="8" max="10" width="11.5546875" style="32"/>
    <col min="11" max="11" width="4" style="32" customWidth="1"/>
    <col min="12" max="12" width="3.5546875" style="32" customWidth="1"/>
    <col min="13" max="13" width="11.21875" style="32" customWidth="1"/>
    <col min="14" max="14" width="21" style="32" customWidth="1"/>
    <col min="15" max="18" width="9.88671875" style="32" customWidth="1"/>
    <col min="19" max="21" width="11.5546875" style="32"/>
    <col min="22" max="22" width="3.77734375" style="32" customWidth="1"/>
    <col min="23" max="23" width="3.5546875" style="32" customWidth="1"/>
    <col min="24" max="24" width="11.21875" style="32" customWidth="1"/>
    <col min="25" max="25" width="21" style="32" customWidth="1"/>
    <col min="26" max="29" width="9.88671875" style="32" customWidth="1"/>
    <col min="30" max="32" width="11.5546875" style="32"/>
    <col min="33" max="33" width="5.109375" style="32" customWidth="1"/>
    <col min="34" max="34" width="3.5546875" style="32" customWidth="1"/>
    <col min="35" max="35" width="11.21875" style="32" customWidth="1"/>
    <col min="36" max="36" width="21" style="32" customWidth="1"/>
    <col min="37" max="40" width="9.88671875" style="32" customWidth="1"/>
    <col min="41" max="43" width="11.5546875" style="32"/>
    <col min="44" max="44" width="3.88671875" style="32" customWidth="1"/>
    <col min="45" max="16384" width="11.5546875" style="32"/>
  </cols>
  <sheetData>
    <row r="1" spans="1:44" ht="28.2" customHeight="1" thickBot="1" x14ac:dyDescent="0.3">
      <c r="A1" s="811" t="s">
        <v>209</v>
      </c>
      <c r="B1" s="812"/>
      <c r="C1" s="812"/>
      <c r="D1" s="812"/>
      <c r="E1" s="812"/>
      <c r="F1" s="812"/>
      <c r="G1" s="812"/>
      <c r="H1" s="812"/>
      <c r="I1" s="78" t="s">
        <v>210</v>
      </c>
      <c r="J1" s="423">
        <v>1</v>
      </c>
      <c r="K1" s="726"/>
      <c r="L1" s="811" t="s">
        <v>209</v>
      </c>
      <c r="M1" s="812"/>
      <c r="N1" s="812"/>
      <c r="O1" s="812"/>
      <c r="P1" s="812"/>
      <c r="Q1" s="812"/>
      <c r="R1" s="812"/>
      <c r="S1" s="812"/>
      <c r="T1" s="78" t="s">
        <v>210</v>
      </c>
      <c r="U1" s="424">
        <v>2</v>
      </c>
      <c r="V1" s="726"/>
      <c r="W1" s="811" t="s">
        <v>209</v>
      </c>
      <c r="X1" s="812"/>
      <c r="Y1" s="812"/>
      <c r="Z1" s="812"/>
      <c r="AA1" s="812"/>
      <c r="AB1" s="812"/>
      <c r="AC1" s="812"/>
      <c r="AD1" s="812"/>
      <c r="AE1" s="78" t="s">
        <v>210</v>
      </c>
      <c r="AF1" s="426">
        <v>3</v>
      </c>
      <c r="AG1" s="726"/>
      <c r="AH1" s="811" t="s">
        <v>209</v>
      </c>
      <c r="AI1" s="812"/>
      <c r="AJ1" s="812"/>
      <c r="AK1" s="812"/>
      <c r="AL1" s="812"/>
      <c r="AM1" s="812"/>
      <c r="AN1" s="812"/>
      <c r="AO1" s="812"/>
      <c r="AP1" s="78" t="s">
        <v>210</v>
      </c>
      <c r="AQ1" s="425">
        <v>4</v>
      </c>
      <c r="AR1" s="727"/>
    </row>
    <row r="2" spans="1:44" ht="15.6" customHeight="1" thickBot="1" x14ac:dyDescent="0.3">
      <c r="A2" s="79"/>
      <c r="B2" s="80"/>
      <c r="C2" s="80"/>
      <c r="E2" s="81" t="s">
        <v>28</v>
      </c>
      <c r="F2" s="81" t="s">
        <v>29</v>
      </c>
      <c r="G2" s="81" t="s">
        <v>30</v>
      </c>
      <c r="H2" s="81" t="s">
        <v>27</v>
      </c>
      <c r="I2" s="80"/>
      <c r="J2" s="80"/>
      <c r="K2" s="82"/>
      <c r="L2" s="79"/>
      <c r="M2" s="80"/>
      <c r="N2" s="80"/>
      <c r="P2" s="81" t="s">
        <v>28</v>
      </c>
      <c r="Q2" s="81" t="s">
        <v>29</v>
      </c>
      <c r="R2" s="81" t="s">
        <v>30</v>
      </c>
      <c r="S2" s="81" t="s">
        <v>27</v>
      </c>
      <c r="T2" s="80"/>
      <c r="U2" s="80"/>
      <c r="V2" s="82"/>
      <c r="W2" s="79"/>
      <c r="X2" s="80"/>
      <c r="Y2" s="80"/>
      <c r="AA2" s="81" t="s">
        <v>28</v>
      </c>
      <c r="AB2" s="81" t="s">
        <v>29</v>
      </c>
      <c r="AC2" s="81" t="s">
        <v>30</v>
      </c>
      <c r="AD2" s="81" t="s">
        <v>27</v>
      </c>
      <c r="AE2" s="80"/>
      <c r="AF2" s="80"/>
      <c r="AG2" s="82"/>
      <c r="AH2" s="79"/>
      <c r="AI2" s="80"/>
      <c r="AJ2" s="80"/>
      <c r="AK2" s="80"/>
      <c r="AL2" s="81" t="s">
        <v>28</v>
      </c>
      <c r="AM2" s="81" t="s">
        <v>29</v>
      </c>
      <c r="AN2" s="81" t="s">
        <v>30</v>
      </c>
      <c r="AO2" s="81" t="s">
        <v>27</v>
      </c>
      <c r="AP2" s="80"/>
      <c r="AQ2" s="80"/>
      <c r="AR2" s="82"/>
    </row>
    <row r="3" spans="1:44" ht="22.8" customHeight="1" thickBot="1" x14ac:dyDescent="0.3">
      <c r="A3" s="83"/>
      <c r="B3" s="84" t="s">
        <v>211</v>
      </c>
      <c r="C3" s="85"/>
      <c r="E3" s="403"/>
      <c r="F3" s="404"/>
      <c r="G3" s="404"/>
      <c r="H3" s="405"/>
      <c r="J3" s="96" t="s">
        <v>212</v>
      </c>
      <c r="K3" s="86"/>
      <c r="L3" s="83"/>
      <c r="M3" s="84" t="s">
        <v>211</v>
      </c>
      <c r="N3" s="85"/>
      <c r="P3" s="366"/>
      <c r="Q3" s="367"/>
      <c r="R3" s="367"/>
      <c r="S3" s="368"/>
      <c r="U3" s="96" t="s">
        <v>212</v>
      </c>
      <c r="V3" s="86"/>
      <c r="W3" s="83"/>
      <c r="X3" s="84" t="s">
        <v>211</v>
      </c>
      <c r="Y3" s="85"/>
      <c r="AA3" s="363"/>
      <c r="AB3" s="364"/>
      <c r="AC3" s="364"/>
      <c r="AD3" s="365"/>
      <c r="AF3" s="96" t="s">
        <v>212</v>
      </c>
      <c r="AG3" s="86"/>
      <c r="AH3" s="83"/>
      <c r="AI3" s="84" t="s">
        <v>211</v>
      </c>
      <c r="AJ3" s="85"/>
      <c r="AK3" s="85"/>
      <c r="AL3" s="171"/>
      <c r="AM3" s="172"/>
      <c r="AN3" s="172"/>
      <c r="AO3" s="173"/>
      <c r="AP3" s="85"/>
      <c r="AQ3" s="96" t="s">
        <v>212</v>
      </c>
      <c r="AR3" s="86"/>
    </row>
    <row r="4" spans="1:44" ht="15" customHeight="1" x14ac:dyDescent="0.25">
      <c r="A4" s="83"/>
      <c r="B4" s="87"/>
      <c r="C4" s="85"/>
      <c r="D4" s="85"/>
      <c r="E4" s="181">
        <f>IF(E3="X",1,0)</f>
        <v>0</v>
      </c>
      <c r="F4" s="181">
        <f>IF(F3="X",2,0)</f>
        <v>0</v>
      </c>
      <c r="G4" s="181">
        <f>IF(G3="X",3,0)</f>
        <v>0</v>
      </c>
      <c r="H4" s="181">
        <f>IF(H3="X",4,0)</f>
        <v>0</v>
      </c>
      <c r="I4" s="182">
        <f>SUM(E4:H4)</f>
        <v>0</v>
      </c>
      <c r="J4" s="85"/>
      <c r="K4" s="88"/>
      <c r="L4" s="83"/>
      <c r="M4" s="87"/>
      <c r="N4" s="85"/>
      <c r="O4" s="85"/>
      <c r="P4" s="181">
        <f>IF(P3="X",1,0)</f>
        <v>0</v>
      </c>
      <c r="Q4" s="181">
        <f>IF(Q3="X",2,0)</f>
        <v>0</v>
      </c>
      <c r="R4" s="181">
        <f>IF(R3="X",3,0)</f>
        <v>0</v>
      </c>
      <c r="S4" s="181">
        <f>IF(S3="X",4,0)</f>
        <v>0</v>
      </c>
      <c r="T4" s="182">
        <f>SUM(P4:S4)</f>
        <v>0</v>
      </c>
      <c r="U4" s="85"/>
      <c r="V4" s="88"/>
      <c r="W4" s="83"/>
      <c r="X4" s="87"/>
      <c r="Y4" s="85"/>
      <c r="Z4" s="85"/>
      <c r="AA4" s="181">
        <f>IF(AA3="X",1,0)</f>
        <v>0</v>
      </c>
      <c r="AB4" s="181">
        <f>IF(AB3="X",2,0)</f>
        <v>0</v>
      </c>
      <c r="AC4" s="181">
        <f>IF(AC3="X",3,0)</f>
        <v>0</v>
      </c>
      <c r="AD4" s="181">
        <f>IF(AD3="X",4,0)</f>
        <v>0</v>
      </c>
      <c r="AE4" s="182">
        <f>SUM(AA4:AD4)</f>
        <v>0</v>
      </c>
      <c r="AF4" s="85"/>
      <c r="AG4" s="88"/>
      <c r="AH4" s="83"/>
      <c r="AI4" s="87"/>
      <c r="AJ4" s="85"/>
      <c r="AK4" s="85"/>
      <c r="AL4" s="181">
        <f>IF(AL3="X",1,0)</f>
        <v>0</v>
      </c>
      <c r="AM4" s="181">
        <f>IF(AM3="X",2,0)</f>
        <v>0</v>
      </c>
      <c r="AN4" s="181">
        <f>IF(AN3="X",3,0)</f>
        <v>0</v>
      </c>
      <c r="AO4" s="181">
        <f>IF(AO3="X",4,0)</f>
        <v>0</v>
      </c>
      <c r="AP4" s="182">
        <f>SUM(AL4:AO4)</f>
        <v>0</v>
      </c>
      <c r="AQ4" s="85"/>
      <c r="AR4" s="88"/>
    </row>
    <row r="5" spans="1:44" ht="22.8" customHeight="1" x14ac:dyDescent="0.25">
      <c r="A5" s="83"/>
      <c r="B5" s="89"/>
      <c r="C5" s="90"/>
      <c r="D5" s="725"/>
      <c r="E5" s="725"/>
      <c r="F5" s="725"/>
      <c r="G5" s="85"/>
      <c r="H5" s="85"/>
      <c r="I5" s="85"/>
      <c r="J5" s="85"/>
      <c r="K5" s="88"/>
      <c r="L5" s="83"/>
      <c r="M5" s="89"/>
      <c r="N5" s="90"/>
      <c r="O5" s="725"/>
      <c r="P5" s="725"/>
      <c r="Q5" s="725"/>
      <c r="R5" s="85"/>
      <c r="S5" s="85"/>
      <c r="T5" s="85"/>
      <c r="U5" s="85"/>
      <c r="V5" s="88"/>
      <c r="W5" s="83"/>
      <c r="X5" s="89"/>
      <c r="Y5" s="90"/>
      <c r="Z5" s="725"/>
      <c r="AA5" s="725"/>
      <c r="AB5" s="725"/>
      <c r="AC5" s="85"/>
      <c r="AD5" s="85"/>
      <c r="AE5" s="85"/>
      <c r="AF5" s="85"/>
      <c r="AG5" s="88"/>
      <c r="AH5" s="83"/>
      <c r="AI5" s="89"/>
      <c r="AJ5" s="90"/>
      <c r="AK5" s="725"/>
      <c r="AL5" s="725"/>
      <c r="AM5" s="725"/>
      <c r="AN5" s="85"/>
      <c r="AO5" s="85"/>
      <c r="AP5" s="85"/>
      <c r="AQ5" s="85"/>
      <c r="AR5" s="88"/>
    </row>
    <row r="6" spans="1:44" ht="22.8" customHeight="1" thickBot="1" x14ac:dyDescent="0.3">
      <c r="A6" s="83"/>
      <c r="B6" s="84" t="s">
        <v>398</v>
      </c>
      <c r="D6" s="85"/>
      <c r="E6" s="85"/>
      <c r="F6" s="85"/>
      <c r="G6" s="746" t="s">
        <v>401</v>
      </c>
      <c r="J6" s="85"/>
      <c r="K6" s="88"/>
      <c r="L6" s="83"/>
      <c r="M6" s="84" t="s">
        <v>398</v>
      </c>
      <c r="O6" s="85"/>
      <c r="P6" s="85"/>
      <c r="Q6" s="85"/>
      <c r="R6" s="746" t="s">
        <v>401</v>
      </c>
      <c r="U6" s="85"/>
      <c r="V6" s="88"/>
      <c r="W6" s="83"/>
      <c r="X6" s="84" t="s">
        <v>398</v>
      </c>
      <c r="Z6" s="85"/>
      <c r="AA6" s="85"/>
      <c r="AB6" s="85"/>
      <c r="AC6" s="746" t="s">
        <v>401</v>
      </c>
      <c r="AF6" s="85"/>
      <c r="AG6" s="88"/>
      <c r="AH6" s="83"/>
      <c r="AI6" s="84" t="s">
        <v>398</v>
      </c>
      <c r="AJ6" s="85"/>
      <c r="AK6" s="85"/>
      <c r="AL6" s="85"/>
      <c r="AM6" s="85"/>
      <c r="AN6" s="748" t="s">
        <v>401</v>
      </c>
      <c r="AO6" s="85"/>
      <c r="AP6" s="85"/>
      <c r="AQ6" s="85"/>
      <c r="AR6" s="88"/>
    </row>
    <row r="7" spans="1:44" ht="22.2" customHeight="1" x14ac:dyDescent="0.25">
      <c r="A7" s="83"/>
      <c r="E7" s="31" t="s">
        <v>399</v>
      </c>
      <c r="F7" s="416"/>
      <c r="G7" s="318">
        <f>Constantes!$D$94</f>
        <v>0.1</v>
      </c>
      <c r="J7" s="85"/>
      <c r="K7" s="88"/>
      <c r="L7" s="83"/>
      <c r="P7" s="31" t="s">
        <v>399</v>
      </c>
      <c r="Q7" s="379"/>
      <c r="R7" s="318">
        <f>Constantes!$D$94</f>
        <v>0.1</v>
      </c>
      <c r="U7" s="85"/>
      <c r="V7" s="88"/>
      <c r="W7" s="83"/>
      <c r="AA7" s="31" t="s">
        <v>399</v>
      </c>
      <c r="AB7" s="396"/>
      <c r="AC7" s="318">
        <f>Constantes!$D$94</f>
        <v>0.1</v>
      </c>
      <c r="AF7" s="85"/>
      <c r="AG7" s="88"/>
      <c r="AH7" s="83"/>
      <c r="AI7" s="85"/>
      <c r="AJ7" s="85"/>
      <c r="AK7" s="85"/>
      <c r="AL7" s="96" t="s">
        <v>399</v>
      </c>
      <c r="AM7" s="178"/>
      <c r="AN7" s="318">
        <f>Constantes!$D$94</f>
        <v>0.1</v>
      </c>
      <c r="AO7" s="85"/>
      <c r="AP7" s="85"/>
      <c r="AQ7" s="85"/>
      <c r="AR7" s="88"/>
    </row>
    <row r="8" spans="1:44" ht="22.2" customHeight="1" x14ac:dyDescent="0.25">
      <c r="A8" s="83"/>
      <c r="E8" s="31" t="s">
        <v>205</v>
      </c>
      <c r="F8" s="418"/>
      <c r="G8" s="318">
        <f>Constantes!$D$95</f>
        <v>0.05</v>
      </c>
      <c r="J8" s="85"/>
      <c r="K8" s="88"/>
      <c r="L8" s="83"/>
      <c r="P8" s="31" t="s">
        <v>205</v>
      </c>
      <c r="Q8" s="381"/>
      <c r="R8" s="318">
        <f>Constantes!$D$95</f>
        <v>0.05</v>
      </c>
      <c r="U8" s="85"/>
      <c r="V8" s="88"/>
      <c r="W8" s="83"/>
      <c r="AA8" s="31" t="s">
        <v>205</v>
      </c>
      <c r="AB8" s="398"/>
      <c r="AC8" s="318">
        <f>Constantes!$D$95</f>
        <v>0.05</v>
      </c>
      <c r="AF8" s="85"/>
      <c r="AG8" s="88"/>
      <c r="AH8" s="83"/>
      <c r="AI8" s="85"/>
      <c r="AJ8" s="85"/>
      <c r="AK8" s="85"/>
      <c r="AL8" s="96" t="s">
        <v>205</v>
      </c>
      <c r="AM8" s="180"/>
      <c r="AN8" s="318">
        <f>Constantes!$D$95</f>
        <v>0.05</v>
      </c>
      <c r="AO8" s="85"/>
      <c r="AP8" s="85"/>
      <c r="AQ8" s="85"/>
      <c r="AR8" s="88"/>
    </row>
    <row r="9" spans="1:44" ht="22.2" customHeight="1" x14ac:dyDescent="0.25">
      <c r="A9" s="83"/>
      <c r="E9" s="31" t="s">
        <v>396</v>
      </c>
      <c r="F9" s="418"/>
      <c r="G9" s="318">
        <f>Constantes!$D$97</f>
        <v>0.05</v>
      </c>
      <c r="J9" s="85"/>
      <c r="K9" s="88"/>
      <c r="L9" s="83"/>
      <c r="P9" s="31" t="s">
        <v>396</v>
      </c>
      <c r="Q9" s="381"/>
      <c r="R9" s="318">
        <f>Constantes!$D$97</f>
        <v>0.05</v>
      </c>
      <c r="U9" s="85"/>
      <c r="V9" s="88"/>
      <c r="W9" s="83"/>
      <c r="AA9" s="31" t="s">
        <v>396</v>
      </c>
      <c r="AB9" s="398"/>
      <c r="AC9" s="318">
        <f>Constantes!$D$97</f>
        <v>0.05</v>
      </c>
      <c r="AF9" s="85"/>
      <c r="AG9" s="88"/>
      <c r="AH9" s="83"/>
      <c r="AI9" s="85"/>
      <c r="AJ9" s="85"/>
      <c r="AK9" s="85"/>
      <c r="AL9" s="96" t="s">
        <v>396</v>
      </c>
      <c r="AM9" s="180"/>
      <c r="AN9" s="318">
        <f>Constantes!$D$97</f>
        <v>0.05</v>
      </c>
      <c r="AO9" s="85"/>
      <c r="AP9" s="85"/>
      <c r="AQ9" s="85"/>
      <c r="AR9" s="88"/>
    </row>
    <row r="10" spans="1:44" ht="22.2" customHeight="1" x14ac:dyDescent="0.25">
      <c r="A10" s="83"/>
      <c r="E10" s="31" t="s">
        <v>305</v>
      </c>
      <c r="F10" s="418"/>
      <c r="G10" s="318">
        <f>Constantes!$D$99</f>
        <v>0</v>
      </c>
      <c r="J10" s="85"/>
      <c r="K10" s="88"/>
      <c r="L10" s="83"/>
      <c r="P10" s="31" t="s">
        <v>305</v>
      </c>
      <c r="Q10" s="381"/>
      <c r="R10" s="318">
        <f>Constantes!$D$99</f>
        <v>0</v>
      </c>
      <c r="U10" s="85"/>
      <c r="V10" s="88"/>
      <c r="W10" s="83"/>
      <c r="AA10" s="31" t="s">
        <v>305</v>
      </c>
      <c r="AB10" s="398"/>
      <c r="AC10" s="318">
        <f>Constantes!$D$99</f>
        <v>0</v>
      </c>
      <c r="AF10" s="85"/>
      <c r="AG10" s="88"/>
      <c r="AH10" s="83"/>
      <c r="AI10" s="85"/>
      <c r="AJ10" s="85"/>
      <c r="AK10" s="85"/>
      <c r="AL10" s="96" t="s">
        <v>305</v>
      </c>
      <c r="AM10" s="180"/>
      <c r="AN10" s="318">
        <f>Constantes!$D$99</f>
        <v>0</v>
      </c>
      <c r="AO10" s="85"/>
      <c r="AP10" s="85"/>
      <c r="AQ10" s="85"/>
      <c r="AR10" s="88"/>
    </row>
    <row r="11" spans="1:44" ht="22.2" customHeight="1" x14ac:dyDescent="0.25">
      <c r="A11" s="83"/>
      <c r="B11" s="631" t="s">
        <v>400</v>
      </c>
      <c r="E11" s="31" t="s">
        <v>388</v>
      </c>
      <c r="F11" s="418"/>
      <c r="G11" s="168">
        <f>Constantes!$D$101</f>
        <v>0</v>
      </c>
      <c r="H11" s="22"/>
      <c r="I11" s="85"/>
      <c r="J11" s="85"/>
      <c r="K11" s="88"/>
      <c r="L11" s="83"/>
      <c r="M11" s="631" t="s">
        <v>400</v>
      </c>
      <c r="P11" s="31" t="s">
        <v>388</v>
      </c>
      <c r="Q11" s="381"/>
      <c r="R11" s="168">
        <f>Constantes!$D$101</f>
        <v>0</v>
      </c>
      <c r="S11" s="22"/>
      <c r="T11" s="85"/>
      <c r="U11" s="85"/>
      <c r="V11" s="88"/>
      <c r="W11" s="83"/>
      <c r="X11" s="631" t="s">
        <v>400</v>
      </c>
      <c r="AA11" s="31" t="s">
        <v>388</v>
      </c>
      <c r="AB11" s="398"/>
      <c r="AC11" s="168">
        <f>Constantes!$D$101</f>
        <v>0</v>
      </c>
      <c r="AD11" s="22"/>
      <c r="AE11" s="85"/>
      <c r="AF11" s="85"/>
      <c r="AG11" s="88"/>
      <c r="AH11" s="83"/>
      <c r="AI11" s="728" t="s">
        <v>400</v>
      </c>
      <c r="AJ11" s="85"/>
      <c r="AK11" s="85"/>
      <c r="AL11" s="96" t="s">
        <v>388</v>
      </c>
      <c r="AM11" s="180"/>
      <c r="AN11" s="168">
        <f>Constantes!$D$101</f>
        <v>0</v>
      </c>
      <c r="AO11" s="22"/>
      <c r="AP11" s="85"/>
      <c r="AQ11" s="85"/>
      <c r="AR11" s="88"/>
    </row>
    <row r="12" spans="1:44" ht="22.2" customHeight="1" thickBot="1" x14ac:dyDescent="0.3">
      <c r="A12" s="83"/>
      <c r="E12" s="31" t="s">
        <v>197</v>
      </c>
      <c r="F12" s="418"/>
      <c r="G12" s="168">
        <f>Constantes!$D$102</f>
        <v>0</v>
      </c>
      <c r="H12" s="633" t="s">
        <v>395</v>
      </c>
      <c r="I12" s="748" t="s">
        <v>397</v>
      </c>
      <c r="J12" s="85"/>
      <c r="K12" s="88"/>
      <c r="L12" s="83"/>
      <c r="P12" s="31" t="s">
        <v>197</v>
      </c>
      <c r="Q12" s="381"/>
      <c r="R12" s="168">
        <f>Constantes!$D$102</f>
        <v>0</v>
      </c>
      <c r="S12" s="633" t="s">
        <v>395</v>
      </c>
      <c r="T12" s="748" t="s">
        <v>397</v>
      </c>
      <c r="U12" s="85"/>
      <c r="V12" s="88"/>
      <c r="W12" s="83"/>
      <c r="AA12" s="31" t="s">
        <v>197</v>
      </c>
      <c r="AB12" s="398"/>
      <c r="AC12" s="168">
        <f>Constantes!$D$102</f>
        <v>0</v>
      </c>
      <c r="AD12" s="633" t="s">
        <v>395</v>
      </c>
      <c r="AE12" s="748" t="s">
        <v>397</v>
      </c>
      <c r="AF12" s="85"/>
      <c r="AG12" s="88"/>
      <c r="AH12" s="83"/>
      <c r="AI12" s="85"/>
      <c r="AJ12" s="85"/>
      <c r="AK12" s="85"/>
      <c r="AL12" s="96" t="s">
        <v>197</v>
      </c>
      <c r="AM12" s="180"/>
      <c r="AN12" s="168">
        <f>Constantes!$D$102</f>
        <v>0</v>
      </c>
      <c r="AO12" s="633" t="s">
        <v>395</v>
      </c>
      <c r="AP12" s="748" t="s">
        <v>397</v>
      </c>
      <c r="AQ12" s="85"/>
      <c r="AR12" s="88"/>
    </row>
    <row r="13" spans="1:44" ht="22.2" customHeight="1" x14ac:dyDescent="0.25">
      <c r="A13" s="83"/>
      <c r="B13" s="631" t="s">
        <v>391</v>
      </c>
      <c r="E13" s="31" t="s">
        <v>390</v>
      </c>
      <c r="F13" s="418"/>
      <c r="G13" s="168">
        <f>Constantes!$D$104</f>
        <v>0</v>
      </c>
      <c r="H13" s="22" t="str">
        <f>B20</f>
        <v>Collecte</v>
      </c>
      <c r="I13" s="762"/>
      <c r="J13" s="85"/>
      <c r="K13" s="88"/>
      <c r="L13" s="83"/>
      <c r="M13" s="631" t="s">
        <v>391</v>
      </c>
      <c r="P13" s="31" t="s">
        <v>390</v>
      </c>
      <c r="Q13" s="381"/>
      <c r="R13" s="168">
        <f>Constantes!$D$104</f>
        <v>0</v>
      </c>
      <c r="S13" s="22" t="str">
        <f>M20</f>
        <v>Collecte</v>
      </c>
      <c r="T13" s="765"/>
      <c r="U13" s="85"/>
      <c r="V13" s="88"/>
      <c r="W13" s="83"/>
      <c r="X13" s="631" t="s">
        <v>391</v>
      </c>
      <c r="AA13" s="31" t="s">
        <v>390</v>
      </c>
      <c r="AB13" s="398"/>
      <c r="AC13" s="168">
        <f>Constantes!$D$104</f>
        <v>0</v>
      </c>
      <c r="AD13" s="22" t="str">
        <f>X20</f>
        <v>Collecte</v>
      </c>
      <c r="AE13" s="768"/>
      <c r="AF13" s="85"/>
      <c r="AG13" s="88"/>
      <c r="AH13" s="83"/>
      <c r="AI13" s="728" t="s">
        <v>391</v>
      </c>
      <c r="AJ13" s="85"/>
      <c r="AK13" s="85"/>
      <c r="AL13" s="96" t="s">
        <v>390</v>
      </c>
      <c r="AM13" s="180"/>
      <c r="AN13" s="168">
        <f>Constantes!$D$104</f>
        <v>0</v>
      </c>
      <c r="AO13" s="22" t="str">
        <f>AI20</f>
        <v>Collecte</v>
      </c>
      <c r="AP13" s="771"/>
      <c r="AQ13" s="85"/>
      <c r="AR13" s="88"/>
    </row>
    <row r="14" spans="1:44" ht="22.2" customHeight="1" x14ac:dyDescent="0.25">
      <c r="A14" s="83"/>
      <c r="E14" s="31" t="s">
        <v>393</v>
      </c>
      <c r="F14" s="418"/>
      <c r="G14" s="168">
        <f>Constantes!$D$105</f>
        <v>0</v>
      </c>
      <c r="H14" s="22" t="str">
        <f>B22</f>
        <v>Crédit</v>
      </c>
      <c r="I14" s="763"/>
      <c r="J14" s="85"/>
      <c r="K14" s="88"/>
      <c r="L14" s="83"/>
      <c r="P14" s="31" t="s">
        <v>393</v>
      </c>
      <c r="Q14" s="381"/>
      <c r="R14" s="168">
        <f>Constantes!$D$105</f>
        <v>0</v>
      </c>
      <c r="S14" s="22" t="str">
        <f>M22</f>
        <v>Crédit</v>
      </c>
      <c r="T14" s="766"/>
      <c r="U14" s="85"/>
      <c r="V14" s="88"/>
      <c r="W14" s="83"/>
      <c r="AA14" s="31" t="s">
        <v>393</v>
      </c>
      <c r="AB14" s="398"/>
      <c r="AC14" s="168">
        <f>Constantes!$D$105</f>
        <v>0</v>
      </c>
      <c r="AD14" s="22" t="str">
        <f>X22</f>
        <v>Crédit</v>
      </c>
      <c r="AE14" s="769"/>
      <c r="AF14" s="85"/>
      <c r="AG14" s="88"/>
      <c r="AH14" s="83"/>
      <c r="AI14" s="85"/>
      <c r="AJ14" s="85"/>
      <c r="AK14" s="85"/>
      <c r="AL14" s="96" t="s">
        <v>393</v>
      </c>
      <c r="AM14" s="180"/>
      <c r="AN14" s="168">
        <f>Constantes!$D$105</f>
        <v>0</v>
      </c>
      <c r="AO14" s="22" t="str">
        <f>AI22</f>
        <v>Crédit</v>
      </c>
      <c r="AP14" s="772"/>
      <c r="AQ14" s="85"/>
      <c r="AR14" s="88"/>
    </row>
    <row r="15" spans="1:44" ht="22.2" customHeight="1" x14ac:dyDescent="0.25">
      <c r="A15" s="83"/>
      <c r="E15" s="31" t="s">
        <v>204</v>
      </c>
      <c r="F15" s="418"/>
      <c r="G15" s="168">
        <f>Constantes!$D$106</f>
        <v>0</v>
      </c>
      <c r="H15" s="22" t="str">
        <f>B25</f>
        <v>Assurance</v>
      </c>
      <c r="I15" s="763"/>
      <c r="J15" s="85"/>
      <c r="K15" s="88"/>
      <c r="L15" s="83"/>
      <c r="P15" s="31" t="s">
        <v>204</v>
      </c>
      <c r="Q15" s="381"/>
      <c r="R15" s="168">
        <f>Constantes!$D$106</f>
        <v>0</v>
      </c>
      <c r="S15" s="22" t="str">
        <f>M25</f>
        <v>Assurance</v>
      </c>
      <c r="T15" s="766"/>
      <c r="U15" s="85"/>
      <c r="V15" s="88"/>
      <c r="W15" s="83"/>
      <c r="AA15" s="31" t="s">
        <v>204</v>
      </c>
      <c r="AB15" s="398"/>
      <c r="AC15" s="168">
        <f>Constantes!$D$106</f>
        <v>0</v>
      </c>
      <c r="AD15" s="22" t="str">
        <f>X25</f>
        <v>Assurance</v>
      </c>
      <c r="AE15" s="769"/>
      <c r="AF15" s="85"/>
      <c r="AG15" s="88"/>
      <c r="AH15" s="83"/>
      <c r="AI15" s="85"/>
      <c r="AJ15" s="85"/>
      <c r="AK15" s="85"/>
      <c r="AL15" s="96" t="s">
        <v>204</v>
      </c>
      <c r="AM15" s="180"/>
      <c r="AN15" s="168">
        <f>Constantes!$D$106</f>
        <v>0</v>
      </c>
      <c r="AO15" s="22" t="str">
        <f>AI25</f>
        <v>Assurance</v>
      </c>
      <c r="AP15" s="772"/>
      <c r="AQ15" s="85"/>
      <c r="AR15" s="88"/>
    </row>
    <row r="16" spans="1:44" ht="22.2" customHeight="1" thickBot="1" x14ac:dyDescent="0.3">
      <c r="A16" s="83"/>
      <c r="E16" s="31" t="s">
        <v>392</v>
      </c>
      <c r="F16" s="417"/>
      <c r="G16" s="168">
        <f>Constantes!$D$107</f>
        <v>0</v>
      </c>
      <c r="H16" s="22" t="str">
        <f>B27</f>
        <v>Services</v>
      </c>
      <c r="I16" s="764"/>
      <c r="J16" s="85"/>
      <c r="K16" s="88"/>
      <c r="L16" s="83"/>
      <c r="P16" s="31" t="s">
        <v>392</v>
      </c>
      <c r="Q16" s="380"/>
      <c r="R16" s="168">
        <f>Constantes!$D$107</f>
        <v>0</v>
      </c>
      <c r="S16" s="22" t="str">
        <f>M27</f>
        <v>Services</v>
      </c>
      <c r="T16" s="767"/>
      <c r="U16" s="85"/>
      <c r="V16" s="88"/>
      <c r="W16" s="83"/>
      <c r="AA16" s="31" t="s">
        <v>392</v>
      </c>
      <c r="AB16" s="397"/>
      <c r="AC16" s="168">
        <f>Constantes!$D$107</f>
        <v>0</v>
      </c>
      <c r="AD16" s="22" t="str">
        <f>X27</f>
        <v>Services</v>
      </c>
      <c r="AE16" s="770"/>
      <c r="AF16" s="85"/>
      <c r="AG16" s="88"/>
      <c r="AH16" s="83"/>
      <c r="AI16" s="85"/>
      <c r="AJ16" s="85"/>
      <c r="AK16" s="85"/>
      <c r="AL16" s="96" t="s">
        <v>392</v>
      </c>
      <c r="AM16" s="179"/>
      <c r="AN16" s="168">
        <f>Constantes!$D$107</f>
        <v>0</v>
      </c>
      <c r="AO16" s="22" t="str">
        <f>AI27</f>
        <v>Services</v>
      </c>
      <c r="AP16" s="773"/>
      <c r="AQ16" s="85"/>
      <c r="AR16" s="88"/>
    </row>
    <row r="17" spans="1:44" ht="21" customHeight="1" x14ac:dyDescent="0.25">
      <c r="A17" s="83"/>
      <c r="F17" s="168">
        <f>SUM(F7:F16)</f>
        <v>0</v>
      </c>
      <c r="G17" s="85"/>
      <c r="H17" s="85"/>
      <c r="I17" s="85"/>
      <c r="J17" s="85"/>
      <c r="K17" s="88"/>
      <c r="L17" s="83"/>
      <c r="Q17" s="168">
        <f>SUM(Q7:Q16)</f>
        <v>0</v>
      </c>
      <c r="R17" s="85"/>
      <c r="S17" s="85"/>
      <c r="T17" s="85"/>
      <c r="U17" s="85"/>
      <c r="V17" s="88"/>
      <c r="W17" s="83"/>
      <c r="AB17" s="168">
        <f>SUM(AB7:AB16)</f>
        <v>0</v>
      </c>
      <c r="AC17" s="85"/>
      <c r="AD17" s="85"/>
      <c r="AE17" s="85"/>
      <c r="AF17" s="85"/>
      <c r="AG17" s="88"/>
      <c r="AH17" s="83"/>
      <c r="AI17" s="85"/>
      <c r="AJ17" s="85"/>
      <c r="AK17" s="85"/>
      <c r="AL17" s="85"/>
      <c r="AM17" s="168">
        <f>SUM(AM7:AM16)</f>
        <v>0</v>
      </c>
      <c r="AN17" s="85"/>
      <c r="AO17" s="85"/>
      <c r="AP17" s="85"/>
      <c r="AQ17" s="85"/>
      <c r="AR17" s="88"/>
    </row>
    <row r="18" spans="1:44" ht="21" customHeight="1" x14ac:dyDescent="0.25">
      <c r="A18" s="83"/>
      <c r="B18" s="84" t="s">
        <v>214</v>
      </c>
      <c r="C18" s="22"/>
      <c r="E18" s="22"/>
      <c r="F18" s="85"/>
      <c r="G18" s="85"/>
      <c r="I18" s="85"/>
      <c r="J18" s="85"/>
      <c r="K18" s="88"/>
      <c r="L18" s="83"/>
      <c r="M18" s="84" t="s">
        <v>214</v>
      </c>
      <c r="N18" s="22"/>
      <c r="P18" s="22"/>
      <c r="Q18" s="85"/>
      <c r="R18" s="85"/>
      <c r="T18" s="85"/>
      <c r="U18" s="85"/>
      <c r="V18" s="88"/>
      <c r="W18" s="83"/>
      <c r="X18" s="84" t="s">
        <v>214</v>
      </c>
      <c r="Y18" s="22"/>
      <c r="AA18" s="22"/>
      <c r="AB18" s="85"/>
      <c r="AC18" s="85"/>
      <c r="AE18" s="85"/>
      <c r="AF18" s="85"/>
      <c r="AG18" s="88"/>
      <c r="AH18" s="83"/>
      <c r="AI18" s="84" t="s">
        <v>214</v>
      </c>
      <c r="AJ18" s="22"/>
      <c r="AK18" s="85"/>
      <c r="AL18" s="22"/>
      <c r="AM18" s="85"/>
      <c r="AN18" s="85"/>
      <c r="AO18" s="85"/>
      <c r="AP18" s="85"/>
      <c r="AQ18" s="85"/>
      <c r="AR18" s="88"/>
    </row>
    <row r="19" spans="1:44" ht="21" customHeight="1" thickBot="1" x14ac:dyDescent="0.3">
      <c r="A19" s="83"/>
      <c r="B19" s="84"/>
      <c r="C19" s="22"/>
      <c r="D19" s="22" t="s">
        <v>389</v>
      </c>
      <c r="F19" s="314"/>
      <c r="G19" s="314"/>
      <c r="H19" s="314"/>
      <c r="I19" s="746"/>
      <c r="L19" s="83"/>
      <c r="M19" s="84"/>
      <c r="N19" s="22"/>
      <c r="O19" s="22" t="s">
        <v>389</v>
      </c>
      <c r="Q19" s="314"/>
      <c r="R19" s="314"/>
      <c r="S19" s="314"/>
      <c r="T19" s="746"/>
      <c r="W19" s="83"/>
      <c r="X19" s="84"/>
      <c r="Y19" s="22"/>
      <c r="Z19" s="22" t="s">
        <v>389</v>
      </c>
      <c r="AB19" s="314"/>
      <c r="AC19" s="314"/>
      <c r="AD19" s="314"/>
      <c r="AE19" s="746"/>
      <c r="AH19" s="83"/>
      <c r="AI19" s="84"/>
      <c r="AJ19" s="22"/>
      <c r="AK19" s="22" t="s">
        <v>389</v>
      </c>
      <c r="AL19" s="85"/>
      <c r="AM19" s="314"/>
      <c r="AN19" s="314"/>
      <c r="AO19" s="314"/>
      <c r="AP19" s="748"/>
      <c r="AQ19" s="85"/>
      <c r="AR19" s="88"/>
    </row>
    <row r="20" spans="1:44" ht="24" customHeight="1" x14ac:dyDescent="0.25">
      <c r="A20" s="83"/>
      <c r="B20" s="12" t="str">
        <f>Constantes!$A10</f>
        <v>Collecte</v>
      </c>
      <c r="C20" s="54" t="str">
        <f>Constantes!$B10</f>
        <v>Court terme</v>
      </c>
      <c r="D20" s="419"/>
      <c r="E20" s="85"/>
      <c r="F20" s="632"/>
      <c r="G20" s="85"/>
      <c r="L20" s="83"/>
      <c r="M20" s="12" t="str">
        <f>Constantes!$A10</f>
        <v>Collecte</v>
      </c>
      <c r="N20" s="54" t="str">
        <f>Constantes!$B10</f>
        <v>Court terme</v>
      </c>
      <c r="O20" s="382"/>
      <c r="P20" s="85">
        <f>D20*O20</f>
        <v>0</v>
      </c>
      <c r="Q20" s="632"/>
      <c r="R20" s="85"/>
      <c r="W20" s="83"/>
      <c r="X20" s="12" t="str">
        <f>Constantes!$A10</f>
        <v>Collecte</v>
      </c>
      <c r="Y20" s="54" t="str">
        <f>Constantes!$B10</f>
        <v>Court terme</v>
      </c>
      <c r="Z20" s="399"/>
      <c r="AA20" s="85">
        <f>O20*Z20</f>
        <v>0</v>
      </c>
      <c r="AB20" s="632"/>
      <c r="AC20" s="85"/>
      <c r="AH20" s="83"/>
      <c r="AI20" s="12" t="str">
        <f>Constantes!$A10</f>
        <v>Collecte</v>
      </c>
      <c r="AJ20" s="54" t="str">
        <f>Constantes!$B10</f>
        <v>Court terme</v>
      </c>
      <c r="AK20" s="319"/>
      <c r="AL20" s="85">
        <f>Z20*AK20</f>
        <v>0</v>
      </c>
      <c r="AM20" s="729"/>
      <c r="AN20" s="85"/>
      <c r="AO20" s="85"/>
      <c r="AP20" s="85"/>
      <c r="AQ20" s="85"/>
      <c r="AR20" s="88"/>
    </row>
    <row r="21" spans="1:44" ht="24" customHeight="1" thickBot="1" x14ac:dyDescent="0.3">
      <c r="A21" s="83"/>
      <c r="B21" s="15"/>
      <c r="C21" s="56" t="str">
        <f>Constantes!$B11</f>
        <v>Moyen et long terme</v>
      </c>
      <c r="D21" s="420"/>
      <c r="E21" s="85"/>
      <c r="G21" s="84" t="s">
        <v>219</v>
      </c>
      <c r="H21" s="85"/>
      <c r="I21" s="85"/>
      <c r="J21" s="85"/>
      <c r="K21" s="85"/>
      <c r="L21" s="83"/>
      <c r="M21" s="15"/>
      <c r="N21" s="56" t="str">
        <f>Constantes!$B11</f>
        <v>Moyen et long terme</v>
      </c>
      <c r="O21" s="383"/>
      <c r="P21" s="85">
        <f t="shared" ref="P21:P29" si="0">D21*O21</f>
        <v>0</v>
      </c>
      <c r="R21" s="84" t="s">
        <v>219</v>
      </c>
      <c r="S21" s="85"/>
      <c r="T21" s="85"/>
      <c r="U21" s="85"/>
      <c r="V21" s="85"/>
      <c r="W21" s="83"/>
      <c r="X21" s="15"/>
      <c r="Y21" s="56" t="str">
        <f>Constantes!$B11</f>
        <v>Moyen et long terme</v>
      </c>
      <c r="Z21" s="400"/>
      <c r="AA21" s="85">
        <f t="shared" ref="AA21:AA29" si="1">O21*Z21</f>
        <v>0</v>
      </c>
      <c r="AC21" s="84" t="s">
        <v>219</v>
      </c>
      <c r="AD21" s="85"/>
      <c r="AE21" s="85"/>
      <c r="AF21" s="85"/>
      <c r="AG21" s="85"/>
      <c r="AH21" s="83"/>
      <c r="AI21" s="15"/>
      <c r="AJ21" s="56" t="str">
        <f>Constantes!$B11</f>
        <v>Moyen et long terme</v>
      </c>
      <c r="AK21" s="320"/>
      <c r="AL21" s="85">
        <f t="shared" ref="AL21:AL29" si="2">Z21*AK21</f>
        <v>0</v>
      </c>
      <c r="AM21" s="85"/>
      <c r="AN21" s="84" t="s">
        <v>219</v>
      </c>
      <c r="AO21" s="85"/>
      <c r="AP21" s="85"/>
      <c r="AQ21" s="85"/>
      <c r="AR21" s="88"/>
    </row>
    <row r="22" spans="1:44" ht="24" customHeight="1" thickBot="1" x14ac:dyDescent="0.3">
      <c r="A22" s="83"/>
      <c r="B22" s="12" t="str">
        <f>Constantes!$A12</f>
        <v>Crédit</v>
      </c>
      <c r="C22" s="54" t="str">
        <f>Constantes!$B12</f>
        <v>Immobilier</v>
      </c>
      <c r="D22" s="419"/>
      <c r="E22" s="85"/>
      <c r="G22" s="85"/>
      <c r="H22" s="85"/>
      <c r="I22" s="747" t="s">
        <v>298</v>
      </c>
      <c r="J22" s="22"/>
      <c r="K22" s="22"/>
      <c r="L22" s="83"/>
      <c r="M22" s="12" t="str">
        <f>Constantes!$A12</f>
        <v>Crédit</v>
      </c>
      <c r="N22" s="54" t="str">
        <f>Constantes!$B12</f>
        <v>Immobilier</v>
      </c>
      <c r="O22" s="382"/>
      <c r="P22" s="85">
        <f t="shared" si="0"/>
        <v>0</v>
      </c>
      <c r="R22" s="85"/>
      <c r="S22" s="85"/>
      <c r="T22" s="747" t="s">
        <v>298</v>
      </c>
      <c r="U22" s="22"/>
      <c r="V22" s="22"/>
      <c r="W22" s="83"/>
      <c r="X22" s="12" t="str">
        <f>Constantes!$A12</f>
        <v>Crédit</v>
      </c>
      <c r="Y22" s="54" t="str">
        <f>Constantes!$B12</f>
        <v>Immobilier</v>
      </c>
      <c r="Z22" s="399"/>
      <c r="AA22" s="85">
        <f t="shared" si="1"/>
        <v>0</v>
      </c>
      <c r="AC22" s="85"/>
      <c r="AD22" s="85"/>
      <c r="AE22" s="747" t="s">
        <v>298</v>
      </c>
      <c r="AF22" s="22"/>
      <c r="AG22" s="22"/>
      <c r="AH22" s="83"/>
      <c r="AI22" s="12" t="str">
        <f>Constantes!$A12</f>
        <v>Crédit</v>
      </c>
      <c r="AJ22" s="54" t="str">
        <f>Constantes!$B12</f>
        <v>Immobilier</v>
      </c>
      <c r="AK22" s="319"/>
      <c r="AL22" s="85">
        <f t="shared" si="2"/>
        <v>0</v>
      </c>
      <c r="AM22" s="85"/>
      <c r="AN22" s="85"/>
      <c r="AO22" s="85"/>
      <c r="AP22" s="747" t="s">
        <v>298</v>
      </c>
      <c r="AQ22" s="22"/>
      <c r="AR22" s="730"/>
    </row>
    <row r="23" spans="1:44" ht="24" customHeight="1" x14ac:dyDescent="0.25">
      <c r="A23" s="83"/>
      <c r="B23" s="17"/>
      <c r="C23" s="57" t="str">
        <f>Constantes!$B13</f>
        <v>Consommation</v>
      </c>
      <c r="D23" s="421"/>
      <c r="E23" s="85"/>
      <c r="G23" s="22" t="s">
        <v>394</v>
      </c>
      <c r="H23" s="85"/>
      <c r="I23" s="413"/>
      <c r="J23" s="22" t="s">
        <v>299</v>
      </c>
      <c r="K23" s="22"/>
      <c r="L23" s="83"/>
      <c r="M23" s="17"/>
      <c r="N23" s="57" t="str">
        <f>Constantes!$B13</f>
        <v>Consommation</v>
      </c>
      <c r="O23" s="384"/>
      <c r="P23" s="85">
        <f t="shared" si="0"/>
        <v>0</v>
      </c>
      <c r="R23" s="22" t="s">
        <v>394</v>
      </c>
      <c r="S23" s="85"/>
      <c r="T23" s="376"/>
      <c r="U23" s="22" t="s">
        <v>299</v>
      </c>
      <c r="V23" s="22"/>
      <c r="W23" s="83"/>
      <c r="X23" s="17"/>
      <c r="Y23" s="57" t="str">
        <f>Constantes!$B13</f>
        <v>Consommation</v>
      </c>
      <c r="Z23" s="401"/>
      <c r="AA23" s="85">
        <f t="shared" si="1"/>
        <v>0</v>
      </c>
      <c r="AC23" s="22" t="s">
        <v>394</v>
      </c>
      <c r="AD23" s="85"/>
      <c r="AE23" s="393"/>
      <c r="AF23" s="22" t="s">
        <v>299</v>
      </c>
      <c r="AG23" s="22"/>
      <c r="AH23" s="83"/>
      <c r="AI23" s="17"/>
      <c r="AJ23" s="57" t="str">
        <f>Constantes!$B13</f>
        <v>Consommation</v>
      </c>
      <c r="AK23" s="321"/>
      <c r="AL23" s="85">
        <f t="shared" si="2"/>
        <v>0</v>
      </c>
      <c r="AM23" s="85"/>
      <c r="AN23" s="22" t="s">
        <v>394</v>
      </c>
      <c r="AO23" s="85"/>
      <c r="AP23" s="358"/>
      <c r="AQ23" s="22" t="s">
        <v>299</v>
      </c>
      <c r="AR23" s="730"/>
    </row>
    <row r="24" spans="1:44" ht="24" customHeight="1" thickBot="1" x14ac:dyDescent="0.3">
      <c r="A24" s="83"/>
      <c r="B24" s="15"/>
      <c r="C24" s="56" t="str">
        <f>Constantes!$B14</f>
        <v>Renouvelable</v>
      </c>
      <c r="D24" s="420"/>
      <c r="E24" s="85"/>
      <c r="G24" s="22" t="s">
        <v>51</v>
      </c>
      <c r="H24" s="85"/>
      <c r="I24" s="414"/>
      <c r="J24" s="22" t="s">
        <v>299</v>
      </c>
      <c r="K24" s="22"/>
      <c r="L24" s="83"/>
      <c r="M24" s="15"/>
      <c r="N24" s="56" t="str">
        <f>Constantes!$B14</f>
        <v>Renouvelable</v>
      </c>
      <c r="O24" s="383"/>
      <c r="P24" s="85">
        <f t="shared" si="0"/>
        <v>0</v>
      </c>
      <c r="R24" s="22" t="s">
        <v>51</v>
      </c>
      <c r="S24" s="85"/>
      <c r="T24" s="377"/>
      <c r="U24" s="22" t="s">
        <v>299</v>
      </c>
      <c r="V24" s="22"/>
      <c r="W24" s="83"/>
      <c r="X24" s="15"/>
      <c r="Y24" s="56" t="str">
        <f>Constantes!$B14</f>
        <v>Renouvelable</v>
      </c>
      <c r="Z24" s="400"/>
      <c r="AA24" s="85">
        <f t="shared" si="1"/>
        <v>0</v>
      </c>
      <c r="AC24" s="22" t="s">
        <v>51</v>
      </c>
      <c r="AD24" s="85"/>
      <c r="AE24" s="394"/>
      <c r="AF24" s="22" t="s">
        <v>299</v>
      </c>
      <c r="AG24" s="22"/>
      <c r="AH24" s="83"/>
      <c r="AI24" s="15"/>
      <c r="AJ24" s="56" t="str">
        <f>Constantes!$B14</f>
        <v>Renouvelable</v>
      </c>
      <c r="AK24" s="320"/>
      <c r="AL24" s="85">
        <f t="shared" si="2"/>
        <v>0</v>
      </c>
      <c r="AM24" s="85"/>
      <c r="AN24" s="22" t="s">
        <v>51</v>
      </c>
      <c r="AO24" s="85"/>
      <c r="AP24" s="359"/>
      <c r="AQ24" s="22" t="s">
        <v>299</v>
      </c>
      <c r="AR24" s="730"/>
    </row>
    <row r="25" spans="1:44" ht="24" customHeight="1" x14ac:dyDescent="0.25">
      <c r="A25" s="83"/>
      <c r="B25" s="12" t="str">
        <f>Constantes!$A15</f>
        <v>Assurance</v>
      </c>
      <c r="C25" s="54" t="str">
        <f>Constantes!$B15</f>
        <v>IARD</v>
      </c>
      <c r="D25" s="419"/>
      <c r="E25" s="85"/>
      <c r="G25" s="22" t="s">
        <v>75</v>
      </c>
      <c r="H25" s="85"/>
      <c r="I25" s="414"/>
      <c r="J25" s="22" t="s">
        <v>299</v>
      </c>
      <c r="K25" s="22"/>
      <c r="L25" s="83"/>
      <c r="M25" s="12" t="str">
        <f>Constantes!$A15</f>
        <v>Assurance</v>
      </c>
      <c r="N25" s="54" t="str">
        <f>Constantes!$B15</f>
        <v>IARD</v>
      </c>
      <c r="O25" s="382"/>
      <c r="P25" s="85">
        <f t="shared" si="0"/>
        <v>0</v>
      </c>
      <c r="R25" s="22" t="s">
        <v>75</v>
      </c>
      <c r="S25" s="85"/>
      <c r="T25" s="377"/>
      <c r="U25" s="22" t="s">
        <v>299</v>
      </c>
      <c r="V25" s="22"/>
      <c r="W25" s="83"/>
      <c r="X25" s="12" t="str">
        <f>Constantes!$A15</f>
        <v>Assurance</v>
      </c>
      <c r="Y25" s="54" t="str">
        <f>Constantes!$B15</f>
        <v>IARD</v>
      </c>
      <c r="Z25" s="399"/>
      <c r="AA25" s="85">
        <f t="shared" si="1"/>
        <v>0</v>
      </c>
      <c r="AC25" s="22" t="s">
        <v>75</v>
      </c>
      <c r="AD25" s="85"/>
      <c r="AE25" s="394"/>
      <c r="AF25" s="22" t="s">
        <v>299</v>
      </c>
      <c r="AG25" s="22"/>
      <c r="AH25" s="83"/>
      <c r="AI25" s="12" t="str">
        <f>Constantes!$A15</f>
        <v>Assurance</v>
      </c>
      <c r="AJ25" s="54" t="str">
        <f>Constantes!$B15</f>
        <v>IARD</v>
      </c>
      <c r="AK25" s="319"/>
      <c r="AL25" s="85">
        <f t="shared" si="2"/>
        <v>0</v>
      </c>
      <c r="AM25" s="85"/>
      <c r="AN25" s="22" t="s">
        <v>75</v>
      </c>
      <c r="AO25" s="85"/>
      <c r="AP25" s="359"/>
      <c r="AQ25" s="22" t="s">
        <v>299</v>
      </c>
      <c r="AR25" s="730"/>
    </row>
    <row r="26" spans="1:44" ht="24" customHeight="1" thickBot="1" x14ac:dyDescent="0.3">
      <c r="A26" s="83"/>
      <c r="B26" s="15"/>
      <c r="C26" s="56" t="str">
        <f>Constantes!$B16</f>
        <v>Prévoyance</v>
      </c>
      <c r="D26" s="420"/>
      <c r="E26" s="85"/>
      <c r="G26" s="22" t="s">
        <v>14</v>
      </c>
      <c r="H26" s="85"/>
      <c r="I26" s="415"/>
      <c r="J26" s="22" t="s">
        <v>299</v>
      </c>
      <c r="K26" s="22"/>
      <c r="L26" s="83"/>
      <c r="M26" s="15"/>
      <c r="N26" s="56" t="str">
        <f>Constantes!$B16</f>
        <v>Prévoyance</v>
      </c>
      <c r="O26" s="383"/>
      <c r="P26" s="85">
        <f t="shared" si="0"/>
        <v>0</v>
      </c>
      <c r="R26" s="22" t="s">
        <v>14</v>
      </c>
      <c r="S26" s="85"/>
      <c r="T26" s="378"/>
      <c r="U26" s="22" t="s">
        <v>299</v>
      </c>
      <c r="V26" s="22"/>
      <c r="W26" s="83"/>
      <c r="X26" s="15"/>
      <c r="Y26" s="56" t="str">
        <f>Constantes!$B16</f>
        <v>Prévoyance</v>
      </c>
      <c r="Z26" s="400"/>
      <c r="AA26" s="85">
        <f t="shared" si="1"/>
        <v>0</v>
      </c>
      <c r="AC26" s="22" t="s">
        <v>14</v>
      </c>
      <c r="AD26" s="85"/>
      <c r="AE26" s="395"/>
      <c r="AF26" s="22" t="s">
        <v>299</v>
      </c>
      <c r="AG26" s="22"/>
      <c r="AH26" s="83"/>
      <c r="AI26" s="15"/>
      <c r="AJ26" s="56" t="str">
        <f>Constantes!$B16</f>
        <v>Prévoyance</v>
      </c>
      <c r="AK26" s="320"/>
      <c r="AL26" s="85">
        <f t="shared" si="2"/>
        <v>0</v>
      </c>
      <c r="AM26" s="85"/>
      <c r="AN26" s="22" t="s">
        <v>14</v>
      </c>
      <c r="AO26" s="85"/>
      <c r="AP26" s="360"/>
      <c r="AQ26" s="22" t="s">
        <v>299</v>
      </c>
      <c r="AR26" s="730"/>
    </row>
    <row r="27" spans="1:44" ht="24" customHeight="1" x14ac:dyDescent="0.25">
      <c r="A27" s="83"/>
      <c r="B27" s="12" t="str">
        <f>Constantes!$A17</f>
        <v>Services</v>
      </c>
      <c r="C27" s="54" t="str">
        <f>Constantes!$B17</f>
        <v>Moyens de paiement</v>
      </c>
      <c r="D27" s="419"/>
      <c r="E27" s="85"/>
      <c r="F27" s="314"/>
      <c r="G27" s="85"/>
      <c r="L27" s="83"/>
      <c r="M27" s="12" t="str">
        <f>Constantes!$A17</f>
        <v>Services</v>
      </c>
      <c r="N27" s="54" t="str">
        <f>Constantes!$B17</f>
        <v>Moyens de paiement</v>
      </c>
      <c r="O27" s="382"/>
      <c r="P27" s="85">
        <f t="shared" si="0"/>
        <v>0</v>
      </c>
      <c r="Q27" s="314"/>
      <c r="R27" s="85"/>
      <c r="W27" s="83"/>
      <c r="X27" s="12" t="str">
        <f>Constantes!$A17</f>
        <v>Services</v>
      </c>
      <c r="Y27" s="54" t="str">
        <f>Constantes!$B17</f>
        <v>Moyens de paiement</v>
      </c>
      <c r="Z27" s="399"/>
      <c r="AA27" s="85">
        <f t="shared" si="1"/>
        <v>0</v>
      </c>
      <c r="AB27" s="314"/>
      <c r="AC27" s="85"/>
      <c r="AH27" s="83"/>
      <c r="AI27" s="12" t="str">
        <f>Constantes!$A17</f>
        <v>Services</v>
      </c>
      <c r="AJ27" s="54" t="str">
        <f>Constantes!$B17</f>
        <v>Moyens de paiement</v>
      </c>
      <c r="AK27" s="319"/>
      <c r="AL27" s="85">
        <f t="shared" si="2"/>
        <v>0</v>
      </c>
      <c r="AM27" s="314"/>
      <c r="AN27" s="85"/>
      <c r="AO27" s="85"/>
      <c r="AP27" s="85"/>
      <c r="AQ27" s="85"/>
      <c r="AR27" s="88"/>
    </row>
    <row r="28" spans="1:44" ht="24" customHeight="1" x14ac:dyDescent="0.25">
      <c r="A28" s="83"/>
      <c r="B28" s="17"/>
      <c r="C28" s="57" t="str">
        <f>Constantes!$B18</f>
        <v>Ouverture compte</v>
      </c>
      <c r="D28" s="421"/>
      <c r="E28" s="85"/>
      <c r="F28" s="314"/>
      <c r="G28" s="85"/>
      <c r="L28" s="83"/>
      <c r="M28" s="17"/>
      <c r="N28" s="57" t="str">
        <f>Constantes!$B18</f>
        <v>Ouverture compte</v>
      </c>
      <c r="O28" s="384"/>
      <c r="P28" s="85">
        <f>D28*O28</f>
        <v>0</v>
      </c>
      <c r="Q28" s="314"/>
      <c r="R28" s="85"/>
      <c r="W28" s="83"/>
      <c r="X28" s="17"/>
      <c r="Y28" s="57" t="str">
        <f>Constantes!$B18</f>
        <v>Ouverture compte</v>
      </c>
      <c r="Z28" s="401"/>
      <c r="AA28" s="85">
        <f>O28*Z28</f>
        <v>0</v>
      </c>
      <c r="AB28" s="314"/>
      <c r="AC28" s="85"/>
      <c r="AH28" s="83"/>
      <c r="AI28" s="17"/>
      <c r="AJ28" s="57" t="str">
        <f>Constantes!$B18</f>
        <v>Ouverture compte</v>
      </c>
      <c r="AK28" s="321"/>
      <c r="AL28" s="85">
        <f>Z28*AK28</f>
        <v>0</v>
      </c>
      <c r="AM28" s="314"/>
      <c r="AN28" s="85"/>
      <c r="AO28" s="85"/>
      <c r="AP28" s="85"/>
      <c r="AQ28" s="85"/>
      <c r="AR28" s="88"/>
    </row>
    <row r="29" spans="1:44" ht="24" customHeight="1" thickBot="1" x14ac:dyDescent="0.3">
      <c r="A29" s="83"/>
      <c r="B29" s="15"/>
      <c r="C29" s="56" t="str">
        <f>Constantes!$B19</f>
        <v>Téléphonie</v>
      </c>
      <c r="D29" s="420"/>
      <c r="E29" s="85"/>
      <c r="F29" s="314"/>
      <c r="G29" s="85"/>
      <c r="K29" s="88"/>
      <c r="L29" s="83"/>
      <c r="M29" s="15"/>
      <c r="N29" s="56" t="str">
        <f>Constantes!$B19</f>
        <v>Téléphonie</v>
      </c>
      <c r="O29" s="383"/>
      <c r="P29" s="85">
        <f t="shared" si="0"/>
        <v>0</v>
      </c>
      <c r="Q29" s="314"/>
      <c r="R29" s="85"/>
      <c r="V29" s="88"/>
      <c r="W29" s="83"/>
      <c r="X29" s="15"/>
      <c r="Y29" s="56" t="str">
        <f>Constantes!$B19</f>
        <v>Téléphonie</v>
      </c>
      <c r="Z29" s="400"/>
      <c r="AA29" s="85">
        <f t="shared" si="1"/>
        <v>0</v>
      </c>
      <c r="AB29" s="314"/>
      <c r="AC29" s="85"/>
      <c r="AG29" s="88"/>
      <c r="AH29" s="83"/>
      <c r="AI29" s="15"/>
      <c r="AJ29" s="56" t="str">
        <f>Constantes!$B19</f>
        <v>Téléphonie</v>
      </c>
      <c r="AK29" s="320"/>
      <c r="AL29" s="85">
        <f t="shared" si="2"/>
        <v>0</v>
      </c>
      <c r="AM29" s="314"/>
      <c r="AN29" s="85"/>
      <c r="AO29" s="85"/>
      <c r="AP29" s="85"/>
      <c r="AQ29" s="85"/>
      <c r="AR29" s="88"/>
    </row>
    <row r="30" spans="1:44" ht="18.600000000000001" customHeight="1" x14ac:dyDescent="0.25">
      <c r="A30" s="83"/>
      <c r="B30" s="85"/>
      <c r="C30" s="92"/>
      <c r="D30" s="748">
        <f>COUNTIF(D20:D29,"&gt;0")</f>
        <v>0</v>
      </c>
      <c r="E30" s="92">
        <f>COUNTIF(E20:E29,"&gt;0")</f>
        <v>0</v>
      </c>
      <c r="F30" s="92"/>
      <c r="G30" s="85"/>
      <c r="J30" s="85"/>
      <c r="K30" s="88"/>
      <c r="L30" s="83"/>
      <c r="M30" s="85"/>
      <c r="N30" s="92"/>
      <c r="O30" s="748">
        <f>COUNTIF(O20:O29,"&gt;0")</f>
        <v>0</v>
      </c>
      <c r="P30" s="92">
        <f>COUNTIF(P20:P29,"&gt;0")</f>
        <v>0</v>
      </c>
      <c r="Q30" s="92"/>
      <c r="R30" s="85"/>
      <c r="U30" s="85"/>
      <c r="V30" s="88"/>
      <c r="W30" s="83"/>
      <c r="X30" s="85"/>
      <c r="Y30" s="92"/>
      <c r="Z30" s="748">
        <f>COUNTIF(Z20:Z29,"&gt;0")</f>
        <v>0</v>
      </c>
      <c r="AA30" s="92">
        <f>COUNTIF(AA20:AA29,"&gt;0")</f>
        <v>0</v>
      </c>
      <c r="AB30" s="92"/>
      <c r="AC30" s="85"/>
      <c r="AF30" s="85"/>
      <c r="AG30" s="88"/>
      <c r="AH30" s="83"/>
      <c r="AI30" s="85"/>
      <c r="AJ30" s="92"/>
      <c r="AK30" s="748">
        <f>COUNTIF(AK20:AK29,"&gt;0")</f>
        <v>0</v>
      </c>
      <c r="AL30" s="92">
        <f>COUNTIF(AL20:AL29,"&gt;0")</f>
        <v>0</v>
      </c>
      <c r="AM30" s="92"/>
      <c r="AN30" s="85"/>
      <c r="AO30" s="85"/>
      <c r="AP30" s="85"/>
      <c r="AQ30" s="85"/>
      <c r="AR30" s="88"/>
    </row>
    <row r="31" spans="1:44" ht="18.600000000000001" customHeight="1" x14ac:dyDescent="0.25">
      <c r="A31" s="83"/>
      <c r="B31" s="84" t="s">
        <v>215</v>
      </c>
      <c r="C31" s="85"/>
      <c r="D31" s="85"/>
      <c r="E31" s="85"/>
      <c r="G31" s="84" t="s">
        <v>216</v>
      </c>
      <c r="H31" s="85"/>
      <c r="I31" s="85"/>
      <c r="J31" s="85"/>
      <c r="K31" s="85"/>
      <c r="L31" s="83"/>
      <c r="M31" s="84" t="s">
        <v>215</v>
      </c>
      <c r="N31" s="85"/>
      <c r="O31" s="85"/>
      <c r="P31" s="85"/>
      <c r="R31" s="84" t="s">
        <v>216</v>
      </c>
      <c r="S31" s="85"/>
      <c r="T31" s="85"/>
      <c r="U31" s="85"/>
      <c r="V31" s="85"/>
      <c r="W31" s="83"/>
      <c r="X31" s="84" t="s">
        <v>215</v>
      </c>
      <c r="Y31" s="85"/>
      <c r="Z31" s="85"/>
      <c r="AA31" s="85"/>
      <c r="AC31" s="84" t="s">
        <v>216</v>
      </c>
      <c r="AD31" s="85"/>
      <c r="AE31" s="85"/>
      <c r="AF31" s="85"/>
      <c r="AG31" s="85"/>
      <c r="AH31" s="83"/>
      <c r="AI31" s="84" t="s">
        <v>215</v>
      </c>
      <c r="AJ31" s="85"/>
      <c r="AK31" s="85"/>
      <c r="AL31" s="85"/>
      <c r="AM31" s="85"/>
      <c r="AN31" s="84" t="s">
        <v>216</v>
      </c>
      <c r="AO31" s="85"/>
      <c r="AP31" s="85"/>
      <c r="AQ31" s="85"/>
      <c r="AR31" s="88"/>
    </row>
    <row r="32" spans="1:44" ht="18.600000000000001" customHeight="1" thickBot="1" x14ac:dyDescent="0.3">
      <c r="A32" s="83"/>
      <c r="B32" s="756" t="s">
        <v>217</v>
      </c>
      <c r="C32" s="813" t="s">
        <v>218</v>
      </c>
      <c r="D32" s="813"/>
      <c r="E32" s="755" t="s">
        <v>300</v>
      </c>
      <c r="G32" s="756" t="s">
        <v>217</v>
      </c>
      <c r="H32" s="813" t="s">
        <v>218</v>
      </c>
      <c r="I32" s="813"/>
      <c r="J32" s="755" t="s">
        <v>300</v>
      </c>
      <c r="K32" s="755"/>
      <c r="L32" s="83"/>
      <c r="M32" s="756" t="s">
        <v>217</v>
      </c>
      <c r="N32" s="813" t="s">
        <v>218</v>
      </c>
      <c r="O32" s="813"/>
      <c r="P32" s="755" t="s">
        <v>300</v>
      </c>
      <c r="R32" s="756" t="s">
        <v>217</v>
      </c>
      <c r="S32" s="813" t="s">
        <v>218</v>
      </c>
      <c r="T32" s="813"/>
      <c r="U32" s="755" t="s">
        <v>300</v>
      </c>
      <c r="V32" s="755"/>
      <c r="W32" s="83"/>
      <c r="X32" s="756" t="s">
        <v>217</v>
      </c>
      <c r="Y32" s="813" t="s">
        <v>218</v>
      </c>
      <c r="Z32" s="813"/>
      <c r="AA32" s="755" t="s">
        <v>300</v>
      </c>
      <c r="AC32" s="756" t="s">
        <v>217</v>
      </c>
      <c r="AD32" s="813" t="s">
        <v>218</v>
      </c>
      <c r="AE32" s="813"/>
      <c r="AF32" s="755" t="s">
        <v>300</v>
      </c>
      <c r="AG32" s="755"/>
      <c r="AH32" s="83"/>
      <c r="AI32" s="756" t="s">
        <v>217</v>
      </c>
      <c r="AJ32" s="813" t="s">
        <v>218</v>
      </c>
      <c r="AK32" s="813"/>
      <c r="AL32" s="756" t="s">
        <v>300</v>
      </c>
      <c r="AM32" s="85"/>
      <c r="AN32" s="756" t="s">
        <v>217</v>
      </c>
      <c r="AO32" s="813" t="s">
        <v>218</v>
      </c>
      <c r="AP32" s="813"/>
      <c r="AQ32" s="756" t="s">
        <v>300</v>
      </c>
      <c r="AR32" s="191"/>
    </row>
    <row r="33" spans="1:44" ht="31.2" customHeight="1" x14ac:dyDescent="0.25">
      <c r="A33" s="83"/>
      <c r="B33" s="409"/>
      <c r="C33" s="814" t="str">
        <f>IF(B33&lt;&gt;0,LOOKUP(B33,Actions!$B$4:$B$26,Actions!$C$4:$C$26),"")</f>
        <v/>
      </c>
      <c r="D33" s="815"/>
      <c r="E33" s="186" t="str">
        <f>IF(B33&lt;&gt;0,LOOKUP(B33,Actions!$B$4:$B$26,Actions!$F$4:$F$26),"")</f>
        <v/>
      </c>
      <c r="G33" s="409"/>
      <c r="H33" s="814" t="str">
        <f>IF(G33&lt;&gt;0,LOOKUP(G33,Actions!$B$4:$B$26,Actions!$C$4:$C$26),"")</f>
        <v/>
      </c>
      <c r="I33" s="816"/>
      <c r="J33" s="186" t="str">
        <f>IF(G33&lt;&gt;0,LOOKUP(G33,Actions!$B$4:$B$26,Actions!$F$4:$F$26),"")</f>
        <v/>
      </c>
      <c r="K33" s="189"/>
      <c r="L33" s="83"/>
      <c r="M33" s="372"/>
      <c r="N33" s="814" t="str">
        <f>IF(M33&lt;&gt;0,LOOKUP(M33,Actions!$B$4:$B$26,Actions!$C$4:$C$26),"")</f>
        <v/>
      </c>
      <c r="O33" s="815"/>
      <c r="P33" s="186" t="str">
        <f>IF(M33&lt;&gt;0,LOOKUP(M33,Actions!$B$4:$B$26,Actions!$F$4:$F$26),"")</f>
        <v/>
      </c>
      <c r="R33" s="372"/>
      <c r="S33" s="814" t="str">
        <f>IF(R33&lt;&gt;0,LOOKUP(R33,Actions!$B$4:$B$26,Actions!$C$4:$C$26),"")</f>
        <v/>
      </c>
      <c r="T33" s="816"/>
      <c r="U33" s="186" t="str">
        <f>IF(R33&lt;&gt;0,LOOKUP(R33,Actions!$B$4:$B$26,Actions!$F$4:$F$26),"")</f>
        <v/>
      </c>
      <c r="V33" s="189"/>
      <c r="W33" s="83"/>
      <c r="X33" s="389"/>
      <c r="Y33" s="814" t="str">
        <f>IF(X33&lt;&gt;0,LOOKUP(X33,Actions!$B$4:$B$26,Actions!$C$4:$C$26),"")</f>
        <v/>
      </c>
      <c r="Z33" s="815"/>
      <c r="AA33" s="186" t="str">
        <f>IF(X33&lt;&gt;0,LOOKUP(X33,Actions!$B$4:$B$26,Actions!$F$4:$F$26),"")</f>
        <v/>
      </c>
      <c r="AC33" s="389"/>
      <c r="AD33" s="814" t="str">
        <f>IF(AC33&lt;&gt;0,LOOKUP(AC33,Actions!$B$4:$B$26,Actions!$C$4:$C$26),"")</f>
        <v/>
      </c>
      <c r="AE33" s="816"/>
      <c r="AF33" s="186" t="str">
        <f>IF(AC33&lt;&gt;0,LOOKUP(AC33,Actions!$B$4:$B$26,Actions!$F$4:$F$26),"")</f>
        <v/>
      </c>
      <c r="AG33" s="189"/>
      <c r="AH33" s="83"/>
      <c r="AI33" s="174"/>
      <c r="AJ33" s="814" t="str">
        <f>IF(AI33&lt;&gt;0,LOOKUP(AI33,Actions!$B$4:$B$26,Actions!$C$4:$C$26),"")</f>
        <v/>
      </c>
      <c r="AK33" s="815"/>
      <c r="AL33" s="186" t="str">
        <f>IF(AI33&lt;&gt;0,LOOKUP(AI33,Actions!$B$4:$B$26,Actions!$F$4:$F$26),"")</f>
        <v/>
      </c>
      <c r="AM33" s="85"/>
      <c r="AN33" s="174"/>
      <c r="AO33" s="814" t="str">
        <f>IF(AN33&lt;&gt;0,LOOKUP(AN33,Actions!$B$4:$B$26,Actions!$C$4:$C$26),"")</f>
        <v/>
      </c>
      <c r="AP33" s="816"/>
      <c r="AQ33" s="186" t="str">
        <f>IF(AN33&lt;&gt;0,LOOKUP(AN33,Actions!$B$4:$B$26,Actions!$F$4:$F$26),"")</f>
        <v/>
      </c>
      <c r="AR33" s="731"/>
    </row>
    <row r="34" spans="1:44" ht="31.2" customHeight="1" x14ac:dyDescent="0.25">
      <c r="A34" s="83"/>
      <c r="B34" s="411"/>
      <c r="C34" s="805" t="str">
        <f>IF(B34&lt;&gt;0,LOOKUP(B34,Actions!$B$4:$B$26,Actions!$C$4:$C$26),"")</f>
        <v/>
      </c>
      <c r="D34" s="806"/>
      <c r="E34" s="187" t="str">
        <f>IF(B34&lt;&gt;0,LOOKUP(B34,Actions!$B$4:$B$26,Actions!$F$4:$F$26),"")</f>
        <v/>
      </c>
      <c r="G34" s="411"/>
      <c r="H34" s="805" t="str">
        <f>IF(G34&lt;&gt;0,LOOKUP(G34,Actions!$B$4:$B$26,Actions!$C$4:$C$26),"")</f>
        <v/>
      </c>
      <c r="I34" s="807"/>
      <c r="J34" s="187" t="str">
        <f>IF(G34&lt;&gt;0,LOOKUP(G34,Actions!$B$4:$B$26,Actions!$F$4:$F$26),"")</f>
        <v/>
      </c>
      <c r="K34" s="189"/>
      <c r="L34" s="83"/>
      <c r="M34" s="374"/>
      <c r="N34" s="805" t="str">
        <f>IF(M34&lt;&gt;0,LOOKUP(M34,Actions!$B$4:$B$26,Actions!$C$4:$C$26),"")</f>
        <v/>
      </c>
      <c r="O34" s="806"/>
      <c r="P34" s="187" t="str">
        <f>IF(M34&lt;&gt;0,LOOKUP(M34,Actions!$B$4:$B$26,Actions!$F$4:$F$26),"")</f>
        <v/>
      </c>
      <c r="R34" s="374"/>
      <c r="S34" s="805" t="str">
        <f>IF(R34&lt;&gt;0,LOOKUP(R34,Actions!$B$4:$B$26,Actions!$C$4:$C$26),"")</f>
        <v/>
      </c>
      <c r="T34" s="807"/>
      <c r="U34" s="187" t="str">
        <f>IF(R34&lt;&gt;0,LOOKUP(R34,Actions!$B$4:$B$26,Actions!$F$4:$F$26),"")</f>
        <v/>
      </c>
      <c r="V34" s="189"/>
      <c r="W34" s="83"/>
      <c r="X34" s="391"/>
      <c r="Y34" s="805" t="str">
        <f>IF(X34&lt;&gt;0,LOOKUP(X34,Actions!$B$4:$B$26,Actions!$C$4:$C$26),"")</f>
        <v/>
      </c>
      <c r="Z34" s="806"/>
      <c r="AA34" s="187" t="str">
        <f>IF(X34&lt;&gt;0,LOOKUP(X34,Actions!$B$4:$B$26,Actions!$F$4:$F$26),"")</f>
        <v/>
      </c>
      <c r="AC34" s="391"/>
      <c r="AD34" s="805" t="str">
        <f>IF(AC34&lt;&gt;0,LOOKUP(AC34,Actions!$B$4:$B$26,Actions!$C$4:$C$26),"")</f>
        <v/>
      </c>
      <c r="AE34" s="807"/>
      <c r="AF34" s="187" t="str">
        <f>IF(AC34&lt;&gt;0,LOOKUP(AC34,Actions!$B$4:$B$26,Actions!$F$4:$F$26),"")</f>
        <v/>
      </c>
      <c r="AG34" s="189"/>
      <c r="AH34" s="83"/>
      <c r="AI34" s="176"/>
      <c r="AJ34" s="805" t="str">
        <f>IF(AI34&lt;&gt;0,LOOKUP(AI34,Actions!$B$4:$B$26,Actions!$C$4:$C$26),"")</f>
        <v/>
      </c>
      <c r="AK34" s="806"/>
      <c r="AL34" s="187" t="str">
        <f>IF(AI34&lt;&gt;0,LOOKUP(AI34,Actions!$B$4:$B$26,Actions!$F$4:$F$26),"")</f>
        <v/>
      </c>
      <c r="AM34" s="85"/>
      <c r="AN34" s="176"/>
      <c r="AO34" s="805" t="str">
        <f>IF(AN34&lt;&gt;0,LOOKUP(AN34,Actions!$B$4:$B$26,Actions!$C$4:$C$26),"")</f>
        <v/>
      </c>
      <c r="AP34" s="807"/>
      <c r="AQ34" s="187" t="str">
        <f>IF(AN34&lt;&gt;0,LOOKUP(AN34,Actions!$B$4:$B$26,Actions!$F$4:$F$26),"")</f>
        <v/>
      </c>
      <c r="AR34" s="731"/>
    </row>
    <row r="35" spans="1:44" ht="31.2" customHeight="1" thickBot="1" x14ac:dyDescent="0.3">
      <c r="A35" s="83"/>
      <c r="B35" s="410"/>
      <c r="C35" s="808" t="str">
        <f>IF(B35&lt;&gt;0,LOOKUP(B35,Actions!$B$4:$B$26,Actions!$C$4:$C$26),"")</f>
        <v/>
      </c>
      <c r="D35" s="809"/>
      <c r="E35" s="188" t="str">
        <f>IF(B35&lt;&gt;0,LOOKUP(B35,Actions!$B$4:$B$26,Actions!$F$4:$F$26),"")</f>
        <v/>
      </c>
      <c r="G35" s="410"/>
      <c r="H35" s="808" t="str">
        <f>IF(G35&lt;&gt;0,LOOKUP(G35,Actions!$B$4:$B$26,Actions!$C$4:$C$26),"")</f>
        <v/>
      </c>
      <c r="I35" s="810"/>
      <c r="J35" s="188" t="str">
        <f>IF(G35&lt;&gt;0,LOOKUP(G35,Actions!$B$4:$B$26,Actions!$F$4:$F$26),"")</f>
        <v/>
      </c>
      <c r="K35" s="189"/>
      <c r="L35" s="83"/>
      <c r="M35" s="373"/>
      <c r="N35" s="808" t="str">
        <f>IF(M35&lt;&gt;0,LOOKUP(M35,Actions!$B$4:$B$26,Actions!$C$4:$C$26),"")</f>
        <v/>
      </c>
      <c r="O35" s="809"/>
      <c r="P35" s="188" t="str">
        <f>IF(M35&lt;&gt;0,LOOKUP(M35,Actions!$B$4:$B$26,Actions!$F$4:$F$26),"")</f>
        <v/>
      </c>
      <c r="R35" s="373"/>
      <c r="S35" s="808" t="str">
        <f>IF(R35&lt;&gt;0,LOOKUP(R35,Actions!$B$4:$B$26,Actions!$C$4:$C$26),"")</f>
        <v/>
      </c>
      <c r="T35" s="810"/>
      <c r="U35" s="188" t="str">
        <f>IF(R35&lt;&gt;0,LOOKUP(R35,Actions!$B$4:$B$26,Actions!$F$4:$F$26),"")</f>
        <v/>
      </c>
      <c r="V35" s="189"/>
      <c r="W35" s="83"/>
      <c r="X35" s="390"/>
      <c r="Y35" s="808" t="str">
        <f>IF(X35&lt;&gt;0,LOOKUP(X35,Actions!$B$4:$B$26,Actions!$C$4:$C$26),"")</f>
        <v/>
      </c>
      <c r="Z35" s="809"/>
      <c r="AA35" s="188" t="str">
        <f>IF(X35&lt;&gt;0,LOOKUP(X35,Actions!$B$4:$B$26,Actions!$F$4:$F$26),"")</f>
        <v/>
      </c>
      <c r="AC35" s="390"/>
      <c r="AD35" s="808" t="str">
        <f>IF(AC35&lt;&gt;0,LOOKUP(AC35,Actions!$B$4:$B$26,Actions!$C$4:$C$26),"")</f>
        <v/>
      </c>
      <c r="AE35" s="810"/>
      <c r="AF35" s="188" t="str">
        <f>IF(AC35&lt;&gt;0,LOOKUP(AC35,Actions!$B$4:$B$26,Actions!$F$4:$F$26),"")</f>
        <v/>
      </c>
      <c r="AG35" s="189"/>
      <c r="AH35" s="83"/>
      <c r="AI35" s="175"/>
      <c r="AJ35" s="808" t="str">
        <f>IF(AI35&lt;&gt;0,LOOKUP(AI35,Actions!$B$4:$B$26,Actions!$C$4:$C$26),"")</f>
        <v/>
      </c>
      <c r="AK35" s="809"/>
      <c r="AL35" s="188" t="str">
        <f>IF(AI35&lt;&gt;0,LOOKUP(AI35,Actions!$B$4:$B$26,Actions!$F$4:$F$26),"")</f>
        <v/>
      </c>
      <c r="AM35" s="85"/>
      <c r="AN35" s="175"/>
      <c r="AO35" s="808" t="str">
        <f>IF(AN35&lt;&gt;0,LOOKUP(AN35,Actions!$B$4:$B$26,Actions!$C$4:$C$26),"")</f>
        <v/>
      </c>
      <c r="AP35" s="810"/>
      <c r="AQ35" s="188" t="str">
        <f>IF(AN35&lt;&gt;0,LOOKUP(AN35,Actions!$B$4:$B$26,Actions!$F$4:$F$26),"")</f>
        <v/>
      </c>
      <c r="AR35" s="731"/>
    </row>
    <row r="36" spans="1:44" ht="21.6" customHeight="1" thickBot="1" x14ac:dyDescent="0.3">
      <c r="A36" s="83"/>
      <c r="L36" s="83"/>
      <c r="W36" s="83"/>
      <c r="AH36" s="97"/>
      <c r="AI36" s="98"/>
      <c r="AJ36" s="98"/>
      <c r="AK36" s="98"/>
      <c r="AL36" s="98"/>
      <c r="AM36" s="98"/>
      <c r="AN36" s="98"/>
      <c r="AO36" s="98"/>
      <c r="AP36" s="98"/>
      <c r="AQ36" s="98"/>
      <c r="AR36" s="99"/>
    </row>
    <row r="37" spans="1:44" ht="21.6" customHeight="1" x14ac:dyDescent="0.25">
      <c r="A37" s="79"/>
      <c r="B37" s="717" t="s">
        <v>427</v>
      </c>
      <c r="C37" s="80"/>
      <c r="D37" s="80"/>
      <c r="E37" s="80"/>
      <c r="F37" s="80"/>
      <c r="G37" s="80"/>
      <c r="H37" s="80"/>
      <c r="I37" s="80"/>
      <c r="J37" s="80"/>
      <c r="K37" s="82"/>
      <c r="L37" s="79"/>
      <c r="M37" s="717" t="s">
        <v>427</v>
      </c>
      <c r="N37" s="80"/>
      <c r="O37" s="80"/>
      <c r="P37" s="80"/>
      <c r="Q37" s="80"/>
      <c r="R37" s="80"/>
      <c r="S37" s="80"/>
      <c r="T37" s="80"/>
      <c r="U37" s="80"/>
      <c r="V37" s="82"/>
      <c r="W37" s="79"/>
      <c r="X37" s="717" t="s">
        <v>427</v>
      </c>
      <c r="Y37" s="80"/>
      <c r="Z37" s="80"/>
      <c r="AA37" s="80"/>
      <c r="AB37" s="80"/>
      <c r="AC37" s="80"/>
      <c r="AD37" s="80"/>
      <c r="AE37" s="80"/>
      <c r="AF37" s="80"/>
      <c r="AG37" s="82"/>
      <c r="AH37" s="79"/>
      <c r="AI37" s="717" t="s">
        <v>427</v>
      </c>
      <c r="AJ37" s="80"/>
      <c r="AK37" s="80"/>
      <c r="AL37" s="80"/>
      <c r="AM37" s="80"/>
      <c r="AN37" s="80"/>
      <c r="AO37" s="80"/>
      <c r="AP37" s="80"/>
      <c r="AQ37" s="80"/>
      <c r="AR37" s="82"/>
    </row>
    <row r="38" spans="1:44" ht="21.6" customHeight="1" thickBot="1" x14ac:dyDescent="0.3">
      <c r="A38" s="83"/>
      <c r="B38" s="89"/>
      <c r="C38" s="90"/>
      <c r="D38" s="91" t="s">
        <v>64</v>
      </c>
      <c r="E38" s="91" t="s">
        <v>65</v>
      </c>
      <c r="F38" s="91" t="s">
        <v>66</v>
      </c>
      <c r="G38" s="85"/>
      <c r="H38" s="85"/>
      <c r="I38" s="85"/>
      <c r="J38" s="85"/>
      <c r="K38" s="88"/>
      <c r="L38" s="83"/>
      <c r="M38" s="89"/>
      <c r="N38" s="90"/>
      <c r="O38" s="91" t="s">
        <v>64</v>
      </c>
      <c r="P38" s="91" t="s">
        <v>65</v>
      </c>
      <c r="Q38" s="91" t="s">
        <v>66</v>
      </c>
      <c r="R38" s="85"/>
      <c r="S38" s="85"/>
      <c r="T38" s="85"/>
      <c r="U38" s="85"/>
      <c r="V38" s="88"/>
      <c r="W38" s="83"/>
      <c r="X38" s="89"/>
      <c r="Y38" s="90"/>
      <c r="Z38" s="91" t="s">
        <v>64</v>
      </c>
      <c r="AA38" s="91" t="s">
        <v>65</v>
      </c>
      <c r="AB38" s="91" t="s">
        <v>66</v>
      </c>
      <c r="AC38" s="85"/>
      <c r="AD38" s="85"/>
      <c r="AE38" s="85"/>
      <c r="AF38" s="85"/>
      <c r="AG38" s="88"/>
      <c r="AH38" s="83"/>
      <c r="AI38" s="89"/>
      <c r="AJ38" s="90"/>
      <c r="AK38" s="91" t="s">
        <v>64</v>
      </c>
      <c r="AL38" s="91" t="s">
        <v>65</v>
      </c>
      <c r="AM38" s="91" t="s">
        <v>66</v>
      </c>
      <c r="AN38" s="85"/>
      <c r="AO38" s="85"/>
      <c r="AP38" s="85"/>
      <c r="AQ38" s="85"/>
      <c r="AR38" s="88"/>
    </row>
    <row r="39" spans="1:44" ht="25.2" customHeight="1" thickBot="1" x14ac:dyDescent="0.3">
      <c r="A39" s="83"/>
      <c r="B39" s="92" t="s">
        <v>213</v>
      </c>
      <c r="C39" s="84"/>
      <c r="D39" s="406"/>
      <c r="E39" s="407"/>
      <c r="F39" s="408"/>
      <c r="G39" s="85"/>
      <c r="H39" s="313">
        <f>SUM(D39:F39)</f>
        <v>0</v>
      </c>
      <c r="I39" s="85"/>
      <c r="J39" s="85"/>
      <c r="K39" s="88"/>
      <c r="L39" s="83"/>
      <c r="M39" s="92" t="s">
        <v>213</v>
      </c>
      <c r="N39" s="84"/>
      <c r="O39" s="369"/>
      <c r="P39" s="370"/>
      <c r="Q39" s="371"/>
      <c r="R39" s="85"/>
      <c r="S39" s="313">
        <f>SUM(O39:Q39)</f>
        <v>0</v>
      </c>
      <c r="T39" s="85"/>
      <c r="U39" s="85"/>
      <c r="V39" s="88"/>
      <c r="W39" s="83"/>
      <c r="X39" s="92" t="s">
        <v>213</v>
      </c>
      <c r="Y39" s="84"/>
      <c r="Z39" s="386"/>
      <c r="AA39" s="387"/>
      <c r="AB39" s="388"/>
      <c r="AC39" s="85"/>
      <c r="AD39" s="313">
        <f>SUM(Z39:AB39)</f>
        <v>0</v>
      </c>
      <c r="AE39" s="85"/>
      <c r="AF39" s="85"/>
      <c r="AG39" s="88"/>
      <c r="AH39" s="83"/>
      <c r="AI39" s="92" t="s">
        <v>213</v>
      </c>
      <c r="AJ39" s="84"/>
      <c r="AK39" s="183"/>
      <c r="AL39" s="184"/>
      <c r="AM39" s="185"/>
      <c r="AN39" s="85"/>
      <c r="AO39" s="313">
        <f>SUM(AK39:AM39)</f>
        <v>0</v>
      </c>
      <c r="AP39" s="85"/>
      <c r="AQ39" s="85"/>
      <c r="AR39" s="88"/>
    </row>
    <row r="40" spans="1:44" ht="15" customHeight="1" thickBot="1" x14ac:dyDescent="0.3">
      <c r="A40" s="83"/>
      <c r="B40" s="85"/>
      <c r="C40" s="85"/>
      <c r="D40" s="85"/>
      <c r="E40" s="85"/>
      <c r="F40" s="85"/>
      <c r="G40" s="85"/>
      <c r="H40" s="85"/>
      <c r="I40" s="85"/>
      <c r="J40" s="85"/>
      <c r="K40" s="88"/>
      <c r="L40" s="83"/>
      <c r="M40" s="85"/>
      <c r="N40" s="85"/>
      <c r="O40" s="85"/>
      <c r="P40" s="85"/>
      <c r="Q40" s="85"/>
      <c r="R40" s="85"/>
      <c r="S40" s="85"/>
      <c r="T40" s="85"/>
      <c r="U40" s="85"/>
      <c r="V40" s="88"/>
      <c r="W40" s="83"/>
      <c r="X40" s="85"/>
      <c r="Y40" s="85"/>
      <c r="Z40" s="85"/>
      <c r="AA40" s="85"/>
      <c r="AB40" s="85"/>
      <c r="AC40" s="85"/>
      <c r="AD40" s="85"/>
      <c r="AE40" s="85"/>
      <c r="AF40" s="85"/>
      <c r="AG40" s="88"/>
      <c r="AH40" s="83"/>
      <c r="AI40" s="85"/>
      <c r="AJ40" s="85"/>
      <c r="AK40" s="85"/>
      <c r="AL40" s="85"/>
      <c r="AM40" s="85"/>
      <c r="AN40" s="85"/>
      <c r="AO40" s="85"/>
      <c r="AP40" s="85"/>
      <c r="AQ40" s="85"/>
      <c r="AR40" s="88"/>
    </row>
    <row r="41" spans="1:44" ht="25.2" customHeight="1" thickBot="1" x14ac:dyDescent="0.3">
      <c r="A41" s="83"/>
      <c r="B41" s="92" t="s">
        <v>205</v>
      </c>
      <c r="C41" s="85"/>
      <c r="D41" s="85"/>
      <c r="E41" s="412"/>
      <c r="F41" s="22" t="s">
        <v>426</v>
      </c>
      <c r="G41" s="85"/>
      <c r="H41" s="85"/>
      <c r="I41" s="85"/>
      <c r="J41" s="85"/>
      <c r="K41" s="88"/>
      <c r="L41" s="83"/>
      <c r="M41" s="92" t="s">
        <v>205</v>
      </c>
      <c r="N41" s="85"/>
      <c r="O41" s="85"/>
      <c r="P41" s="375"/>
      <c r="Q41" s="22" t="s">
        <v>426</v>
      </c>
      <c r="R41" s="85"/>
      <c r="S41" s="85"/>
      <c r="T41" s="85"/>
      <c r="U41" s="85"/>
      <c r="V41" s="88"/>
      <c r="W41" s="83"/>
      <c r="X41" s="92" t="s">
        <v>205</v>
      </c>
      <c r="Y41" s="85"/>
      <c r="Z41" s="85"/>
      <c r="AA41" s="392"/>
      <c r="AB41" s="22" t="s">
        <v>426</v>
      </c>
      <c r="AC41" s="85"/>
      <c r="AD41" s="85"/>
      <c r="AE41" s="85"/>
      <c r="AF41" s="85"/>
      <c r="AG41" s="88"/>
      <c r="AH41" s="83"/>
      <c r="AI41" s="92" t="s">
        <v>205</v>
      </c>
      <c r="AJ41" s="85"/>
      <c r="AK41" s="85"/>
      <c r="AL41" s="177"/>
      <c r="AM41" s="22" t="s">
        <v>426</v>
      </c>
      <c r="AN41" s="85"/>
      <c r="AO41" s="85"/>
      <c r="AP41" s="85"/>
      <c r="AQ41" s="85"/>
      <c r="AR41" s="88"/>
    </row>
    <row r="42" spans="1:44" ht="15" customHeight="1" thickBot="1" x14ac:dyDescent="0.3">
      <c r="A42" s="97"/>
      <c r="B42" s="98"/>
      <c r="C42" s="98"/>
      <c r="D42" s="98"/>
      <c r="E42" s="98"/>
      <c r="F42" s="98"/>
      <c r="G42" s="98"/>
      <c r="H42" s="98"/>
      <c r="I42" s="98"/>
      <c r="J42" s="98"/>
      <c r="K42" s="99"/>
      <c r="L42" s="97"/>
      <c r="M42" s="98"/>
      <c r="N42" s="98"/>
      <c r="O42" s="98"/>
      <c r="P42" s="98"/>
      <c r="Q42" s="98"/>
      <c r="R42" s="98"/>
      <c r="S42" s="98"/>
      <c r="T42" s="98"/>
      <c r="U42" s="98"/>
      <c r="V42" s="99"/>
      <c r="W42" s="97"/>
      <c r="X42" s="98"/>
      <c r="Y42" s="98"/>
      <c r="Z42" s="98"/>
      <c r="AA42" s="98"/>
      <c r="AB42" s="98"/>
      <c r="AC42" s="98"/>
      <c r="AD42" s="98"/>
      <c r="AE42" s="98"/>
      <c r="AF42" s="98"/>
      <c r="AG42" s="99"/>
      <c r="AH42" s="97"/>
      <c r="AI42" s="98"/>
      <c r="AJ42" s="98"/>
      <c r="AK42" s="98"/>
      <c r="AL42" s="98"/>
      <c r="AM42" s="98"/>
      <c r="AN42" s="98"/>
      <c r="AO42" s="98"/>
      <c r="AP42" s="98"/>
      <c r="AQ42" s="98"/>
      <c r="AR42" s="99"/>
    </row>
    <row r="43" spans="1:44" ht="21.6" customHeight="1" thickBot="1" x14ac:dyDescent="0.3">
      <c r="A43" s="817" t="s">
        <v>64</v>
      </c>
      <c r="B43" s="818"/>
      <c r="C43" s="818"/>
      <c r="D43" s="818"/>
      <c r="E43" s="818"/>
      <c r="F43" s="818"/>
      <c r="G43" s="818"/>
      <c r="H43" s="818"/>
      <c r="I43" s="818"/>
      <c r="J43" s="818"/>
      <c r="K43" s="819"/>
      <c r="L43" s="817" t="s">
        <v>64</v>
      </c>
      <c r="M43" s="818"/>
      <c r="N43" s="818"/>
      <c r="O43" s="818"/>
      <c r="P43" s="818"/>
      <c r="Q43" s="818"/>
      <c r="R43" s="818"/>
      <c r="S43" s="818"/>
      <c r="T43" s="818"/>
      <c r="U43" s="818"/>
      <c r="V43" s="819"/>
      <c r="W43" s="817" t="s">
        <v>64</v>
      </c>
      <c r="X43" s="818"/>
      <c r="Y43" s="818"/>
      <c r="Z43" s="818"/>
      <c r="AA43" s="818"/>
      <c r="AB43" s="818"/>
      <c r="AC43" s="818"/>
      <c r="AD43" s="818"/>
      <c r="AE43" s="818"/>
      <c r="AF43" s="818"/>
      <c r="AG43" s="819"/>
      <c r="AH43" s="817" t="s">
        <v>64</v>
      </c>
      <c r="AI43" s="818"/>
      <c r="AJ43" s="818"/>
      <c r="AK43" s="818"/>
      <c r="AL43" s="818"/>
      <c r="AM43" s="818"/>
      <c r="AN43" s="818"/>
      <c r="AO43" s="818"/>
      <c r="AP43" s="818"/>
      <c r="AQ43" s="818"/>
      <c r="AR43" s="819"/>
    </row>
    <row r="44" spans="1:44" ht="16.2" customHeight="1" thickBot="1" x14ac:dyDescent="0.3">
      <c r="A44" s="79"/>
      <c r="B44" s="53"/>
      <c r="C44" s="53"/>
      <c r="D44" s="80"/>
      <c r="E44" s="80"/>
      <c r="F44" s="80"/>
      <c r="G44" s="80"/>
      <c r="H44" s="80"/>
      <c r="J44" s="80"/>
      <c r="K44" s="82"/>
      <c r="L44" s="79"/>
      <c r="M44" s="53"/>
      <c r="N44" s="53"/>
      <c r="O44" s="80"/>
      <c r="P44" s="80"/>
      <c r="Q44" s="80"/>
      <c r="R44" s="80"/>
      <c r="S44" s="80"/>
      <c r="U44" s="80"/>
      <c r="V44" s="82"/>
      <c r="W44" s="79"/>
      <c r="X44" s="53"/>
      <c r="Y44" s="53"/>
      <c r="Z44" s="80"/>
      <c r="AA44" s="80"/>
      <c r="AB44" s="80"/>
      <c r="AC44" s="80"/>
      <c r="AD44" s="80"/>
      <c r="AF44" s="80"/>
      <c r="AG44" s="82"/>
      <c r="AH44" s="79"/>
      <c r="AI44" s="53"/>
      <c r="AJ44" s="53"/>
      <c r="AK44" s="80"/>
      <c r="AL44" s="80"/>
      <c r="AM44" s="80"/>
      <c r="AN44" s="80"/>
      <c r="AO44" s="80"/>
      <c r="AQ44" s="80"/>
      <c r="AR44" s="82"/>
    </row>
    <row r="45" spans="1:44" ht="21.6" customHeight="1" thickBot="1" x14ac:dyDescent="0.3">
      <c r="A45" s="83"/>
      <c r="B45" s="93" t="s">
        <v>14</v>
      </c>
      <c r="C45" s="52"/>
      <c r="D45" s="412"/>
      <c r="E45" s="85"/>
      <c r="F45" s="748" t="s">
        <v>220</v>
      </c>
      <c r="G45" s="85"/>
      <c r="H45" s="85"/>
      <c r="I45" s="797" t="s">
        <v>222</v>
      </c>
      <c r="J45" s="85"/>
      <c r="K45" s="88"/>
      <c r="L45" s="83"/>
      <c r="M45" s="93" t="s">
        <v>14</v>
      </c>
      <c r="N45" s="52"/>
      <c r="O45" s="375"/>
      <c r="P45" s="85"/>
      <c r="Q45" s="748" t="s">
        <v>220</v>
      </c>
      <c r="R45" s="85"/>
      <c r="S45" s="85"/>
      <c r="T45" s="797" t="s">
        <v>222</v>
      </c>
      <c r="U45" s="85"/>
      <c r="V45" s="88"/>
      <c r="W45" s="83"/>
      <c r="X45" s="93" t="s">
        <v>14</v>
      </c>
      <c r="Y45" s="52"/>
      <c r="Z45" s="392"/>
      <c r="AA45" s="85"/>
      <c r="AB45" s="748" t="s">
        <v>220</v>
      </c>
      <c r="AC45" s="85"/>
      <c r="AD45" s="85"/>
      <c r="AE45" s="797" t="s">
        <v>222</v>
      </c>
      <c r="AF45" s="85"/>
      <c r="AG45" s="88"/>
      <c r="AH45" s="83"/>
      <c r="AI45" s="93" t="s">
        <v>14</v>
      </c>
      <c r="AJ45" s="52"/>
      <c r="AK45" s="177"/>
      <c r="AL45" s="85"/>
      <c r="AM45" s="748" t="s">
        <v>220</v>
      </c>
      <c r="AN45" s="85"/>
      <c r="AO45" s="85"/>
      <c r="AP45" s="797" t="s">
        <v>222</v>
      </c>
      <c r="AQ45" s="85"/>
      <c r="AR45" s="88"/>
    </row>
    <row r="46" spans="1:44" ht="22.2" customHeight="1" thickBot="1" x14ac:dyDescent="0.3">
      <c r="A46" s="83"/>
      <c r="B46" s="93" t="s">
        <v>221</v>
      </c>
      <c r="C46" s="85"/>
      <c r="D46" s="100"/>
      <c r="E46" s="748" t="s">
        <v>86</v>
      </c>
      <c r="F46" s="746" t="s">
        <v>324</v>
      </c>
      <c r="G46" s="748" t="s">
        <v>323</v>
      </c>
      <c r="H46" s="85"/>
      <c r="I46" s="798"/>
      <c r="J46" s="748" t="s">
        <v>124</v>
      </c>
      <c r="K46" s="191"/>
      <c r="L46" s="83"/>
      <c r="M46" s="93" t="s">
        <v>221</v>
      </c>
      <c r="N46" s="85"/>
      <c r="O46" s="100"/>
      <c r="P46" s="748" t="s">
        <v>86</v>
      </c>
      <c r="Q46" s="746" t="s">
        <v>324</v>
      </c>
      <c r="R46" s="748" t="s">
        <v>323</v>
      </c>
      <c r="S46" s="85"/>
      <c r="T46" s="798"/>
      <c r="U46" s="748" t="s">
        <v>124</v>
      </c>
      <c r="V46" s="191"/>
      <c r="W46" s="83"/>
      <c r="X46" s="93" t="s">
        <v>221</v>
      </c>
      <c r="Y46" s="85"/>
      <c r="Z46" s="100"/>
      <c r="AA46" s="748" t="s">
        <v>86</v>
      </c>
      <c r="AB46" s="746" t="s">
        <v>324</v>
      </c>
      <c r="AC46" s="748" t="s">
        <v>323</v>
      </c>
      <c r="AD46" s="85"/>
      <c r="AE46" s="798"/>
      <c r="AF46" s="748" t="s">
        <v>124</v>
      </c>
      <c r="AG46" s="191"/>
      <c r="AH46" s="83"/>
      <c r="AI46" s="93" t="s">
        <v>221</v>
      </c>
      <c r="AJ46" s="85"/>
      <c r="AK46" s="100"/>
      <c r="AL46" s="748" t="s">
        <v>86</v>
      </c>
      <c r="AM46" s="746" t="s">
        <v>324</v>
      </c>
      <c r="AN46" s="748" t="s">
        <v>323</v>
      </c>
      <c r="AO46" s="85"/>
      <c r="AP46" s="798"/>
      <c r="AQ46" s="748" t="s">
        <v>124</v>
      </c>
      <c r="AR46" s="88"/>
    </row>
    <row r="47" spans="1:44" ht="25.2" customHeight="1" x14ac:dyDescent="0.25">
      <c r="A47" s="83"/>
      <c r="B47" s="12" t="str">
        <f>B20</f>
        <v>Collecte</v>
      </c>
      <c r="C47" s="54" t="str">
        <f>C20</f>
        <v>Court terme</v>
      </c>
      <c r="D47" s="416"/>
      <c r="E47" s="318">
        <f>Scénario!D3</f>
        <v>0.2</v>
      </c>
      <c r="F47" s="311">
        <f>Calcul!C57</f>
        <v>1</v>
      </c>
      <c r="G47" s="419"/>
      <c r="H47" s="94"/>
      <c r="I47" s="416"/>
      <c r="J47" s="168">
        <f>IF(D47&lt;&gt;0,Constantes!$E10,0)</f>
        <v>0</v>
      </c>
      <c r="K47" s="322"/>
      <c r="L47" s="83"/>
      <c r="M47" s="12" t="str">
        <f>M20</f>
        <v>Collecte</v>
      </c>
      <c r="N47" s="54" t="str">
        <f>N20</f>
        <v>Court terme</v>
      </c>
      <c r="O47" s="379"/>
      <c r="P47" s="318">
        <f>Scénario!E3</f>
        <v>0.2</v>
      </c>
      <c r="Q47" s="311">
        <f>Calcul!N57</f>
        <v>1</v>
      </c>
      <c r="R47" s="382"/>
      <c r="S47" s="94"/>
      <c r="T47" s="379"/>
      <c r="U47" s="168">
        <f>IF(O47&lt;&gt;0,Constantes!$E10,0)</f>
        <v>0</v>
      </c>
      <c r="V47" s="322"/>
      <c r="W47" s="83"/>
      <c r="X47" s="12" t="str">
        <f>X20</f>
        <v>Collecte</v>
      </c>
      <c r="Y47" s="54" t="str">
        <f>Y20</f>
        <v>Court terme</v>
      </c>
      <c r="Z47" s="396"/>
      <c r="AA47" s="318">
        <f>Scénario!F3</f>
        <v>0.3</v>
      </c>
      <c r="AB47" s="311">
        <f>Calcul!Y57</f>
        <v>1</v>
      </c>
      <c r="AC47" s="399"/>
      <c r="AD47" s="94"/>
      <c r="AE47" s="396"/>
      <c r="AF47" s="168">
        <f>IF(Z47&lt;&gt;0,Constantes!$E10,0)</f>
        <v>0</v>
      </c>
      <c r="AG47" s="322"/>
      <c r="AH47" s="83"/>
      <c r="AI47" s="12" t="str">
        <f>AI20</f>
        <v>Collecte</v>
      </c>
      <c r="AJ47" s="54" t="str">
        <f>AJ20</f>
        <v>Court terme</v>
      </c>
      <c r="AK47" s="178"/>
      <c r="AL47" s="318">
        <f>Scénario!G3</f>
        <v>0.2</v>
      </c>
      <c r="AM47" s="311">
        <f>Calcul!AJ57</f>
        <v>1</v>
      </c>
      <c r="AN47" s="319"/>
      <c r="AO47" s="94"/>
      <c r="AP47" s="178"/>
      <c r="AQ47" s="168">
        <f>IF(AK47&lt;&gt;0,Constantes!$E10,0)</f>
        <v>0</v>
      </c>
      <c r="AR47" s="88"/>
    </row>
    <row r="48" spans="1:44" ht="25.2" customHeight="1" thickBot="1" x14ac:dyDescent="0.3">
      <c r="A48" s="83"/>
      <c r="B48" s="15"/>
      <c r="C48" s="56" t="str">
        <f t="shared" ref="C48:C56" si="3">C21</f>
        <v>Moyen et long terme</v>
      </c>
      <c r="D48" s="417"/>
      <c r="E48" s="318">
        <f>Scénario!D4</f>
        <v>0</v>
      </c>
      <c r="F48" s="311">
        <f>Calcul!C58</f>
        <v>0</v>
      </c>
      <c r="G48" s="420"/>
      <c r="H48" s="22"/>
      <c r="I48" s="417"/>
      <c r="J48" s="168">
        <f>IF(D48&lt;&gt;0,Constantes!$E11,0)</f>
        <v>0</v>
      </c>
      <c r="K48" s="322"/>
      <c r="L48" s="83"/>
      <c r="M48" s="15"/>
      <c r="N48" s="56" t="str">
        <f t="shared" ref="N48:N56" si="4">N21</f>
        <v>Moyen et long terme</v>
      </c>
      <c r="O48" s="380"/>
      <c r="P48" s="318">
        <f>Scénario!E4</f>
        <v>0.1</v>
      </c>
      <c r="Q48" s="311">
        <f>Calcul!N58</f>
        <v>0</v>
      </c>
      <c r="R48" s="383"/>
      <c r="S48" s="22"/>
      <c r="T48" s="380"/>
      <c r="U48" s="168">
        <f>IF(O48&lt;&gt;0,Constantes!$E11,0)</f>
        <v>0</v>
      </c>
      <c r="V48" s="322"/>
      <c r="W48" s="83"/>
      <c r="X48" s="15"/>
      <c r="Y48" s="56" t="str">
        <f t="shared" ref="Y48:Y56" si="5">Y21</f>
        <v>Moyen et long terme</v>
      </c>
      <c r="Z48" s="397"/>
      <c r="AA48" s="318">
        <f>Scénario!F4</f>
        <v>0.15</v>
      </c>
      <c r="AB48" s="311">
        <f>Calcul!Y58</f>
        <v>1</v>
      </c>
      <c r="AC48" s="400"/>
      <c r="AD48" s="22"/>
      <c r="AE48" s="397"/>
      <c r="AF48" s="168">
        <f>IF(Z48&lt;&gt;0,Constantes!$E11,0)</f>
        <v>0</v>
      </c>
      <c r="AG48" s="322"/>
      <c r="AH48" s="83"/>
      <c r="AI48" s="15"/>
      <c r="AJ48" s="56" t="str">
        <f t="shared" ref="AJ48:AJ56" si="6">AJ21</f>
        <v>Moyen et long terme</v>
      </c>
      <c r="AK48" s="179"/>
      <c r="AL48" s="318">
        <f>Scénario!G4</f>
        <v>0.1</v>
      </c>
      <c r="AM48" s="311">
        <f>Calcul!AJ58</f>
        <v>1</v>
      </c>
      <c r="AN48" s="320"/>
      <c r="AO48" s="22"/>
      <c r="AP48" s="179"/>
      <c r="AQ48" s="168">
        <f>IF(AK48&lt;&gt;0,Constantes!$E11,0)</f>
        <v>0</v>
      </c>
      <c r="AR48" s="88"/>
    </row>
    <row r="49" spans="1:44" ht="25.2" customHeight="1" x14ac:dyDescent="0.25">
      <c r="A49" s="83"/>
      <c r="B49" s="12" t="str">
        <f>B22</f>
        <v>Crédit</v>
      </c>
      <c r="C49" s="54" t="str">
        <f t="shared" si="3"/>
        <v>Immobilier</v>
      </c>
      <c r="D49" s="416"/>
      <c r="E49" s="318">
        <f>Scénario!D5</f>
        <v>0</v>
      </c>
      <c r="F49" s="311">
        <f>Calcul!C59</f>
        <v>0</v>
      </c>
      <c r="G49" s="419"/>
      <c r="H49" s="85"/>
      <c r="I49" s="416"/>
      <c r="J49" s="168">
        <f>IF(D49&lt;&gt;0,Constantes!$E12,0)</f>
        <v>0</v>
      </c>
      <c r="K49" s="322"/>
      <c r="L49" s="83"/>
      <c r="M49" s="12" t="str">
        <f>M22</f>
        <v>Crédit</v>
      </c>
      <c r="N49" s="54" t="str">
        <f t="shared" si="4"/>
        <v>Immobilier</v>
      </c>
      <c r="O49" s="379"/>
      <c r="P49" s="318">
        <f>Scénario!E5</f>
        <v>0.25</v>
      </c>
      <c r="Q49" s="311">
        <f>Calcul!N59</f>
        <v>0</v>
      </c>
      <c r="R49" s="382"/>
      <c r="S49" s="85"/>
      <c r="T49" s="379"/>
      <c r="U49" s="168">
        <f>IF(O49&lt;&gt;0,Constantes!$E12,0)</f>
        <v>0</v>
      </c>
      <c r="V49" s="322"/>
      <c r="W49" s="83"/>
      <c r="X49" s="12" t="str">
        <f>X22</f>
        <v>Crédit</v>
      </c>
      <c r="Y49" s="54" t="str">
        <f t="shared" si="5"/>
        <v>Immobilier</v>
      </c>
      <c r="Z49" s="396"/>
      <c r="AA49" s="318">
        <f>Scénario!F5</f>
        <v>0.05</v>
      </c>
      <c r="AB49" s="311">
        <f>Calcul!Y59</f>
        <v>0</v>
      </c>
      <c r="AC49" s="399"/>
      <c r="AD49" s="85"/>
      <c r="AE49" s="396"/>
      <c r="AF49" s="168">
        <f>IF(Z49&lt;&gt;0,Constantes!$E12,0)</f>
        <v>0</v>
      </c>
      <c r="AG49" s="322"/>
      <c r="AH49" s="83"/>
      <c r="AI49" s="12" t="str">
        <f>AI22</f>
        <v>Crédit</v>
      </c>
      <c r="AJ49" s="54" t="str">
        <f t="shared" si="6"/>
        <v>Immobilier</v>
      </c>
      <c r="AK49" s="178"/>
      <c r="AL49" s="318">
        <f>Scénario!G5</f>
        <v>0.1</v>
      </c>
      <c r="AM49" s="311">
        <f>Calcul!AJ59</f>
        <v>1</v>
      </c>
      <c r="AN49" s="319"/>
      <c r="AO49" s="85"/>
      <c r="AP49" s="178"/>
      <c r="AQ49" s="168">
        <f>IF(AK49&lt;&gt;0,Constantes!$E12,0)</f>
        <v>0</v>
      </c>
      <c r="AR49" s="88"/>
    </row>
    <row r="50" spans="1:44" ht="25.2" customHeight="1" x14ac:dyDescent="0.25">
      <c r="A50" s="83"/>
      <c r="B50" s="17"/>
      <c r="C50" s="57" t="str">
        <f t="shared" si="3"/>
        <v>Consommation</v>
      </c>
      <c r="D50" s="418"/>
      <c r="E50" s="318">
        <f>Scénario!D6</f>
        <v>0.1</v>
      </c>
      <c r="F50" s="311">
        <f>Calcul!C60</f>
        <v>1</v>
      </c>
      <c r="G50" s="421"/>
      <c r="H50" s="85"/>
      <c r="I50" s="418"/>
      <c r="J50" s="168">
        <f>IF(D50&lt;&gt;0,Constantes!$E13,0)</f>
        <v>0</v>
      </c>
      <c r="K50" s="322"/>
      <c r="L50" s="83"/>
      <c r="M50" s="17"/>
      <c r="N50" s="57" t="str">
        <f t="shared" si="4"/>
        <v>Consommation</v>
      </c>
      <c r="O50" s="381"/>
      <c r="P50" s="318">
        <f>Scénario!E6</f>
        <v>0.1</v>
      </c>
      <c r="Q50" s="311">
        <f>Calcul!N60</f>
        <v>1</v>
      </c>
      <c r="R50" s="384"/>
      <c r="S50" s="85"/>
      <c r="T50" s="381"/>
      <c r="U50" s="168">
        <f>IF(O50&lt;&gt;0,Constantes!$E13,0)</f>
        <v>0</v>
      </c>
      <c r="V50" s="322"/>
      <c r="W50" s="83"/>
      <c r="X50" s="17"/>
      <c r="Y50" s="57" t="str">
        <f t="shared" si="5"/>
        <v>Consommation</v>
      </c>
      <c r="Z50" s="398"/>
      <c r="AA50" s="318">
        <f>Scénario!F6</f>
        <v>0.15</v>
      </c>
      <c r="AB50" s="311">
        <f>Calcul!Y60</f>
        <v>1</v>
      </c>
      <c r="AC50" s="401"/>
      <c r="AD50" s="85"/>
      <c r="AE50" s="398"/>
      <c r="AF50" s="168">
        <f>IF(Z50&lt;&gt;0,Constantes!$E13,0)</f>
        <v>0</v>
      </c>
      <c r="AG50" s="322"/>
      <c r="AH50" s="83"/>
      <c r="AI50" s="17"/>
      <c r="AJ50" s="57" t="str">
        <f t="shared" si="6"/>
        <v>Consommation</v>
      </c>
      <c r="AK50" s="180"/>
      <c r="AL50" s="318">
        <f>Scénario!G6</f>
        <v>0.15</v>
      </c>
      <c r="AM50" s="311">
        <f>Calcul!AJ60</f>
        <v>1</v>
      </c>
      <c r="AN50" s="321"/>
      <c r="AO50" s="85"/>
      <c r="AP50" s="180"/>
      <c r="AQ50" s="168">
        <f>IF(AK50&lt;&gt;0,Constantes!$E13,0)</f>
        <v>0</v>
      </c>
      <c r="AR50" s="88"/>
    </row>
    <row r="51" spans="1:44" ht="25.2" customHeight="1" thickBot="1" x14ac:dyDescent="0.3">
      <c r="A51" s="83"/>
      <c r="B51" s="15"/>
      <c r="C51" s="56" t="str">
        <f t="shared" si="3"/>
        <v>Renouvelable</v>
      </c>
      <c r="D51" s="417"/>
      <c r="E51" s="318">
        <f>Scénario!D7</f>
        <v>0.1</v>
      </c>
      <c r="F51" s="311">
        <f>Calcul!C61</f>
        <v>0</v>
      </c>
      <c r="G51" s="420"/>
      <c r="H51" s="85"/>
      <c r="I51" s="417"/>
      <c r="J51" s="168">
        <f>IF(D51&lt;&gt;0,Constantes!$E14,0)</f>
        <v>0</v>
      </c>
      <c r="K51" s="322"/>
      <c r="L51" s="83"/>
      <c r="M51" s="15"/>
      <c r="N51" s="56" t="str">
        <f t="shared" si="4"/>
        <v>Renouvelable</v>
      </c>
      <c r="O51" s="380"/>
      <c r="P51" s="318">
        <f>Scénario!E7</f>
        <v>0.15</v>
      </c>
      <c r="Q51" s="311">
        <f>Calcul!N61</f>
        <v>1</v>
      </c>
      <c r="R51" s="383"/>
      <c r="S51" s="85"/>
      <c r="T51" s="380"/>
      <c r="U51" s="168">
        <f>IF(O51&lt;&gt;0,Constantes!$E14,0)</f>
        <v>0</v>
      </c>
      <c r="V51" s="322"/>
      <c r="W51" s="83"/>
      <c r="X51" s="15"/>
      <c r="Y51" s="56" t="str">
        <f t="shared" si="5"/>
        <v>Renouvelable</v>
      </c>
      <c r="Z51" s="397"/>
      <c r="AA51" s="318">
        <f>Scénario!F7</f>
        <v>0.15</v>
      </c>
      <c r="AB51" s="311">
        <f>Calcul!Y61</f>
        <v>1</v>
      </c>
      <c r="AC51" s="400"/>
      <c r="AD51" s="85"/>
      <c r="AE51" s="397"/>
      <c r="AF51" s="168">
        <f>IF(Z51&lt;&gt;0,Constantes!$E14,0)</f>
        <v>0</v>
      </c>
      <c r="AG51" s="322"/>
      <c r="AH51" s="83"/>
      <c r="AI51" s="15"/>
      <c r="AJ51" s="56" t="str">
        <f t="shared" si="6"/>
        <v>Renouvelable</v>
      </c>
      <c r="AK51" s="179"/>
      <c r="AL51" s="318">
        <f>Scénario!G7</f>
        <v>0.15</v>
      </c>
      <c r="AM51" s="311">
        <f>Calcul!AJ61</f>
        <v>1</v>
      </c>
      <c r="AN51" s="320"/>
      <c r="AO51" s="85"/>
      <c r="AP51" s="179"/>
      <c r="AQ51" s="168">
        <f>IF(AK51&lt;&gt;0,Constantes!$E14,0)</f>
        <v>0</v>
      </c>
      <c r="AR51" s="88"/>
    </row>
    <row r="52" spans="1:44" ht="25.2" customHeight="1" x14ac:dyDescent="0.25">
      <c r="A52" s="83"/>
      <c r="B52" s="12" t="str">
        <f>B25</f>
        <v>Assurance</v>
      </c>
      <c r="C52" s="54" t="str">
        <f t="shared" si="3"/>
        <v>IARD</v>
      </c>
      <c r="D52" s="416"/>
      <c r="E52" s="318">
        <f>Scénario!D8</f>
        <v>0</v>
      </c>
      <c r="F52" s="311">
        <f>Calcul!C62</f>
        <v>0</v>
      </c>
      <c r="G52" s="419"/>
      <c r="H52" s="85"/>
      <c r="I52" s="416"/>
      <c r="J52" s="168">
        <f>IF(D52&lt;&gt;0,Constantes!$E15,0)</f>
        <v>0</v>
      </c>
      <c r="K52" s="322"/>
      <c r="L52" s="83"/>
      <c r="M52" s="12" t="str">
        <f>M25</f>
        <v>Assurance</v>
      </c>
      <c r="N52" s="54" t="str">
        <f t="shared" si="4"/>
        <v>IARD</v>
      </c>
      <c r="O52" s="379"/>
      <c r="P52" s="318">
        <f>Scénario!E8</f>
        <v>0.15</v>
      </c>
      <c r="Q52" s="311">
        <f>Calcul!N62</f>
        <v>0</v>
      </c>
      <c r="R52" s="382"/>
      <c r="S52" s="85"/>
      <c r="T52" s="379"/>
      <c r="U52" s="168">
        <f>IF(O52&lt;&gt;0,Constantes!$E15,0)</f>
        <v>0</v>
      </c>
      <c r="V52" s="322"/>
      <c r="W52" s="83"/>
      <c r="X52" s="12" t="str">
        <f>X25</f>
        <v>Assurance</v>
      </c>
      <c r="Y52" s="54" t="str">
        <f t="shared" si="5"/>
        <v>IARD</v>
      </c>
      <c r="Z52" s="396"/>
      <c r="AA52" s="318">
        <f>Scénario!F8</f>
        <v>0.1</v>
      </c>
      <c r="AB52" s="311">
        <f>Calcul!Y62</f>
        <v>0</v>
      </c>
      <c r="AC52" s="399"/>
      <c r="AD52" s="85"/>
      <c r="AE52" s="396"/>
      <c r="AF52" s="168">
        <f>IF(Z52&lt;&gt;0,Constantes!$E15,0)</f>
        <v>0</v>
      </c>
      <c r="AG52" s="322"/>
      <c r="AH52" s="83"/>
      <c r="AI52" s="12" t="str">
        <f>AI25</f>
        <v>Assurance</v>
      </c>
      <c r="AJ52" s="54" t="str">
        <f t="shared" si="6"/>
        <v>IARD</v>
      </c>
      <c r="AK52" s="178"/>
      <c r="AL52" s="318">
        <f>Scénario!G8</f>
        <v>0.2</v>
      </c>
      <c r="AM52" s="311">
        <f>Calcul!AJ62</f>
        <v>1</v>
      </c>
      <c r="AN52" s="319"/>
      <c r="AO52" s="85"/>
      <c r="AP52" s="178"/>
      <c r="AQ52" s="168">
        <f>IF(AK52&lt;&gt;0,Constantes!$E15,0)</f>
        <v>0</v>
      </c>
      <c r="AR52" s="88"/>
    </row>
    <row r="53" spans="1:44" ht="25.2" customHeight="1" thickBot="1" x14ac:dyDescent="0.3">
      <c r="A53" s="83"/>
      <c r="B53" s="15"/>
      <c r="C53" s="56" t="str">
        <f t="shared" si="3"/>
        <v>Prévoyance</v>
      </c>
      <c r="D53" s="417"/>
      <c r="E53" s="318">
        <f>Scénario!D9</f>
        <v>0</v>
      </c>
      <c r="F53" s="311">
        <f>Calcul!C63</f>
        <v>0</v>
      </c>
      <c r="G53" s="420"/>
      <c r="H53" s="85"/>
      <c r="I53" s="417"/>
      <c r="J53" s="168">
        <f>IF(D53&lt;&gt;0,Constantes!$E16,0)</f>
        <v>0</v>
      </c>
      <c r="K53" s="322"/>
      <c r="L53" s="83"/>
      <c r="M53" s="15"/>
      <c r="N53" s="56" t="str">
        <f t="shared" si="4"/>
        <v>Prévoyance</v>
      </c>
      <c r="O53" s="380"/>
      <c r="P53" s="318">
        <f>Scénario!E9</f>
        <v>0.1</v>
      </c>
      <c r="Q53" s="311">
        <f>Calcul!N63</f>
        <v>0</v>
      </c>
      <c r="R53" s="383"/>
      <c r="S53" s="85"/>
      <c r="T53" s="380"/>
      <c r="U53" s="168">
        <f>IF(O53&lt;&gt;0,Constantes!$E16,0)</f>
        <v>0</v>
      </c>
      <c r="V53" s="322"/>
      <c r="W53" s="83"/>
      <c r="X53" s="15"/>
      <c r="Y53" s="56" t="str">
        <f t="shared" si="5"/>
        <v>Prévoyance</v>
      </c>
      <c r="Z53" s="397"/>
      <c r="AA53" s="318">
        <f>Scénario!F9</f>
        <v>0.1</v>
      </c>
      <c r="AB53" s="311">
        <f>Calcul!Y63</f>
        <v>0</v>
      </c>
      <c r="AC53" s="400"/>
      <c r="AD53" s="85"/>
      <c r="AE53" s="397"/>
      <c r="AF53" s="168">
        <f>IF(Z53&lt;&gt;0,Constantes!$E16,0)</f>
        <v>0</v>
      </c>
      <c r="AG53" s="322"/>
      <c r="AH53" s="83"/>
      <c r="AI53" s="15"/>
      <c r="AJ53" s="56" t="str">
        <f t="shared" si="6"/>
        <v>Prévoyance</v>
      </c>
      <c r="AK53" s="179"/>
      <c r="AL53" s="318">
        <f>Scénario!G9</f>
        <v>0.1</v>
      </c>
      <c r="AM53" s="311">
        <f>Calcul!AJ63</f>
        <v>0</v>
      </c>
      <c r="AN53" s="320"/>
      <c r="AO53" s="85"/>
      <c r="AP53" s="179"/>
      <c r="AQ53" s="168">
        <f>IF(AK53&lt;&gt;0,Constantes!$E16,0)</f>
        <v>0</v>
      </c>
      <c r="AR53" s="88"/>
    </row>
    <row r="54" spans="1:44" ht="25.2" customHeight="1" x14ac:dyDescent="0.25">
      <c r="A54" s="83"/>
      <c r="B54" s="12" t="str">
        <f>B27</f>
        <v>Services</v>
      </c>
      <c r="C54" s="54" t="str">
        <f t="shared" si="3"/>
        <v>Moyens de paiement</v>
      </c>
      <c r="D54" s="416"/>
      <c r="E54" s="318">
        <f>Scénario!D10</f>
        <v>0.45</v>
      </c>
      <c r="F54" s="311">
        <f>Calcul!C64</f>
        <v>1</v>
      </c>
      <c r="G54" s="419"/>
      <c r="H54" s="85"/>
      <c r="I54" s="416"/>
      <c r="J54" s="168">
        <f>IF(D54&lt;&gt;0,Constantes!$E17,0)</f>
        <v>0</v>
      </c>
      <c r="K54" s="322"/>
      <c r="L54" s="83"/>
      <c r="M54" s="12" t="str">
        <f>M27</f>
        <v>Services</v>
      </c>
      <c r="N54" s="54" t="str">
        <f t="shared" si="4"/>
        <v>Moyens de paiement</v>
      </c>
      <c r="O54" s="379"/>
      <c r="P54" s="318">
        <f>Scénario!E10</f>
        <v>0.3</v>
      </c>
      <c r="Q54" s="311">
        <f>Calcul!N64</f>
        <v>1</v>
      </c>
      <c r="R54" s="382"/>
      <c r="S54" s="85"/>
      <c r="T54" s="379"/>
      <c r="U54" s="168">
        <f>IF(O54&lt;&gt;0,Constantes!$E17,0)</f>
        <v>0</v>
      </c>
      <c r="V54" s="322"/>
      <c r="W54" s="83"/>
      <c r="X54" s="12" t="str">
        <f>X27</f>
        <v>Services</v>
      </c>
      <c r="Y54" s="54" t="str">
        <f t="shared" si="5"/>
        <v>Moyens de paiement</v>
      </c>
      <c r="Z54" s="396"/>
      <c r="AA54" s="318">
        <f>Scénario!F10</f>
        <v>0.45</v>
      </c>
      <c r="AB54" s="311">
        <f>Calcul!Y64</f>
        <v>1</v>
      </c>
      <c r="AC54" s="399"/>
      <c r="AD54" s="85"/>
      <c r="AE54" s="396"/>
      <c r="AF54" s="168">
        <f>IF(Z54&lt;&gt;0,Constantes!$E17,0)</f>
        <v>0</v>
      </c>
      <c r="AG54" s="322"/>
      <c r="AH54" s="83"/>
      <c r="AI54" s="12" t="str">
        <f>AI27</f>
        <v>Services</v>
      </c>
      <c r="AJ54" s="54" t="str">
        <f t="shared" si="6"/>
        <v>Moyens de paiement</v>
      </c>
      <c r="AK54" s="178"/>
      <c r="AL54" s="318">
        <f>Scénario!G10</f>
        <v>0.35</v>
      </c>
      <c r="AM54" s="311">
        <f>Calcul!AJ64</f>
        <v>1</v>
      </c>
      <c r="AN54" s="319"/>
      <c r="AO54" s="85"/>
      <c r="AP54" s="178"/>
      <c r="AQ54" s="168">
        <f>IF(AK54&lt;&gt;0,Constantes!$E17,0)</f>
        <v>0</v>
      </c>
      <c r="AR54" s="88"/>
    </row>
    <row r="55" spans="1:44" ht="25.2" customHeight="1" x14ac:dyDescent="0.25">
      <c r="A55" s="83"/>
      <c r="B55" s="17"/>
      <c r="C55" s="57" t="str">
        <f t="shared" si="3"/>
        <v>Ouverture compte</v>
      </c>
      <c r="D55" s="418"/>
      <c r="E55" s="318">
        <f>Scénario!D11</f>
        <v>0.35</v>
      </c>
      <c r="F55" s="311">
        <f>Calcul!C65</f>
        <v>1</v>
      </c>
      <c r="G55" s="421"/>
      <c r="H55" s="85"/>
      <c r="I55" s="418"/>
      <c r="J55" s="168">
        <f>IF(D55&lt;&gt;0,Constantes!$E18,0)</f>
        <v>0</v>
      </c>
      <c r="K55" s="322"/>
      <c r="L55" s="83"/>
      <c r="M55" s="17"/>
      <c r="N55" s="57" t="str">
        <f t="shared" si="4"/>
        <v>Ouverture compte</v>
      </c>
      <c r="O55" s="381"/>
      <c r="P55" s="318">
        <f>Scénario!E11</f>
        <v>0.25</v>
      </c>
      <c r="Q55" s="311">
        <f>Calcul!N65</f>
        <v>1</v>
      </c>
      <c r="R55" s="384"/>
      <c r="S55" s="85"/>
      <c r="T55" s="381"/>
      <c r="U55" s="168">
        <f>IF(O55&lt;&gt;0,Constantes!$E18,0)</f>
        <v>0</v>
      </c>
      <c r="V55" s="322"/>
      <c r="W55" s="83"/>
      <c r="X55" s="17"/>
      <c r="Y55" s="57" t="str">
        <f t="shared" si="5"/>
        <v>Ouverture compte</v>
      </c>
      <c r="Z55" s="398"/>
      <c r="AA55" s="318">
        <f>Scénario!F11</f>
        <v>0.2</v>
      </c>
      <c r="AB55" s="311">
        <f>Calcul!Y65</f>
        <v>1</v>
      </c>
      <c r="AC55" s="401"/>
      <c r="AD55" s="85"/>
      <c r="AE55" s="398"/>
      <c r="AF55" s="168">
        <f>IF(Z55&lt;&gt;0,Constantes!$E18,0)</f>
        <v>0</v>
      </c>
      <c r="AG55" s="322"/>
      <c r="AH55" s="83"/>
      <c r="AI55" s="17"/>
      <c r="AJ55" s="57" t="str">
        <f t="shared" si="6"/>
        <v>Ouverture compte</v>
      </c>
      <c r="AK55" s="180"/>
      <c r="AL55" s="318">
        <f>Scénario!G11</f>
        <v>0.3</v>
      </c>
      <c r="AM55" s="311">
        <f>Calcul!AJ65</f>
        <v>1</v>
      </c>
      <c r="AN55" s="321"/>
      <c r="AO55" s="85"/>
      <c r="AP55" s="180"/>
      <c r="AQ55" s="168">
        <f>IF(AK55&lt;&gt;0,Constantes!$E18,0)</f>
        <v>0</v>
      </c>
      <c r="AR55" s="88"/>
    </row>
    <row r="56" spans="1:44" ht="25.2" customHeight="1" thickBot="1" x14ac:dyDescent="0.3">
      <c r="A56" s="83"/>
      <c r="B56" s="15"/>
      <c r="C56" s="56" t="str">
        <f t="shared" si="3"/>
        <v>Téléphonie</v>
      </c>
      <c r="D56" s="417"/>
      <c r="E56" s="318">
        <f>Scénario!D12</f>
        <v>0</v>
      </c>
      <c r="F56" s="311">
        <f>Calcul!C66</f>
        <v>0</v>
      </c>
      <c r="G56" s="420"/>
      <c r="H56" s="85"/>
      <c r="I56" s="417"/>
      <c r="J56" s="168">
        <f>IF(D56&lt;&gt;0,Constantes!$E19,0)</f>
        <v>0</v>
      </c>
      <c r="K56" s="322"/>
      <c r="L56" s="83"/>
      <c r="M56" s="15"/>
      <c r="N56" s="56" t="str">
        <f t="shared" si="4"/>
        <v>Téléphonie</v>
      </c>
      <c r="O56" s="380"/>
      <c r="P56" s="318">
        <f>Scénario!E12</f>
        <v>0.2</v>
      </c>
      <c r="Q56" s="311">
        <f>Calcul!N66</f>
        <v>0</v>
      </c>
      <c r="R56" s="383"/>
      <c r="S56" s="85"/>
      <c r="T56" s="380"/>
      <c r="U56" s="168">
        <f>IF(O56&lt;&gt;0,Constantes!$E19,0)</f>
        <v>0</v>
      </c>
      <c r="V56" s="322"/>
      <c r="W56" s="83"/>
      <c r="X56" s="15"/>
      <c r="Y56" s="56" t="str">
        <f t="shared" si="5"/>
        <v>Téléphonie</v>
      </c>
      <c r="Z56" s="397"/>
      <c r="AA56" s="318">
        <f>Scénario!F12</f>
        <v>0.2</v>
      </c>
      <c r="AB56" s="311">
        <f>Calcul!Y66</f>
        <v>1</v>
      </c>
      <c r="AC56" s="400"/>
      <c r="AD56" s="85"/>
      <c r="AE56" s="397"/>
      <c r="AF56" s="168">
        <f>IF(Z56&lt;&gt;0,Constantes!$E19,0)</f>
        <v>0</v>
      </c>
      <c r="AG56" s="322"/>
      <c r="AH56" s="83"/>
      <c r="AI56" s="15"/>
      <c r="AJ56" s="56" t="str">
        <f t="shared" si="6"/>
        <v>Téléphonie</v>
      </c>
      <c r="AK56" s="179"/>
      <c r="AL56" s="318">
        <f>Scénario!G12</f>
        <v>0.25</v>
      </c>
      <c r="AM56" s="311">
        <f>Calcul!AJ66</f>
        <v>1</v>
      </c>
      <c r="AN56" s="320"/>
      <c r="AO56" s="85"/>
      <c r="AP56" s="179"/>
      <c r="AQ56" s="168">
        <f>IF(AK56&lt;&gt;0,Constantes!$E19,0)</f>
        <v>0</v>
      </c>
      <c r="AR56" s="88"/>
    </row>
    <row r="57" spans="1:44" ht="22.8" customHeight="1" x14ac:dyDescent="0.25">
      <c r="A57" s="83"/>
      <c r="B57" s="85"/>
      <c r="C57" s="85"/>
      <c r="D57" s="85"/>
      <c r="E57" s="85"/>
      <c r="F57" s="85"/>
      <c r="G57" s="85"/>
      <c r="H57" s="85"/>
      <c r="J57" s="85"/>
      <c r="K57" s="88"/>
      <c r="L57" s="83"/>
      <c r="M57" s="85"/>
      <c r="N57" s="85"/>
      <c r="O57" s="85"/>
      <c r="P57" s="85"/>
      <c r="Q57" s="85"/>
      <c r="R57" s="85"/>
      <c r="S57" s="85"/>
      <c r="U57" s="85"/>
      <c r="V57" s="88"/>
      <c r="W57" s="83"/>
      <c r="X57" s="85"/>
      <c r="Y57" s="85"/>
      <c r="Z57" s="85"/>
      <c r="AA57" s="85"/>
      <c r="AB57" s="85"/>
      <c r="AC57" s="85"/>
      <c r="AD57" s="85"/>
      <c r="AF57" s="85"/>
      <c r="AG57" s="88"/>
      <c r="AH57" s="83"/>
      <c r="AI57" s="85"/>
      <c r="AJ57" s="85"/>
      <c r="AK57" s="85"/>
      <c r="AL57" s="85"/>
      <c r="AM57" s="85"/>
      <c r="AN57" s="85"/>
      <c r="AO57" s="85"/>
      <c r="AQ57" s="85"/>
      <c r="AR57" s="88"/>
    </row>
    <row r="58" spans="1:44" ht="22.8" customHeight="1" thickBot="1" x14ac:dyDescent="0.3">
      <c r="A58" s="83"/>
      <c r="B58" s="85"/>
      <c r="C58" s="85"/>
      <c r="D58" s="168">
        <f>SUM(D47:D56)</f>
        <v>0</v>
      </c>
      <c r="E58" s="85"/>
      <c r="F58" s="85"/>
      <c r="G58" s="85"/>
      <c r="H58" s="85"/>
      <c r="I58" s="22" t="s">
        <v>223</v>
      </c>
      <c r="J58" s="98"/>
      <c r="K58" s="99"/>
      <c r="L58" s="83"/>
      <c r="M58" s="85"/>
      <c r="N58" s="85"/>
      <c r="O58" s="168">
        <f>SUM(O47:O56)</f>
        <v>0</v>
      </c>
      <c r="P58" s="85"/>
      <c r="Q58" s="85"/>
      <c r="R58" s="85"/>
      <c r="S58" s="85"/>
      <c r="T58" s="22" t="s">
        <v>223</v>
      </c>
      <c r="U58" s="98"/>
      <c r="V58" s="99"/>
      <c r="W58" s="83"/>
      <c r="X58" s="85"/>
      <c r="Y58" s="85"/>
      <c r="Z58" s="168">
        <f>SUM(Z47:Z56)</f>
        <v>0</v>
      </c>
      <c r="AA58" s="85"/>
      <c r="AB58" s="85"/>
      <c r="AC58" s="85"/>
      <c r="AD58" s="85"/>
      <c r="AE58" s="22" t="s">
        <v>223</v>
      </c>
      <c r="AF58" s="98"/>
      <c r="AG58" s="99"/>
      <c r="AH58" s="83"/>
      <c r="AI58" s="85"/>
      <c r="AJ58" s="85"/>
      <c r="AK58" s="168">
        <f>SUM(AK47:AK56)</f>
        <v>0</v>
      </c>
      <c r="AL58" s="85"/>
      <c r="AM58" s="85"/>
      <c r="AN58" s="85"/>
      <c r="AO58" s="85"/>
      <c r="AP58" s="22" t="s">
        <v>223</v>
      </c>
      <c r="AQ58" s="98"/>
      <c r="AR58" s="99"/>
    </row>
    <row r="59" spans="1:44" ht="22.8" customHeight="1" thickBot="1" x14ac:dyDescent="0.3">
      <c r="A59" s="799" t="s">
        <v>65</v>
      </c>
      <c r="B59" s="800"/>
      <c r="C59" s="800"/>
      <c r="D59" s="800"/>
      <c r="E59" s="800"/>
      <c r="F59" s="800"/>
      <c r="G59" s="800"/>
      <c r="H59" s="800"/>
      <c r="I59" s="800"/>
      <c r="J59" s="800"/>
      <c r="K59" s="801"/>
      <c r="L59" s="799" t="s">
        <v>65</v>
      </c>
      <c r="M59" s="800"/>
      <c r="N59" s="800"/>
      <c r="O59" s="800"/>
      <c r="P59" s="800"/>
      <c r="Q59" s="800"/>
      <c r="R59" s="800"/>
      <c r="S59" s="800"/>
      <c r="T59" s="800"/>
      <c r="U59" s="800"/>
      <c r="V59" s="801"/>
      <c r="W59" s="799" t="s">
        <v>65</v>
      </c>
      <c r="X59" s="800"/>
      <c r="Y59" s="800"/>
      <c r="Z59" s="800"/>
      <c r="AA59" s="800"/>
      <c r="AB59" s="800"/>
      <c r="AC59" s="800"/>
      <c r="AD59" s="800"/>
      <c r="AE59" s="800"/>
      <c r="AF59" s="800"/>
      <c r="AG59" s="801"/>
      <c r="AH59" s="799" t="s">
        <v>65</v>
      </c>
      <c r="AI59" s="800"/>
      <c r="AJ59" s="800"/>
      <c r="AK59" s="800"/>
      <c r="AL59" s="800"/>
      <c r="AM59" s="800"/>
      <c r="AN59" s="800"/>
      <c r="AO59" s="800"/>
      <c r="AP59" s="800"/>
      <c r="AQ59" s="800"/>
      <c r="AR59" s="801"/>
    </row>
    <row r="60" spans="1:44" ht="22.8" customHeight="1" thickBot="1" x14ac:dyDescent="0.3">
      <c r="A60" s="83"/>
      <c r="B60" s="169"/>
      <c r="C60" s="169"/>
      <c r="D60" s="85"/>
      <c r="E60" s="85"/>
      <c r="F60" s="85"/>
      <c r="G60" s="85"/>
      <c r="H60" s="85"/>
      <c r="J60" s="80"/>
      <c r="K60" s="82"/>
      <c r="L60" s="83"/>
      <c r="M60" s="169"/>
      <c r="N60" s="169"/>
      <c r="O60" s="85"/>
      <c r="P60" s="85"/>
      <c r="Q60" s="85"/>
      <c r="R60" s="85"/>
      <c r="S60" s="85"/>
      <c r="U60" s="80"/>
      <c r="V60" s="82"/>
      <c r="W60" s="83"/>
      <c r="X60" s="169"/>
      <c r="Y60" s="169"/>
      <c r="Z60" s="85"/>
      <c r="AA60" s="85"/>
      <c r="AB60" s="85"/>
      <c r="AC60" s="85"/>
      <c r="AD60" s="85"/>
      <c r="AF60" s="80"/>
      <c r="AG60" s="82"/>
      <c r="AH60" s="83"/>
      <c r="AI60" s="169"/>
      <c r="AJ60" s="169"/>
      <c r="AK60" s="85"/>
      <c r="AL60" s="85"/>
      <c r="AM60" s="85"/>
      <c r="AN60" s="85"/>
      <c r="AO60" s="85"/>
      <c r="AQ60" s="80"/>
      <c r="AR60" s="82"/>
    </row>
    <row r="61" spans="1:44" ht="22.8" customHeight="1" thickBot="1" x14ac:dyDescent="0.3">
      <c r="A61" s="83"/>
      <c r="B61" s="93" t="s">
        <v>14</v>
      </c>
      <c r="C61" s="52"/>
      <c r="D61" s="412"/>
      <c r="E61" s="85"/>
      <c r="F61" s="748" t="s">
        <v>220</v>
      </c>
      <c r="G61" s="85"/>
      <c r="H61" s="85"/>
      <c r="I61" s="797" t="s">
        <v>222</v>
      </c>
      <c r="J61" s="85"/>
      <c r="K61" s="88"/>
      <c r="L61" s="83"/>
      <c r="M61" s="93" t="s">
        <v>14</v>
      </c>
      <c r="N61" s="52"/>
      <c r="O61" s="375"/>
      <c r="P61" s="85"/>
      <c r="Q61" s="748" t="s">
        <v>220</v>
      </c>
      <c r="R61" s="85"/>
      <c r="S61" s="85"/>
      <c r="T61" s="797" t="s">
        <v>222</v>
      </c>
      <c r="U61" s="85"/>
      <c r="V61" s="88"/>
      <c r="W61" s="83"/>
      <c r="X61" s="93" t="s">
        <v>14</v>
      </c>
      <c r="Y61" s="52"/>
      <c r="Z61" s="392"/>
      <c r="AA61" s="85"/>
      <c r="AB61" s="748" t="s">
        <v>220</v>
      </c>
      <c r="AC61" s="85"/>
      <c r="AD61" s="85"/>
      <c r="AE61" s="797" t="s">
        <v>222</v>
      </c>
      <c r="AF61" s="85"/>
      <c r="AG61" s="88"/>
      <c r="AH61" s="83"/>
      <c r="AI61" s="93" t="s">
        <v>14</v>
      </c>
      <c r="AJ61" s="52"/>
      <c r="AK61" s="177"/>
      <c r="AL61" s="85"/>
      <c r="AM61" s="748" t="s">
        <v>220</v>
      </c>
      <c r="AN61" s="85"/>
      <c r="AO61" s="85"/>
      <c r="AP61" s="797" t="s">
        <v>222</v>
      </c>
      <c r="AQ61" s="85"/>
      <c r="AR61" s="88"/>
    </row>
    <row r="62" spans="1:44" ht="22.8" customHeight="1" thickBot="1" x14ac:dyDescent="0.3">
      <c r="A62" s="83"/>
      <c r="B62" s="93" t="s">
        <v>221</v>
      </c>
      <c r="C62" s="85"/>
      <c r="D62" s="100"/>
      <c r="E62" s="748" t="s">
        <v>86</v>
      </c>
      <c r="F62" s="746" t="s">
        <v>324</v>
      </c>
      <c r="G62" s="748" t="s">
        <v>323</v>
      </c>
      <c r="H62" s="85"/>
      <c r="I62" s="798"/>
      <c r="J62" s="748" t="s">
        <v>124</v>
      </c>
      <c r="K62" s="191"/>
      <c r="L62" s="83"/>
      <c r="M62" s="93" t="s">
        <v>221</v>
      </c>
      <c r="N62" s="85"/>
      <c r="O62" s="100"/>
      <c r="P62" s="748" t="s">
        <v>86</v>
      </c>
      <c r="Q62" s="746" t="s">
        <v>324</v>
      </c>
      <c r="R62" s="748" t="s">
        <v>323</v>
      </c>
      <c r="S62" s="85"/>
      <c r="T62" s="798"/>
      <c r="U62" s="748" t="s">
        <v>124</v>
      </c>
      <c r="V62" s="191"/>
      <c r="W62" s="83"/>
      <c r="X62" s="93" t="s">
        <v>221</v>
      </c>
      <c r="Y62" s="85"/>
      <c r="Z62" s="100"/>
      <c r="AA62" s="748" t="s">
        <v>86</v>
      </c>
      <c r="AB62" s="746" t="s">
        <v>324</v>
      </c>
      <c r="AC62" s="748" t="s">
        <v>323</v>
      </c>
      <c r="AD62" s="85"/>
      <c r="AE62" s="798"/>
      <c r="AF62" s="748" t="s">
        <v>124</v>
      </c>
      <c r="AG62" s="191"/>
      <c r="AH62" s="83"/>
      <c r="AI62" s="93" t="s">
        <v>221</v>
      </c>
      <c r="AJ62" s="85"/>
      <c r="AK62" s="100"/>
      <c r="AL62" s="748" t="s">
        <v>86</v>
      </c>
      <c r="AM62" s="746" t="s">
        <v>324</v>
      </c>
      <c r="AN62" s="748" t="s">
        <v>323</v>
      </c>
      <c r="AO62" s="85"/>
      <c r="AP62" s="798"/>
      <c r="AQ62" s="748" t="s">
        <v>124</v>
      </c>
      <c r="AR62" s="88"/>
    </row>
    <row r="63" spans="1:44" ht="25.2" customHeight="1" x14ac:dyDescent="0.25">
      <c r="A63" s="83"/>
      <c r="B63" s="12" t="str">
        <f>B47</f>
        <v>Collecte</v>
      </c>
      <c r="C63" s="54" t="str">
        <f t="shared" ref="C63:C72" si="7">C20</f>
        <v>Court terme</v>
      </c>
      <c r="D63" s="416"/>
      <c r="E63" s="318">
        <f>Scénario!D15</f>
        <v>0.25</v>
      </c>
      <c r="F63" s="311">
        <f>Calcul!D57</f>
        <v>2</v>
      </c>
      <c r="G63" s="419"/>
      <c r="H63" s="94"/>
      <c r="I63" s="416"/>
      <c r="J63" s="168">
        <f>IF(D63&lt;&gt;0,Constantes!$E10,0)</f>
        <v>0</v>
      </c>
      <c r="K63" s="322"/>
      <c r="L63" s="83"/>
      <c r="M63" s="12" t="str">
        <f>M47</f>
        <v>Collecte</v>
      </c>
      <c r="N63" s="54" t="str">
        <f t="shared" ref="N63:N72" si="8">N20</f>
        <v>Court terme</v>
      </c>
      <c r="O63" s="379"/>
      <c r="P63" s="318">
        <f>Scénario!E15</f>
        <v>0.25</v>
      </c>
      <c r="Q63" s="311">
        <f>Calcul!O57</f>
        <v>2</v>
      </c>
      <c r="R63" s="382"/>
      <c r="S63" s="94"/>
      <c r="T63" s="379"/>
      <c r="U63" s="168">
        <f>IF(O63&lt;&gt;0,Constantes!$E10,0)</f>
        <v>0</v>
      </c>
      <c r="V63" s="322"/>
      <c r="W63" s="83"/>
      <c r="X63" s="12" t="str">
        <f>X47</f>
        <v>Collecte</v>
      </c>
      <c r="Y63" s="54" t="str">
        <f t="shared" ref="Y63:Y72" si="9">Y20</f>
        <v>Court terme</v>
      </c>
      <c r="Z63" s="396"/>
      <c r="AA63" s="318">
        <f>Scénario!F15</f>
        <v>0.25</v>
      </c>
      <c r="AB63" s="311">
        <f>Calcul!Z57</f>
        <v>2</v>
      </c>
      <c r="AC63" s="399"/>
      <c r="AD63" s="94"/>
      <c r="AE63" s="396"/>
      <c r="AF63" s="168">
        <f>IF(Z63&lt;&gt;0,Constantes!$E10,0)</f>
        <v>0</v>
      </c>
      <c r="AG63" s="322"/>
      <c r="AH63" s="83"/>
      <c r="AI63" s="12" t="str">
        <f>AI47</f>
        <v>Collecte</v>
      </c>
      <c r="AJ63" s="54" t="str">
        <f t="shared" ref="AJ63:AJ72" si="10">AJ20</f>
        <v>Court terme</v>
      </c>
      <c r="AK63" s="178"/>
      <c r="AL63" s="318">
        <f>Scénario!G15</f>
        <v>0.25</v>
      </c>
      <c r="AM63" s="311">
        <f>Calcul!AK57</f>
        <v>2</v>
      </c>
      <c r="AN63" s="319"/>
      <c r="AO63" s="94"/>
      <c r="AP63" s="178"/>
      <c r="AQ63" s="168">
        <f>IF(AK63&lt;&gt;0,Constantes!$E10,0)</f>
        <v>0</v>
      </c>
      <c r="AR63" s="88"/>
    </row>
    <row r="64" spans="1:44" ht="25.2" customHeight="1" thickBot="1" x14ac:dyDescent="0.3">
      <c r="A64" s="83"/>
      <c r="B64" s="15"/>
      <c r="C64" s="56" t="str">
        <f t="shared" si="7"/>
        <v>Moyen et long terme</v>
      </c>
      <c r="D64" s="417"/>
      <c r="E64" s="318">
        <f>Scénario!D16</f>
        <v>0.05</v>
      </c>
      <c r="F64" s="311">
        <f>Calcul!D58</f>
        <v>1</v>
      </c>
      <c r="G64" s="420"/>
      <c r="H64" s="22"/>
      <c r="I64" s="417"/>
      <c r="J64" s="168">
        <f>IF(D64&lt;&gt;0,Constantes!$E11,0)</f>
        <v>0</v>
      </c>
      <c r="K64" s="322"/>
      <c r="L64" s="83"/>
      <c r="M64" s="15"/>
      <c r="N64" s="56" t="str">
        <f t="shared" si="8"/>
        <v>Moyen et long terme</v>
      </c>
      <c r="O64" s="380"/>
      <c r="P64" s="318">
        <f>Scénario!E16</f>
        <v>0.15</v>
      </c>
      <c r="Q64" s="311">
        <f>Calcul!O58</f>
        <v>1</v>
      </c>
      <c r="R64" s="383"/>
      <c r="S64" s="22"/>
      <c r="T64" s="380"/>
      <c r="U64" s="168">
        <f>IF(O64&lt;&gt;0,Constantes!$E11,0)</f>
        <v>0</v>
      </c>
      <c r="V64" s="322"/>
      <c r="W64" s="83"/>
      <c r="X64" s="15"/>
      <c r="Y64" s="56" t="str">
        <f t="shared" si="9"/>
        <v>Moyen et long terme</v>
      </c>
      <c r="Z64" s="397"/>
      <c r="AA64" s="318">
        <f>Scénario!F16</f>
        <v>0.15</v>
      </c>
      <c r="AB64" s="311">
        <f>Calcul!Z58</f>
        <v>1</v>
      </c>
      <c r="AC64" s="400"/>
      <c r="AD64" s="22"/>
      <c r="AE64" s="397"/>
      <c r="AF64" s="168">
        <f>IF(Z64&lt;&gt;0,Constantes!$E11,0)</f>
        <v>0</v>
      </c>
      <c r="AG64" s="322"/>
      <c r="AH64" s="83"/>
      <c r="AI64" s="15"/>
      <c r="AJ64" s="56" t="str">
        <f t="shared" si="10"/>
        <v>Moyen et long terme</v>
      </c>
      <c r="AK64" s="179"/>
      <c r="AL64" s="318">
        <f>Scénario!G16</f>
        <v>0.15</v>
      </c>
      <c r="AM64" s="311">
        <f>Calcul!AK58</f>
        <v>1</v>
      </c>
      <c r="AN64" s="320"/>
      <c r="AO64" s="22"/>
      <c r="AP64" s="179"/>
      <c r="AQ64" s="168">
        <f>IF(AK64&lt;&gt;0,Constantes!$E11,0)</f>
        <v>0</v>
      </c>
      <c r="AR64" s="88"/>
    </row>
    <row r="65" spans="1:44" ht="25.2" customHeight="1" x14ac:dyDescent="0.25">
      <c r="A65" s="83"/>
      <c r="B65" s="12" t="str">
        <f>B49</f>
        <v>Crédit</v>
      </c>
      <c r="C65" s="54" t="str">
        <f t="shared" si="7"/>
        <v>Immobilier</v>
      </c>
      <c r="D65" s="416"/>
      <c r="E65" s="318">
        <f>Scénario!D17</f>
        <v>0.1</v>
      </c>
      <c r="F65" s="311">
        <f>Calcul!D59</f>
        <v>1</v>
      </c>
      <c r="G65" s="419"/>
      <c r="H65" s="85"/>
      <c r="I65" s="416"/>
      <c r="J65" s="168">
        <f>IF(D65&lt;&gt;0,Constantes!$E12,0)</f>
        <v>0</v>
      </c>
      <c r="K65" s="322"/>
      <c r="L65" s="83"/>
      <c r="M65" s="12" t="str">
        <f>M49</f>
        <v>Crédit</v>
      </c>
      <c r="N65" s="54" t="str">
        <f t="shared" si="8"/>
        <v>Immobilier</v>
      </c>
      <c r="O65" s="379"/>
      <c r="P65" s="318">
        <f>Scénario!E17</f>
        <v>0.35</v>
      </c>
      <c r="Q65" s="311">
        <f>Calcul!O59</f>
        <v>1</v>
      </c>
      <c r="R65" s="382"/>
      <c r="S65" s="85"/>
      <c r="T65" s="379"/>
      <c r="U65" s="168">
        <f>IF(O65&lt;&gt;0,Constantes!$E12,0)</f>
        <v>0</v>
      </c>
      <c r="V65" s="322"/>
      <c r="W65" s="83"/>
      <c r="X65" s="12" t="str">
        <f>X49</f>
        <v>Crédit</v>
      </c>
      <c r="Y65" s="54" t="str">
        <f t="shared" si="9"/>
        <v>Immobilier</v>
      </c>
      <c r="Z65" s="396"/>
      <c r="AA65" s="318">
        <f>Scénario!F17</f>
        <v>0.1</v>
      </c>
      <c r="AB65" s="311">
        <f>Calcul!Z59</f>
        <v>2</v>
      </c>
      <c r="AC65" s="399"/>
      <c r="AD65" s="85"/>
      <c r="AE65" s="396"/>
      <c r="AF65" s="168">
        <f>IF(Z65&lt;&gt;0,Constantes!$E12,0)</f>
        <v>0</v>
      </c>
      <c r="AG65" s="322"/>
      <c r="AH65" s="83"/>
      <c r="AI65" s="12" t="str">
        <f>AI49</f>
        <v>Crédit</v>
      </c>
      <c r="AJ65" s="54" t="str">
        <f t="shared" si="10"/>
        <v>Immobilier</v>
      </c>
      <c r="AK65" s="178"/>
      <c r="AL65" s="318">
        <f>Scénario!G17</f>
        <v>0.2</v>
      </c>
      <c r="AM65" s="311">
        <f>Calcul!AK59</f>
        <v>2</v>
      </c>
      <c r="AN65" s="319"/>
      <c r="AO65" s="85"/>
      <c r="AP65" s="178"/>
      <c r="AQ65" s="168">
        <f>IF(AK65&lt;&gt;0,Constantes!$E12,0)</f>
        <v>0</v>
      </c>
      <c r="AR65" s="88"/>
    </row>
    <row r="66" spans="1:44" ht="25.2" customHeight="1" x14ac:dyDescent="0.25">
      <c r="A66" s="83"/>
      <c r="B66" s="17"/>
      <c r="C66" s="57" t="str">
        <f t="shared" si="7"/>
        <v>Consommation</v>
      </c>
      <c r="D66" s="418"/>
      <c r="E66" s="318">
        <f>Scénario!D18</f>
        <v>0.15</v>
      </c>
      <c r="F66" s="311">
        <f>Calcul!D60</f>
        <v>1</v>
      </c>
      <c r="G66" s="421"/>
      <c r="H66" s="85"/>
      <c r="I66" s="418"/>
      <c r="J66" s="168">
        <f>IF(D66&lt;&gt;0,Constantes!$E13,0)</f>
        <v>0</v>
      </c>
      <c r="K66" s="322"/>
      <c r="L66" s="83"/>
      <c r="M66" s="17"/>
      <c r="N66" s="57" t="str">
        <f t="shared" si="8"/>
        <v>Consommation</v>
      </c>
      <c r="O66" s="381"/>
      <c r="P66" s="318">
        <f>Scénario!E18</f>
        <v>0.2</v>
      </c>
      <c r="Q66" s="311">
        <f>Calcul!O60</f>
        <v>2</v>
      </c>
      <c r="R66" s="384"/>
      <c r="S66" s="85"/>
      <c r="T66" s="381"/>
      <c r="U66" s="168">
        <f>IF(O66&lt;&gt;0,Constantes!$E13,0)</f>
        <v>0</v>
      </c>
      <c r="V66" s="322"/>
      <c r="W66" s="83"/>
      <c r="X66" s="17"/>
      <c r="Y66" s="57" t="str">
        <f t="shared" si="9"/>
        <v>Consommation</v>
      </c>
      <c r="Z66" s="398"/>
      <c r="AA66" s="318">
        <f>Scénario!F18</f>
        <v>0.2</v>
      </c>
      <c r="AB66" s="311">
        <f>Calcul!Z60</f>
        <v>2</v>
      </c>
      <c r="AC66" s="401"/>
      <c r="AD66" s="85"/>
      <c r="AE66" s="398"/>
      <c r="AF66" s="168">
        <f>IF(Z66&lt;&gt;0,Constantes!$E13,0)</f>
        <v>0</v>
      </c>
      <c r="AG66" s="322"/>
      <c r="AH66" s="83"/>
      <c r="AI66" s="17"/>
      <c r="AJ66" s="57" t="str">
        <f t="shared" si="10"/>
        <v>Consommation</v>
      </c>
      <c r="AK66" s="180"/>
      <c r="AL66" s="318">
        <f>Scénario!G18</f>
        <v>0.2</v>
      </c>
      <c r="AM66" s="311">
        <f>Calcul!AK60</f>
        <v>2</v>
      </c>
      <c r="AN66" s="321"/>
      <c r="AO66" s="85"/>
      <c r="AP66" s="180"/>
      <c r="AQ66" s="168">
        <f>IF(AK66&lt;&gt;0,Constantes!$E13,0)</f>
        <v>0</v>
      </c>
      <c r="AR66" s="88"/>
    </row>
    <row r="67" spans="1:44" ht="25.2" customHeight="1" thickBot="1" x14ac:dyDescent="0.3">
      <c r="A67" s="83"/>
      <c r="B67" s="15"/>
      <c r="C67" s="56" t="str">
        <f t="shared" si="7"/>
        <v>Renouvelable</v>
      </c>
      <c r="D67" s="417"/>
      <c r="E67" s="318">
        <f>Scénario!D19</f>
        <v>0.1</v>
      </c>
      <c r="F67" s="311">
        <f>Calcul!D61</f>
        <v>1</v>
      </c>
      <c r="G67" s="420"/>
      <c r="H67" s="85"/>
      <c r="I67" s="417"/>
      <c r="J67" s="168">
        <f>IF(D67&lt;&gt;0,Constantes!$E14,0)</f>
        <v>0</v>
      </c>
      <c r="K67" s="322"/>
      <c r="L67" s="83"/>
      <c r="M67" s="15"/>
      <c r="N67" s="56" t="str">
        <f t="shared" si="8"/>
        <v>Renouvelable</v>
      </c>
      <c r="O67" s="380"/>
      <c r="P67" s="318">
        <f>Scénario!E19</f>
        <v>0.15</v>
      </c>
      <c r="Q67" s="311">
        <f>Calcul!O61</f>
        <v>1</v>
      </c>
      <c r="R67" s="383"/>
      <c r="S67" s="85"/>
      <c r="T67" s="380"/>
      <c r="U67" s="168">
        <f>IF(O67&lt;&gt;0,Constantes!$E14,0)</f>
        <v>0</v>
      </c>
      <c r="V67" s="322"/>
      <c r="W67" s="83"/>
      <c r="X67" s="15"/>
      <c r="Y67" s="56" t="str">
        <f t="shared" si="9"/>
        <v>Renouvelable</v>
      </c>
      <c r="Z67" s="397"/>
      <c r="AA67" s="318">
        <f>Scénario!F19</f>
        <v>0.15</v>
      </c>
      <c r="AB67" s="311">
        <f>Calcul!Z61</f>
        <v>1</v>
      </c>
      <c r="AC67" s="400"/>
      <c r="AD67" s="85"/>
      <c r="AE67" s="397"/>
      <c r="AF67" s="168">
        <f>IF(Z67&lt;&gt;0,Constantes!$E14,0)</f>
        <v>0</v>
      </c>
      <c r="AG67" s="322"/>
      <c r="AH67" s="83"/>
      <c r="AI67" s="15"/>
      <c r="AJ67" s="56" t="str">
        <f t="shared" si="10"/>
        <v>Renouvelable</v>
      </c>
      <c r="AK67" s="179"/>
      <c r="AL67" s="318">
        <f>Scénario!G19</f>
        <v>0.15</v>
      </c>
      <c r="AM67" s="311">
        <f>Calcul!AK61</f>
        <v>2</v>
      </c>
      <c r="AN67" s="320"/>
      <c r="AO67" s="85"/>
      <c r="AP67" s="179"/>
      <c r="AQ67" s="168">
        <f>IF(AK67&lt;&gt;0,Constantes!$E14,0)</f>
        <v>0</v>
      </c>
      <c r="AR67" s="88"/>
    </row>
    <row r="68" spans="1:44" ht="25.2" customHeight="1" x14ac:dyDescent="0.25">
      <c r="A68" s="83"/>
      <c r="B68" s="12" t="str">
        <f>B52</f>
        <v>Assurance</v>
      </c>
      <c r="C68" s="54" t="str">
        <f t="shared" si="7"/>
        <v>IARD</v>
      </c>
      <c r="D68" s="416"/>
      <c r="E68" s="318">
        <f>Scénario!D20</f>
        <v>0.1</v>
      </c>
      <c r="F68" s="311">
        <f>Calcul!D62</f>
        <v>1</v>
      </c>
      <c r="G68" s="419"/>
      <c r="H68" s="85"/>
      <c r="I68" s="416"/>
      <c r="J68" s="168">
        <f>IF(D68&lt;&gt;0,Constantes!$E15,0)</f>
        <v>0</v>
      </c>
      <c r="K68" s="322"/>
      <c r="L68" s="83"/>
      <c r="M68" s="12" t="str">
        <f>M52</f>
        <v>Assurance</v>
      </c>
      <c r="N68" s="54" t="str">
        <f t="shared" si="8"/>
        <v>IARD</v>
      </c>
      <c r="O68" s="379"/>
      <c r="P68" s="318">
        <f>Scénario!E20</f>
        <v>0.2</v>
      </c>
      <c r="Q68" s="311">
        <f>Calcul!O62</f>
        <v>1</v>
      </c>
      <c r="R68" s="382"/>
      <c r="S68" s="85"/>
      <c r="T68" s="379"/>
      <c r="U68" s="168">
        <f>IF(O68&lt;&gt;0,Constantes!$E15,0)</f>
        <v>0</v>
      </c>
      <c r="V68" s="322"/>
      <c r="W68" s="83"/>
      <c r="X68" s="12" t="str">
        <f>X52</f>
        <v>Assurance</v>
      </c>
      <c r="Y68" s="54" t="str">
        <f t="shared" si="9"/>
        <v>IARD</v>
      </c>
      <c r="Z68" s="396"/>
      <c r="AA68" s="318">
        <f>Scénario!F20</f>
        <v>0.15</v>
      </c>
      <c r="AB68" s="311">
        <f>Calcul!Z62</f>
        <v>1</v>
      </c>
      <c r="AC68" s="399"/>
      <c r="AD68" s="85"/>
      <c r="AE68" s="396"/>
      <c r="AF68" s="168">
        <f>IF(Z68&lt;&gt;0,Constantes!$E15,0)</f>
        <v>0</v>
      </c>
      <c r="AG68" s="322"/>
      <c r="AH68" s="83"/>
      <c r="AI68" s="12" t="str">
        <f>AI52</f>
        <v>Assurance</v>
      </c>
      <c r="AJ68" s="54" t="str">
        <f t="shared" si="10"/>
        <v>IARD</v>
      </c>
      <c r="AK68" s="178"/>
      <c r="AL68" s="318">
        <f>Scénario!G20</f>
        <v>0.3</v>
      </c>
      <c r="AM68" s="311">
        <f>Calcul!AK62</f>
        <v>1</v>
      </c>
      <c r="AN68" s="319"/>
      <c r="AO68" s="85"/>
      <c r="AP68" s="178"/>
      <c r="AQ68" s="168">
        <f>IF(AK68&lt;&gt;0,Constantes!$E15,0)</f>
        <v>0</v>
      </c>
      <c r="AR68" s="88"/>
    </row>
    <row r="69" spans="1:44" ht="25.2" customHeight="1" thickBot="1" x14ac:dyDescent="0.3">
      <c r="A69" s="83"/>
      <c r="B69" s="15"/>
      <c r="C69" s="56" t="str">
        <f t="shared" si="7"/>
        <v>Prévoyance</v>
      </c>
      <c r="D69" s="417"/>
      <c r="E69" s="318">
        <f>Scénario!D21</f>
        <v>0.1</v>
      </c>
      <c r="F69" s="311">
        <f>Calcul!D63</f>
        <v>1</v>
      </c>
      <c r="G69" s="420"/>
      <c r="H69" s="85"/>
      <c r="I69" s="417"/>
      <c r="J69" s="168">
        <f>IF(D69&lt;&gt;0,Constantes!$E16,0)</f>
        <v>0</v>
      </c>
      <c r="K69" s="322"/>
      <c r="L69" s="83"/>
      <c r="M69" s="15"/>
      <c r="N69" s="56" t="str">
        <f t="shared" si="8"/>
        <v>Prévoyance</v>
      </c>
      <c r="O69" s="380"/>
      <c r="P69" s="318">
        <f>Scénario!E21</f>
        <v>0.15</v>
      </c>
      <c r="Q69" s="311">
        <f>Calcul!O63</f>
        <v>1</v>
      </c>
      <c r="R69" s="383"/>
      <c r="S69" s="85"/>
      <c r="T69" s="380"/>
      <c r="U69" s="168">
        <f>IF(O69&lt;&gt;0,Constantes!$E16,0)</f>
        <v>0</v>
      </c>
      <c r="V69" s="322"/>
      <c r="W69" s="83"/>
      <c r="X69" s="15"/>
      <c r="Y69" s="56" t="str">
        <f t="shared" si="9"/>
        <v>Prévoyance</v>
      </c>
      <c r="Z69" s="397"/>
      <c r="AA69" s="318">
        <f>Scénario!F21</f>
        <v>0.15</v>
      </c>
      <c r="AB69" s="311">
        <f>Calcul!Z63</f>
        <v>2</v>
      </c>
      <c r="AC69" s="400"/>
      <c r="AD69" s="85"/>
      <c r="AE69" s="397"/>
      <c r="AF69" s="168">
        <f>IF(Z69&lt;&gt;0,Constantes!$E16,0)</f>
        <v>0</v>
      </c>
      <c r="AG69" s="322"/>
      <c r="AH69" s="83"/>
      <c r="AI69" s="15"/>
      <c r="AJ69" s="56" t="str">
        <f t="shared" si="10"/>
        <v>Prévoyance</v>
      </c>
      <c r="AK69" s="179"/>
      <c r="AL69" s="318">
        <f>Scénario!G21</f>
        <v>0.15</v>
      </c>
      <c r="AM69" s="311">
        <f>Calcul!AK63</f>
        <v>2</v>
      </c>
      <c r="AN69" s="320"/>
      <c r="AO69" s="85"/>
      <c r="AP69" s="179"/>
      <c r="AQ69" s="168">
        <f>IF(AK69&lt;&gt;0,Constantes!$E16,0)</f>
        <v>0</v>
      </c>
      <c r="AR69" s="88"/>
    </row>
    <row r="70" spans="1:44" ht="25.2" customHeight="1" x14ac:dyDescent="0.25">
      <c r="A70" s="83"/>
      <c r="B70" s="12" t="str">
        <f>B54</f>
        <v>Services</v>
      </c>
      <c r="C70" s="54" t="str">
        <f t="shared" si="7"/>
        <v>Moyens de paiement</v>
      </c>
      <c r="D70" s="416"/>
      <c r="E70" s="318">
        <f>Scénario!D22</f>
        <v>0.25</v>
      </c>
      <c r="F70" s="311">
        <f>Calcul!D64</f>
        <v>1</v>
      </c>
      <c r="G70" s="419"/>
      <c r="H70" s="85"/>
      <c r="I70" s="416"/>
      <c r="J70" s="168">
        <f>IF(D70&lt;&gt;0,Constantes!$E17,0)</f>
        <v>0</v>
      </c>
      <c r="K70" s="322"/>
      <c r="L70" s="83"/>
      <c r="M70" s="12" t="str">
        <f>M54</f>
        <v>Services</v>
      </c>
      <c r="N70" s="54" t="str">
        <f t="shared" si="8"/>
        <v>Moyens de paiement</v>
      </c>
      <c r="O70" s="379"/>
      <c r="P70" s="318">
        <f>Scénario!E22</f>
        <v>0.2</v>
      </c>
      <c r="Q70" s="311">
        <f>Calcul!O64</f>
        <v>2</v>
      </c>
      <c r="R70" s="382"/>
      <c r="S70" s="85"/>
      <c r="T70" s="379"/>
      <c r="U70" s="168">
        <f>IF(O70&lt;&gt;0,Constantes!$E17,0)</f>
        <v>0</v>
      </c>
      <c r="V70" s="322"/>
      <c r="W70" s="83"/>
      <c r="X70" s="12" t="str">
        <f>X54</f>
        <v>Services</v>
      </c>
      <c r="Y70" s="54" t="str">
        <f t="shared" si="9"/>
        <v>Moyens de paiement</v>
      </c>
      <c r="Z70" s="396"/>
      <c r="AA70" s="318">
        <f>Scénario!F22</f>
        <v>0.3</v>
      </c>
      <c r="AB70" s="311">
        <f>Calcul!Z64</f>
        <v>2</v>
      </c>
      <c r="AC70" s="399"/>
      <c r="AD70" s="85"/>
      <c r="AE70" s="396"/>
      <c r="AF70" s="168">
        <f>IF(Z70&lt;&gt;0,Constantes!$E17,0)</f>
        <v>0</v>
      </c>
      <c r="AG70" s="322"/>
      <c r="AH70" s="83"/>
      <c r="AI70" s="12" t="str">
        <f>AI54</f>
        <v>Services</v>
      </c>
      <c r="AJ70" s="54" t="str">
        <f t="shared" si="10"/>
        <v>Moyens de paiement</v>
      </c>
      <c r="AK70" s="178"/>
      <c r="AL70" s="318">
        <f>Scénario!G22</f>
        <v>0.2</v>
      </c>
      <c r="AM70" s="311">
        <f>Calcul!AK64</f>
        <v>2</v>
      </c>
      <c r="AN70" s="319"/>
      <c r="AO70" s="85"/>
      <c r="AP70" s="178"/>
      <c r="AQ70" s="168">
        <f>IF(AK70&lt;&gt;0,Constantes!$E17,0)</f>
        <v>0</v>
      </c>
      <c r="AR70" s="88"/>
    </row>
    <row r="71" spans="1:44" ht="25.2" customHeight="1" x14ac:dyDescent="0.25">
      <c r="A71" s="83"/>
      <c r="B71" s="17"/>
      <c r="C71" s="57" t="str">
        <f t="shared" si="7"/>
        <v>Ouverture compte</v>
      </c>
      <c r="D71" s="418"/>
      <c r="E71" s="318">
        <f>Scénario!D23</f>
        <v>0.2</v>
      </c>
      <c r="F71" s="311">
        <f>Calcul!D65</f>
        <v>2</v>
      </c>
      <c r="G71" s="421"/>
      <c r="H71" s="85"/>
      <c r="I71" s="418"/>
      <c r="J71" s="168">
        <f>IF(D71&lt;&gt;0,Constantes!$E18,0)</f>
        <v>0</v>
      </c>
      <c r="K71" s="322"/>
      <c r="L71" s="83"/>
      <c r="M71" s="17"/>
      <c r="N71" s="57" t="str">
        <f t="shared" si="8"/>
        <v>Ouverture compte</v>
      </c>
      <c r="O71" s="381"/>
      <c r="P71" s="318">
        <f>Scénario!E23</f>
        <v>0.15</v>
      </c>
      <c r="Q71" s="311">
        <f>Calcul!O65</f>
        <v>2</v>
      </c>
      <c r="R71" s="384"/>
      <c r="S71" s="85"/>
      <c r="T71" s="381"/>
      <c r="U71" s="168">
        <f>IF(O71&lt;&gt;0,Constantes!$E18,0)</f>
        <v>0</v>
      </c>
      <c r="V71" s="322"/>
      <c r="W71" s="83"/>
      <c r="X71" s="17"/>
      <c r="Y71" s="57" t="str">
        <f t="shared" si="9"/>
        <v>Ouverture compte</v>
      </c>
      <c r="Z71" s="398"/>
      <c r="AA71" s="318">
        <f>Scénario!F23</f>
        <v>0.25</v>
      </c>
      <c r="AB71" s="311">
        <f>Calcul!Z65</f>
        <v>2</v>
      </c>
      <c r="AC71" s="401"/>
      <c r="AD71" s="85"/>
      <c r="AE71" s="398"/>
      <c r="AF71" s="168">
        <f>IF(Z71&lt;&gt;0,Constantes!$E18,0)</f>
        <v>0</v>
      </c>
      <c r="AG71" s="322"/>
      <c r="AH71" s="83"/>
      <c r="AI71" s="17"/>
      <c r="AJ71" s="57" t="str">
        <f t="shared" si="10"/>
        <v>Ouverture compte</v>
      </c>
      <c r="AK71" s="180"/>
      <c r="AL71" s="318">
        <f>Scénario!G23</f>
        <v>0.25</v>
      </c>
      <c r="AM71" s="311">
        <f>Calcul!AK65</f>
        <v>2</v>
      </c>
      <c r="AN71" s="321"/>
      <c r="AO71" s="85"/>
      <c r="AP71" s="180"/>
      <c r="AQ71" s="168">
        <f>IF(AK71&lt;&gt;0,Constantes!$E18,0)</f>
        <v>0</v>
      </c>
      <c r="AR71" s="88"/>
    </row>
    <row r="72" spans="1:44" ht="25.2" customHeight="1" thickBot="1" x14ac:dyDescent="0.3">
      <c r="A72" s="83"/>
      <c r="B72" s="15"/>
      <c r="C72" s="56" t="str">
        <f t="shared" si="7"/>
        <v>Téléphonie</v>
      </c>
      <c r="D72" s="417"/>
      <c r="E72" s="318">
        <f>Scénario!D24</f>
        <v>0</v>
      </c>
      <c r="F72" s="311">
        <f>Calcul!D66</f>
        <v>0</v>
      </c>
      <c r="G72" s="420"/>
      <c r="H72" s="85"/>
      <c r="I72" s="417"/>
      <c r="J72" s="168">
        <f>IF(D72&lt;&gt;0,Constantes!$E19,0)</f>
        <v>0</v>
      </c>
      <c r="K72" s="322"/>
      <c r="L72" s="83"/>
      <c r="M72" s="15"/>
      <c r="N72" s="56" t="str">
        <f t="shared" si="8"/>
        <v>Téléphonie</v>
      </c>
      <c r="O72" s="380"/>
      <c r="P72" s="318">
        <f>Scénario!E24</f>
        <v>0.1</v>
      </c>
      <c r="Q72" s="311">
        <f>Calcul!O66</f>
        <v>0</v>
      </c>
      <c r="R72" s="383"/>
      <c r="S72" s="85"/>
      <c r="T72" s="380"/>
      <c r="U72" s="168">
        <f>IF(O72&lt;&gt;0,Constantes!$E19,0)</f>
        <v>0</v>
      </c>
      <c r="V72" s="322"/>
      <c r="W72" s="83"/>
      <c r="X72" s="15"/>
      <c r="Y72" s="56" t="str">
        <f t="shared" si="9"/>
        <v>Téléphonie</v>
      </c>
      <c r="Z72" s="397"/>
      <c r="AA72" s="318">
        <f>Scénario!F24</f>
        <v>0.1</v>
      </c>
      <c r="AB72" s="311">
        <f>Calcul!Z66</f>
        <v>0</v>
      </c>
      <c r="AC72" s="400"/>
      <c r="AD72" s="85"/>
      <c r="AE72" s="397"/>
      <c r="AF72" s="168">
        <f>IF(Z72&lt;&gt;0,Constantes!$E19,0)</f>
        <v>0</v>
      </c>
      <c r="AG72" s="322"/>
      <c r="AH72" s="83"/>
      <c r="AI72" s="15"/>
      <c r="AJ72" s="56" t="str">
        <f t="shared" si="10"/>
        <v>Téléphonie</v>
      </c>
      <c r="AK72" s="179"/>
      <c r="AL72" s="318">
        <f>Scénario!G24</f>
        <v>0.15</v>
      </c>
      <c r="AM72" s="311">
        <f>Calcul!AK66</f>
        <v>1</v>
      </c>
      <c r="AN72" s="320"/>
      <c r="AO72" s="85"/>
      <c r="AP72" s="179"/>
      <c r="AQ72" s="168">
        <f>IF(AK72&lt;&gt;0,Constantes!$E19,0)</f>
        <v>0</v>
      </c>
      <c r="AR72" s="88"/>
    </row>
    <row r="73" spans="1:44" ht="22.8" customHeight="1" x14ac:dyDescent="0.25">
      <c r="A73" s="83"/>
      <c r="B73" s="85"/>
      <c r="C73" s="85"/>
      <c r="D73" s="85"/>
      <c r="E73" s="85"/>
      <c r="F73" s="85"/>
      <c r="G73" s="85"/>
      <c r="H73" s="85"/>
      <c r="J73" s="85"/>
      <c r="K73" s="88"/>
      <c r="L73" s="83"/>
      <c r="M73" s="85"/>
      <c r="N73" s="85"/>
      <c r="O73" s="85"/>
      <c r="P73" s="85"/>
      <c r="Q73" s="85"/>
      <c r="R73" s="85"/>
      <c r="S73" s="85"/>
      <c r="U73" s="85"/>
      <c r="V73" s="88"/>
      <c r="W73" s="83"/>
      <c r="X73" s="85"/>
      <c r="Y73" s="85"/>
      <c r="Z73" s="85"/>
      <c r="AA73" s="85"/>
      <c r="AB73" s="85"/>
      <c r="AC73" s="85"/>
      <c r="AD73" s="85"/>
      <c r="AF73" s="85"/>
      <c r="AG73" s="88"/>
      <c r="AH73" s="83"/>
      <c r="AI73" s="85"/>
      <c r="AJ73" s="85"/>
      <c r="AK73" s="85"/>
      <c r="AL73" s="85"/>
      <c r="AM73" s="85"/>
      <c r="AN73" s="85"/>
      <c r="AO73" s="85"/>
      <c r="AQ73" s="85"/>
      <c r="AR73" s="88"/>
    </row>
    <row r="74" spans="1:44" ht="22.8" customHeight="1" thickBot="1" x14ac:dyDescent="0.3">
      <c r="A74" s="97"/>
      <c r="B74" s="98"/>
      <c r="C74" s="98"/>
      <c r="D74" s="168">
        <f>SUM(D63:D72)</f>
        <v>0</v>
      </c>
      <c r="E74" s="98"/>
      <c r="F74" s="98"/>
      <c r="G74" s="98"/>
      <c r="H74" s="98"/>
      <c r="I74" s="22" t="s">
        <v>223</v>
      </c>
      <c r="J74" s="98"/>
      <c r="K74" s="99"/>
      <c r="L74" s="97"/>
      <c r="M74" s="98"/>
      <c r="N74" s="98"/>
      <c r="O74" s="101">
        <f>SUM(O63:O72)</f>
        <v>0</v>
      </c>
      <c r="P74" s="98"/>
      <c r="Q74" s="98"/>
      <c r="R74" s="98"/>
      <c r="S74" s="98"/>
      <c r="T74" s="22" t="s">
        <v>223</v>
      </c>
      <c r="U74" s="98"/>
      <c r="V74" s="99"/>
      <c r="W74" s="97"/>
      <c r="X74" s="98"/>
      <c r="Y74" s="98"/>
      <c r="Z74" s="101">
        <f>SUM(Z63:Z72)</f>
        <v>0</v>
      </c>
      <c r="AA74" s="98"/>
      <c r="AB74" s="98"/>
      <c r="AC74" s="98"/>
      <c r="AD74" s="98"/>
      <c r="AE74" s="22" t="s">
        <v>223</v>
      </c>
      <c r="AF74" s="98"/>
      <c r="AG74" s="99"/>
      <c r="AH74" s="97"/>
      <c r="AI74" s="98"/>
      <c r="AJ74" s="98"/>
      <c r="AK74" s="101">
        <f>SUM(AK63:AK72)</f>
        <v>0</v>
      </c>
      <c r="AL74" s="98"/>
      <c r="AM74" s="98"/>
      <c r="AN74" s="98"/>
      <c r="AO74" s="98"/>
      <c r="AP74" s="22" t="s">
        <v>223</v>
      </c>
      <c r="AQ74" s="98"/>
      <c r="AR74" s="99"/>
    </row>
    <row r="75" spans="1:44" ht="22.8" customHeight="1" thickBot="1" x14ac:dyDescent="0.3">
      <c r="A75" s="802" t="s">
        <v>66</v>
      </c>
      <c r="B75" s="803"/>
      <c r="C75" s="803"/>
      <c r="D75" s="803"/>
      <c r="E75" s="803"/>
      <c r="F75" s="803"/>
      <c r="G75" s="803"/>
      <c r="H75" s="803"/>
      <c r="I75" s="803"/>
      <c r="J75" s="803"/>
      <c r="K75" s="804"/>
      <c r="L75" s="802" t="s">
        <v>66</v>
      </c>
      <c r="M75" s="803"/>
      <c r="N75" s="803"/>
      <c r="O75" s="803"/>
      <c r="P75" s="803"/>
      <c r="Q75" s="803"/>
      <c r="R75" s="803"/>
      <c r="S75" s="803"/>
      <c r="T75" s="803"/>
      <c r="U75" s="803"/>
      <c r="V75" s="804"/>
      <c r="W75" s="802" t="s">
        <v>66</v>
      </c>
      <c r="X75" s="803"/>
      <c r="Y75" s="803"/>
      <c r="Z75" s="803"/>
      <c r="AA75" s="803"/>
      <c r="AB75" s="803"/>
      <c r="AC75" s="803"/>
      <c r="AD75" s="803"/>
      <c r="AE75" s="803"/>
      <c r="AF75" s="803"/>
      <c r="AG75" s="804"/>
      <c r="AH75" s="802" t="s">
        <v>66</v>
      </c>
      <c r="AI75" s="803"/>
      <c r="AJ75" s="803"/>
      <c r="AK75" s="803"/>
      <c r="AL75" s="803"/>
      <c r="AM75" s="803"/>
      <c r="AN75" s="803"/>
      <c r="AO75" s="803"/>
      <c r="AP75" s="803"/>
      <c r="AQ75" s="803"/>
      <c r="AR75" s="804"/>
    </row>
    <row r="76" spans="1:44" ht="22.8" customHeight="1" thickBot="1" x14ac:dyDescent="0.3">
      <c r="A76" s="79"/>
      <c r="B76" s="53"/>
      <c r="C76" s="53"/>
      <c r="D76" s="80"/>
      <c r="E76" s="80"/>
      <c r="F76" s="80"/>
      <c r="G76" s="80"/>
      <c r="H76" s="80"/>
      <c r="I76" s="80"/>
      <c r="J76" s="80"/>
      <c r="K76" s="82"/>
      <c r="L76" s="79"/>
      <c r="M76" s="53"/>
      <c r="N76" s="53"/>
      <c r="O76" s="80"/>
      <c r="P76" s="80"/>
      <c r="Q76" s="80"/>
      <c r="R76" s="80"/>
      <c r="S76" s="80"/>
      <c r="T76" s="80"/>
      <c r="U76" s="80"/>
      <c r="V76" s="82"/>
      <c r="W76" s="79"/>
      <c r="X76" s="53"/>
      <c r="Y76" s="53"/>
      <c r="Z76" s="80"/>
      <c r="AA76" s="80"/>
      <c r="AB76" s="80"/>
      <c r="AC76" s="80"/>
      <c r="AD76" s="80"/>
      <c r="AE76" s="80"/>
      <c r="AF76" s="80"/>
      <c r="AG76" s="82"/>
      <c r="AH76" s="79"/>
      <c r="AI76" s="53"/>
      <c r="AJ76" s="53"/>
      <c r="AK76" s="80"/>
      <c r="AL76" s="80"/>
      <c r="AM76" s="80"/>
      <c r="AN76" s="80"/>
      <c r="AO76" s="80"/>
      <c r="AP76" s="80"/>
      <c r="AQ76" s="80"/>
      <c r="AR76" s="82"/>
    </row>
    <row r="77" spans="1:44" ht="22.8" customHeight="1" thickBot="1" x14ac:dyDescent="0.3">
      <c r="A77" s="83"/>
      <c r="B77" s="93" t="s">
        <v>14</v>
      </c>
      <c r="C77" s="52"/>
      <c r="D77" s="412"/>
      <c r="E77" s="85"/>
      <c r="F77" s="748" t="s">
        <v>220</v>
      </c>
      <c r="G77" s="85"/>
      <c r="H77" s="85"/>
      <c r="I77" s="797" t="s">
        <v>222</v>
      </c>
      <c r="J77" s="85"/>
      <c r="K77" s="88"/>
      <c r="L77" s="83"/>
      <c r="M77" s="93" t="s">
        <v>14</v>
      </c>
      <c r="N77" s="52"/>
      <c r="O77" s="375"/>
      <c r="P77" s="85"/>
      <c r="Q77" s="748" t="s">
        <v>220</v>
      </c>
      <c r="R77" s="85"/>
      <c r="S77" s="85"/>
      <c r="T77" s="797" t="s">
        <v>222</v>
      </c>
      <c r="U77" s="85"/>
      <c r="V77" s="88"/>
      <c r="W77" s="83"/>
      <c r="X77" s="93" t="s">
        <v>14</v>
      </c>
      <c r="Y77" s="52"/>
      <c r="Z77" s="392"/>
      <c r="AA77" s="85"/>
      <c r="AB77" s="748" t="s">
        <v>220</v>
      </c>
      <c r="AC77" s="85"/>
      <c r="AD77" s="85"/>
      <c r="AE77" s="797" t="s">
        <v>222</v>
      </c>
      <c r="AF77" s="85"/>
      <c r="AG77" s="88"/>
      <c r="AH77" s="83"/>
      <c r="AI77" s="93" t="s">
        <v>14</v>
      </c>
      <c r="AJ77" s="52"/>
      <c r="AK77" s="177"/>
      <c r="AL77" s="85"/>
      <c r="AM77" s="748" t="s">
        <v>220</v>
      </c>
      <c r="AN77" s="85"/>
      <c r="AO77" s="85"/>
      <c r="AP77" s="797" t="s">
        <v>222</v>
      </c>
      <c r="AQ77" s="85"/>
      <c r="AR77" s="88"/>
    </row>
    <row r="78" spans="1:44" ht="22.8" customHeight="1" thickBot="1" x14ac:dyDescent="0.3">
      <c r="A78" s="83"/>
      <c r="B78" s="93" t="s">
        <v>221</v>
      </c>
      <c r="C78" s="85"/>
      <c r="D78" s="100"/>
      <c r="E78" s="748" t="s">
        <v>86</v>
      </c>
      <c r="F78" s="746" t="s">
        <v>324</v>
      </c>
      <c r="G78" s="748" t="s">
        <v>323</v>
      </c>
      <c r="H78" s="85"/>
      <c r="I78" s="798"/>
      <c r="J78" s="748" t="s">
        <v>124</v>
      </c>
      <c r="K78" s="191"/>
      <c r="L78" s="83"/>
      <c r="M78" s="93" t="s">
        <v>221</v>
      </c>
      <c r="N78" s="85"/>
      <c r="O78" s="100"/>
      <c r="P78" s="748" t="s">
        <v>86</v>
      </c>
      <c r="Q78" s="746" t="s">
        <v>324</v>
      </c>
      <c r="R78" s="748" t="s">
        <v>323</v>
      </c>
      <c r="S78" s="85"/>
      <c r="T78" s="798"/>
      <c r="U78" s="748" t="s">
        <v>124</v>
      </c>
      <c r="V78" s="191"/>
      <c r="W78" s="83"/>
      <c r="X78" s="93" t="s">
        <v>221</v>
      </c>
      <c r="Y78" s="85"/>
      <c r="Z78" s="100"/>
      <c r="AA78" s="748" t="s">
        <v>86</v>
      </c>
      <c r="AB78" s="746" t="s">
        <v>324</v>
      </c>
      <c r="AC78" s="748" t="s">
        <v>323</v>
      </c>
      <c r="AD78" s="85"/>
      <c r="AE78" s="798"/>
      <c r="AF78" s="748" t="s">
        <v>124</v>
      </c>
      <c r="AG78" s="191"/>
      <c r="AH78" s="83"/>
      <c r="AI78" s="93" t="s">
        <v>221</v>
      </c>
      <c r="AJ78" s="85"/>
      <c r="AK78" s="100"/>
      <c r="AL78" s="748" t="s">
        <v>86</v>
      </c>
      <c r="AM78" s="746" t="s">
        <v>324</v>
      </c>
      <c r="AN78" s="748" t="s">
        <v>323</v>
      </c>
      <c r="AO78" s="85"/>
      <c r="AP78" s="798"/>
      <c r="AQ78" s="748" t="s">
        <v>124</v>
      </c>
      <c r="AR78" s="88"/>
    </row>
    <row r="79" spans="1:44" ht="25.2" customHeight="1" x14ac:dyDescent="0.25">
      <c r="A79" s="83"/>
      <c r="B79" s="12" t="str">
        <f>B63</f>
        <v>Collecte</v>
      </c>
      <c r="C79" s="54" t="str">
        <f t="shared" ref="C79:C88" si="11">C20</f>
        <v>Court terme</v>
      </c>
      <c r="D79" s="416"/>
      <c r="E79" s="318">
        <f>Scénario!D27</f>
        <v>0.1</v>
      </c>
      <c r="F79" s="311">
        <f>Calcul!E57</f>
        <v>2</v>
      </c>
      <c r="G79" s="422"/>
      <c r="H79" s="94"/>
      <c r="I79" s="416"/>
      <c r="J79" s="168">
        <f>IF(D79&lt;&gt;0,Constantes!$E10,0)</f>
        <v>0</v>
      </c>
      <c r="K79" s="322"/>
      <c r="L79" s="83"/>
      <c r="M79" s="12" t="str">
        <f>M63</f>
        <v>Collecte</v>
      </c>
      <c r="N79" s="54" t="str">
        <f t="shared" ref="N79:N88" si="12">N20</f>
        <v>Court terme</v>
      </c>
      <c r="O79" s="379"/>
      <c r="P79" s="318">
        <f>Scénario!E27</f>
        <v>0.15</v>
      </c>
      <c r="Q79" s="311">
        <f>Calcul!P57</f>
        <v>2</v>
      </c>
      <c r="R79" s="385"/>
      <c r="S79" s="94"/>
      <c r="T79" s="379"/>
      <c r="U79" s="168">
        <f>IF(O79&lt;&gt;0,Constantes!$E10,0)</f>
        <v>0</v>
      </c>
      <c r="V79" s="322"/>
      <c r="W79" s="83"/>
      <c r="X79" s="12" t="str">
        <f>X63</f>
        <v>Collecte</v>
      </c>
      <c r="Y79" s="54" t="str">
        <f t="shared" ref="Y79:Y88" si="13">Y20</f>
        <v>Court terme</v>
      </c>
      <c r="Z79" s="396"/>
      <c r="AA79" s="318">
        <f>Scénario!F27</f>
        <v>0.15</v>
      </c>
      <c r="AB79" s="311">
        <f>Calcul!AA57</f>
        <v>2</v>
      </c>
      <c r="AC79" s="402"/>
      <c r="AD79" s="94"/>
      <c r="AE79" s="396"/>
      <c r="AF79" s="168">
        <f>IF(Z79&lt;&gt;0,Constantes!$E10,0)</f>
        <v>0</v>
      </c>
      <c r="AG79" s="322"/>
      <c r="AH79" s="83"/>
      <c r="AI79" s="12" t="str">
        <f>AI63</f>
        <v>Collecte</v>
      </c>
      <c r="AJ79" s="54" t="str">
        <f t="shared" ref="AJ79:AJ88" si="14">AJ20</f>
        <v>Court terme</v>
      </c>
      <c r="AK79" s="178"/>
      <c r="AL79" s="318">
        <f>Scénario!G27</f>
        <v>0.15</v>
      </c>
      <c r="AM79" s="311">
        <f>Calcul!AL57</f>
        <v>2</v>
      </c>
      <c r="AN79" s="323"/>
      <c r="AO79" s="94"/>
      <c r="AP79" s="178"/>
      <c r="AQ79" s="168">
        <f>IF(AK79&lt;&gt;0,Constantes!$E10,0)</f>
        <v>0</v>
      </c>
      <c r="AR79" s="88"/>
    </row>
    <row r="80" spans="1:44" ht="25.2" customHeight="1" thickBot="1" x14ac:dyDescent="0.3">
      <c r="A80" s="83"/>
      <c r="B80" s="15"/>
      <c r="C80" s="56" t="str">
        <f t="shared" si="11"/>
        <v>Moyen et long terme</v>
      </c>
      <c r="D80" s="417"/>
      <c r="E80" s="318">
        <f>Scénario!D28</f>
        <v>0.25</v>
      </c>
      <c r="F80" s="311">
        <f>Calcul!E58</f>
        <v>1</v>
      </c>
      <c r="G80" s="420"/>
      <c r="H80" s="22"/>
      <c r="I80" s="417"/>
      <c r="J80" s="168">
        <f>IF(D80&lt;&gt;0,Constantes!$E11,0)</f>
        <v>0</v>
      </c>
      <c r="K80" s="322"/>
      <c r="L80" s="83"/>
      <c r="M80" s="15"/>
      <c r="N80" s="56" t="str">
        <f t="shared" si="12"/>
        <v>Moyen et long terme</v>
      </c>
      <c r="O80" s="380"/>
      <c r="P80" s="318">
        <f>Scénario!E28</f>
        <v>0.2</v>
      </c>
      <c r="Q80" s="311">
        <f>Calcul!P58</f>
        <v>2</v>
      </c>
      <c r="R80" s="383"/>
      <c r="S80" s="22"/>
      <c r="T80" s="380"/>
      <c r="U80" s="168">
        <f>IF(O80&lt;&gt;0,Constantes!$E11,0)</f>
        <v>0</v>
      </c>
      <c r="V80" s="322"/>
      <c r="W80" s="83"/>
      <c r="X80" s="15"/>
      <c r="Y80" s="56" t="str">
        <f t="shared" si="13"/>
        <v>Moyen et long terme</v>
      </c>
      <c r="Z80" s="397"/>
      <c r="AA80" s="318">
        <f>Scénario!F28</f>
        <v>0.2</v>
      </c>
      <c r="AB80" s="311">
        <f>Calcul!AA58</f>
        <v>2</v>
      </c>
      <c r="AC80" s="400"/>
      <c r="AD80" s="22"/>
      <c r="AE80" s="397"/>
      <c r="AF80" s="168">
        <f>IF(Z80&lt;&gt;0,Constantes!$E11,0)</f>
        <v>0</v>
      </c>
      <c r="AG80" s="322"/>
      <c r="AH80" s="83"/>
      <c r="AI80" s="15"/>
      <c r="AJ80" s="56" t="str">
        <f t="shared" si="14"/>
        <v>Moyen et long terme</v>
      </c>
      <c r="AK80" s="179"/>
      <c r="AL80" s="318">
        <f>Scénario!G28</f>
        <v>0.2</v>
      </c>
      <c r="AM80" s="311">
        <f>Calcul!AL58</f>
        <v>2</v>
      </c>
      <c r="AN80" s="320"/>
      <c r="AO80" s="22"/>
      <c r="AP80" s="179"/>
      <c r="AQ80" s="168">
        <f>IF(AK80&lt;&gt;0,Constantes!$E11,0)</f>
        <v>0</v>
      </c>
      <c r="AR80" s="88"/>
    </row>
    <row r="81" spans="1:44" ht="25.2" customHeight="1" x14ac:dyDescent="0.25">
      <c r="A81" s="83"/>
      <c r="B81" s="12" t="str">
        <f>B65</f>
        <v>Crédit</v>
      </c>
      <c r="C81" s="54" t="str">
        <f t="shared" si="11"/>
        <v>Immobilier</v>
      </c>
      <c r="D81" s="416"/>
      <c r="E81" s="318">
        <f>Scénario!D29</f>
        <v>0.15</v>
      </c>
      <c r="F81" s="311">
        <f>Calcul!E59</f>
        <v>2</v>
      </c>
      <c r="G81" s="419"/>
      <c r="H81" s="85"/>
      <c r="I81" s="416"/>
      <c r="J81" s="168">
        <f>IF(D81&lt;&gt;0,Constantes!$E12,0)</f>
        <v>0</v>
      </c>
      <c r="K81" s="322"/>
      <c r="L81" s="83"/>
      <c r="M81" s="12" t="str">
        <f>M65</f>
        <v>Crédit</v>
      </c>
      <c r="N81" s="54" t="str">
        <f t="shared" si="12"/>
        <v>Immobilier</v>
      </c>
      <c r="O81" s="379"/>
      <c r="P81" s="318">
        <f>Scénario!E29</f>
        <v>0.4</v>
      </c>
      <c r="Q81" s="311">
        <f>Calcul!P59</f>
        <v>2</v>
      </c>
      <c r="R81" s="382"/>
      <c r="S81" s="85"/>
      <c r="T81" s="379"/>
      <c r="U81" s="168">
        <f>IF(O81&lt;&gt;0,Constantes!$E12,0)</f>
        <v>0</v>
      </c>
      <c r="V81" s="322"/>
      <c r="W81" s="83"/>
      <c r="X81" s="12" t="str">
        <f>X65</f>
        <v>Crédit</v>
      </c>
      <c r="Y81" s="54" t="str">
        <f t="shared" si="13"/>
        <v>Immobilier</v>
      </c>
      <c r="Z81" s="396"/>
      <c r="AA81" s="318">
        <f>Scénario!F29</f>
        <v>0.15</v>
      </c>
      <c r="AB81" s="311">
        <f>Calcul!AA59</f>
        <v>2</v>
      </c>
      <c r="AC81" s="399"/>
      <c r="AD81" s="85"/>
      <c r="AE81" s="396"/>
      <c r="AF81" s="168">
        <f>IF(Z81&lt;&gt;0,Constantes!$E12,0)</f>
        <v>0</v>
      </c>
      <c r="AG81" s="322"/>
      <c r="AH81" s="83"/>
      <c r="AI81" s="12" t="str">
        <f>AI65</f>
        <v>Crédit</v>
      </c>
      <c r="AJ81" s="54" t="str">
        <f t="shared" si="14"/>
        <v>Immobilier</v>
      </c>
      <c r="AK81" s="178"/>
      <c r="AL81" s="318">
        <f>Scénario!G29</f>
        <v>0.25</v>
      </c>
      <c r="AM81" s="311">
        <f>Calcul!AL59</f>
        <v>3</v>
      </c>
      <c r="AN81" s="319"/>
      <c r="AO81" s="85"/>
      <c r="AP81" s="178"/>
      <c r="AQ81" s="168">
        <f>IF(AK81&lt;&gt;0,Constantes!$E12,0)</f>
        <v>0</v>
      </c>
      <c r="AR81" s="88"/>
    </row>
    <row r="82" spans="1:44" ht="25.2" customHeight="1" x14ac:dyDescent="0.25">
      <c r="A82" s="83"/>
      <c r="B82" s="17"/>
      <c r="C82" s="57" t="str">
        <f t="shared" si="11"/>
        <v>Consommation</v>
      </c>
      <c r="D82" s="418"/>
      <c r="E82" s="318">
        <f>Scénario!D30</f>
        <v>0.15</v>
      </c>
      <c r="F82" s="311">
        <f>Calcul!E60</f>
        <v>1</v>
      </c>
      <c r="G82" s="421"/>
      <c r="H82" s="85"/>
      <c r="I82" s="418"/>
      <c r="J82" s="168">
        <f>IF(D82&lt;&gt;0,Constantes!$E13,0)</f>
        <v>0</v>
      </c>
      <c r="K82" s="322"/>
      <c r="L82" s="83"/>
      <c r="M82" s="17"/>
      <c r="N82" s="57" t="str">
        <f t="shared" si="12"/>
        <v>Consommation</v>
      </c>
      <c r="O82" s="381"/>
      <c r="P82" s="318">
        <f>Scénario!E30</f>
        <v>0.2</v>
      </c>
      <c r="Q82" s="311">
        <f>Calcul!P60</f>
        <v>1</v>
      </c>
      <c r="R82" s="384"/>
      <c r="S82" s="85"/>
      <c r="T82" s="381"/>
      <c r="U82" s="168">
        <f>IF(O82&lt;&gt;0,Constantes!$E13,0)</f>
        <v>0</v>
      </c>
      <c r="V82" s="322"/>
      <c r="W82" s="83"/>
      <c r="X82" s="17"/>
      <c r="Y82" s="57" t="str">
        <f t="shared" si="13"/>
        <v>Consommation</v>
      </c>
      <c r="Z82" s="398"/>
      <c r="AA82" s="318">
        <f>Scénario!F30</f>
        <v>0.2</v>
      </c>
      <c r="AB82" s="311">
        <f>Calcul!AA60</f>
        <v>1</v>
      </c>
      <c r="AC82" s="401"/>
      <c r="AD82" s="85"/>
      <c r="AE82" s="398"/>
      <c r="AF82" s="168">
        <f>IF(Z82&lt;&gt;0,Constantes!$E13,0)</f>
        <v>0</v>
      </c>
      <c r="AG82" s="322"/>
      <c r="AH82" s="83"/>
      <c r="AI82" s="17"/>
      <c r="AJ82" s="57" t="str">
        <f t="shared" si="14"/>
        <v>Consommation</v>
      </c>
      <c r="AK82" s="180"/>
      <c r="AL82" s="318">
        <f>Scénario!G30</f>
        <v>0.2</v>
      </c>
      <c r="AM82" s="311">
        <f>Calcul!AL60</f>
        <v>2</v>
      </c>
      <c r="AN82" s="321"/>
      <c r="AO82" s="85"/>
      <c r="AP82" s="180"/>
      <c r="AQ82" s="168">
        <f>IF(AK82&lt;&gt;0,Constantes!$E13,0)</f>
        <v>0</v>
      </c>
      <c r="AR82" s="88"/>
    </row>
    <row r="83" spans="1:44" ht="25.2" customHeight="1" thickBot="1" x14ac:dyDescent="0.3">
      <c r="A83" s="83"/>
      <c r="B83" s="15"/>
      <c r="C83" s="56" t="str">
        <f t="shared" si="11"/>
        <v>Renouvelable</v>
      </c>
      <c r="D83" s="417"/>
      <c r="E83" s="318">
        <f>Scénario!D31</f>
        <v>0.1</v>
      </c>
      <c r="F83" s="311">
        <f>Calcul!E61</f>
        <v>1</v>
      </c>
      <c r="G83" s="420"/>
      <c r="H83" s="85"/>
      <c r="I83" s="417"/>
      <c r="J83" s="168">
        <f>IF(D83&lt;&gt;0,Constantes!$E14,0)</f>
        <v>0</v>
      </c>
      <c r="K83" s="322"/>
      <c r="L83" s="83"/>
      <c r="M83" s="15"/>
      <c r="N83" s="56" t="str">
        <f t="shared" si="12"/>
        <v>Renouvelable</v>
      </c>
      <c r="O83" s="380"/>
      <c r="P83" s="318">
        <f>Scénario!E31</f>
        <v>0.25</v>
      </c>
      <c r="Q83" s="311">
        <f>Calcul!P61</f>
        <v>1</v>
      </c>
      <c r="R83" s="383"/>
      <c r="S83" s="85"/>
      <c r="T83" s="380"/>
      <c r="U83" s="168">
        <f>IF(O83&lt;&gt;0,Constantes!$E14,0)</f>
        <v>0</v>
      </c>
      <c r="V83" s="322"/>
      <c r="W83" s="83"/>
      <c r="X83" s="15"/>
      <c r="Y83" s="56" t="str">
        <f t="shared" si="13"/>
        <v>Renouvelable</v>
      </c>
      <c r="Z83" s="397"/>
      <c r="AA83" s="318">
        <f>Scénario!F31</f>
        <v>0.25</v>
      </c>
      <c r="AB83" s="311">
        <f>Calcul!AA61</f>
        <v>1</v>
      </c>
      <c r="AC83" s="400"/>
      <c r="AD83" s="85"/>
      <c r="AE83" s="397"/>
      <c r="AF83" s="168">
        <f>IF(Z83&lt;&gt;0,Constantes!$E14,0)</f>
        <v>0</v>
      </c>
      <c r="AG83" s="322"/>
      <c r="AH83" s="83"/>
      <c r="AI83" s="15"/>
      <c r="AJ83" s="56" t="str">
        <f t="shared" si="14"/>
        <v>Renouvelable</v>
      </c>
      <c r="AK83" s="179"/>
      <c r="AL83" s="318">
        <f>Scénario!G31</f>
        <v>0.25</v>
      </c>
      <c r="AM83" s="311">
        <f>Calcul!AL61</f>
        <v>1</v>
      </c>
      <c r="AN83" s="320"/>
      <c r="AO83" s="85"/>
      <c r="AP83" s="179"/>
      <c r="AQ83" s="168">
        <f>IF(AK83&lt;&gt;0,Constantes!$E14,0)</f>
        <v>0</v>
      </c>
      <c r="AR83" s="88"/>
    </row>
    <row r="84" spans="1:44" ht="25.2" customHeight="1" x14ac:dyDescent="0.25">
      <c r="A84" s="83"/>
      <c r="B84" s="12" t="str">
        <f>B68</f>
        <v>Assurance</v>
      </c>
      <c r="C84" s="54" t="str">
        <f t="shared" si="11"/>
        <v>IARD</v>
      </c>
      <c r="D84" s="416"/>
      <c r="E84" s="318">
        <f>Scénario!D32</f>
        <v>0</v>
      </c>
      <c r="F84" s="311">
        <f>Calcul!E62</f>
        <v>0</v>
      </c>
      <c r="G84" s="419"/>
      <c r="H84" s="85"/>
      <c r="I84" s="416"/>
      <c r="J84" s="168">
        <f>IF(D84&lt;&gt;0,Constantes!$E15,0)</f>
        <v>0</v>
      </c>
      <c r="K84" s="322"/>
      <c r="L84" s="83"/>
      <c r="M84" s="12" t="str">
        <f>M68</f>
        <v>Assurance</v>
      </c>
      <c r="N84" s="54" t="str">
        <f t="shared" si="12"/>
        <v>IARD</v>
      </c>
      <c r="O84" s="379"/>
      <c r="P84" s="318">
        <f>Scénario!E32</f>
        <v>0.2</v>
      </c>
      <c r="Q84" s="311">
        <f>Calcul!P62</f>
        <v>0</v>
      </c>
      <c r="R84" s="382"/>
      <c r="S84" s="85"/>
      <c r="T84" s="379"/>
      <c r="U84" s="168">
        <f>IF(O84&lt;&gt;0,Constantes!$E15,0)</f>
        <v>0</v>
      </c>
      <c r="V84" s="322"/>
      <c r="W84" s="83"/>
      <c r="X84" s="12" t="str">
        <f>X68</f>
        <v>Assurance</v>
      </c>
      <c r="Y84" s="54" t="str">
        <f t="shared" si="13"/>
        <v>IARD</v>
      </c>
      <c r="Z84" s="396"/>
      <c r="AA84" s="318">
        <f>Scénario!F32</f>
        <v>0.15</v>
      </c>
      <c r="AB84" s="311">
        <f>Calcul!AA62</f>
        <v>1</v>
      </c>
      <c r="AC84" s="399"/>
      <c r="AD84" s="85"/>
      <c r="AE84" s="396"/>
      <c r="AF84" s="168">
        <f>IF(Z84&lt;&gt;0,Constantes!$E15,0)</f>
        <v>0</v>
      </c>
      <c r="AG84" s="322"/>
      <c r="AH84" s="83"/>
      <c r="AI84" s="12" t="str">
        <f>AI68</f>
        <v>Assurance</v>
      </c>
      <c r="AJ84" s="54" t="str">
        <f t="shared" si="14"/>
        <v>IARD</v>
      </c>
      <c r="AK84" s="178"/>
      <c r="AL84" s="318">
        <f>Scénario!G32</f>
        <v>0.3</v>
      </c>
      <c r="AM84" s="311">
        <f>Calcul!AL62</f>
        <v>1</v>
      </c>
      <c r="AN84" s="319"/>
      <c r="AO84" s="85"/>
      <c r="AP84" s="178"/>
      <c r="AQ84" s="168">
        <f>IF(AK84&lt;&gt;0,Constantes!$E15,0)</f>
        <v>0</v>
      </c>
      <c r="AR84" s="88"/>
    </row>
    <row r="85" spans="1:44" ht="25.2" customHeight="1" thickBot="1" x14ac:dyDescent="0.3">
      <c r="A85" s="83"/>
      <c r="B85" s="15"/>
      <c r="C85" s="56" t="str">
        <f t="shared" si="11"/>
        <v>Prévoyance</v>
      </c>
      <c r="D85" s="417"/>
      <c r="E85" s="318">
        <f>Scénario!D33</f>
        <v>0.2</v>
      </c>
      <c r="F85" s="311">
        <f>Calcul!E63</f>
        <v>1</v>
      </c>
      <c r="G85" s="420"/>
      <c r="H85" s="85"/>
      <c r="I85" s="417"/>
      <c r="J85" s="168">
        <f>IF(D85&lt;&gt;0,Constantes!$E16,0)</f>
        <v>0</v>
      </c>
      <c r="K85" s="322"/>
      <c r="L85" s="83"/>
      <c r="M85" s="15"/>
      <c r="N85" s="56" t="str">
        <f t="shared" si="12"/>
        <v>Prévoyance</v>
      </c>
      <c r="O85" s="380"/>
      <c r="P85" s="318">
        <f>Scénario!E33</f>
        <v>0.2</v>
      </c>
      <c r="Q85" s="311">
        <f>Calcul!P63</f>
        <v>2</v>
      </c>
      <c r="R85" s="383"/>
      <c r="S85" s="85"/>
      <c r="T85" s="380"/>
      <c r="U85" s="168">
        <f>IF(O85&lt;&gt;0,Constantes!$E16,0)</f>
        <v>0</v>
      </c>
      <c r="V85" s="322"/>
      <c r="W85" s="83"/>
      <c r="X85" s="15"/>
      <c r="Y85" s="56" t="str">
        <f t="shared" si="13"/>
        <v>Prévoyance</v>
      </c>
      <c r="Z85" s="397"/>
      <c r="AA85" s="318">
        <f>Scénario!F33</f>
        <v>0.2</v>
      </c>
      <c r="AB85" s="311">
        <f>Calcul!AA63</f>
        <v>2</v>
      </c>
      <c r="AC85" s="400"/>
      <c r="AD85" s="85"/>
      <c r="AE85" s="397"/>
      <c r="AF85" s="168">
        <f>IF(Z85&lt;&gt;0,Constantes!$E16,0)</f>
        <v>0</v>
      </c>
      <c r="AG85" s="322"/>
      <c r="AH85" s="83"/>
      <c r="AI85" s="15"/>
      <c r="AJ85" s="56" t="str">
        <f t="shared" si="14"/>
        <v>Prévoyance</v>
      </c>
      <c r="AK85" s="179"/>
      <c r="AL85" s="318">
        <f>Scénario!G33</f>
        <v>0.2</v>
      </c>
      <c r="AM85" s="311">
        <f>Calcul!AL63</f>
        <v>2</v>
      </c>
      <c r="AN85" s="320"/>
      <c r="AO85" s="85"/>
      <c r="AP85" s="179"/>
      <c r="AQ85" s="168">
        <f>IF(AK85&lt;&gt;0,Constantes!$E16,0)</f>
        <v>0</v>
      </c>
      <c r="AR85" s="88"/>
    </row>
    <row r="86" spans="1:44" ht="25.2" customHeight="1" x14ac:dyDescent="0.25">
      <c r="A86" s="83"/>
      <c r="B86" s="12" t="str">
        <f>B70</f>
        <v>Services</v>
      </c>
      <c r="C86" s="54" t="str">
        <f t="shared" si="11"/>
        <v>Moyens de paiement</v>
      </c>
      <c r="D86" s="416"/>
      <c r="E86" s="318">
        <f>Scénario!D34</f>
        <v>0.15</v>
      </c>
      <c r="F86" s="311">
        <f>Calcul!E64</f>
        <v>1</v>
      </c>
      <c r="G86" s="419"/>
      <c r="H86" s="85"/>
      <c r="I86" s="416"/>
      <c r="J86" s="168">
        <f>IF(D86&lt;&gt;0,Constantes!$E17,0)</f>
        <v>0</v>
      </c>
      <c r="K86" s="322"/>
      <c r="L86" s="83"/>
      <c r="M86" s="12" t="str">
        <f>M70</f>
        <v>Services</v>
      </c>
      <c r="N86" s="54" t="str">
        <f t="shared" si="12"/>
        <v>Moyens de paiement</v>
      </c>
      <c r="O86" s="379"/>
      <c r="P86" s="318">
        <f>Scénario!E34</f>
        <v>0.15</v>
      </c>
      <c r="Q86" s="311">
        <f>Calcul!P64</f>
        <v>1</v>
      </c>
      <c r="R86" s="382"/>
      <c r="S86" s="85"/>
      <c r="T86" s="379"/>
      <c r="U86" s="168">
        <f>IF(O86&lt;&gt;0,Constantes!$E17,0)</f>
        <v>0</v>
      </c>
      <c r="V86" s="322"/>
      <c r="W86" s="83"/>
      <c r="X86" s="12" t="str">
        <f>X70</f>
        <v>Services</v>
      </c>
      <c r="Y86" s="54" t="str">
        <f t="shared" si="13"/>
        <v>Moyens de paiement</v>
      </c>
      <c r="Z86" s="396"/>
      <c r="AA86" s="318">
        <f>Scénario!F34</f>
        <v>0.25</v>
      </c>
      <c r="AB86" s="311">
        <f>Calcul!AA64</f>
        <v>1</v>
      </c>
      <c r="AC86" s="399"/>
      <c r="AD86" s="85"/>
      <c r="AE86" s="396"/>
      <c r="AF86" s="168">
        <f>IF(Z86&lt;&gt;0,Constantes!$E17,0)</f>
        <v>0</v>
      </c>
      <c r="AG86" s="322"/>
      <c r="AH86" s="83"/>
      <c r="AI86" s="12" t="str">
        <f>AI70</f>
        <v>Services</v>
      </c>
      <c r="AJ86" s="54" t="str">
        <f t="shared" si="14"/>
        <v>Moyens de paiement</v>
      </c>
      <c r="AK86" s="178"/>
      <c r="AL86" s="318">
        <f>Scénario!G34</f>
        <v>0.2</v>
      </c>
      <c r="AM86" s="311">
        <f>Calcul!AL64</f>
        <v>1</v>
      </c>
      <c r="AN86" s="319"/>
      <c r="AO86" s="85"/>
      <c r="AP86" s="178"/>
      <c r="AQ86" s="168">
        <f>IF(AK86&lt;&gt;0,Constantes!$E17,0)</f>
        <v>0</v>
      </c>
      <c r="AR86" s="88"/>
    </row>
    <row r="87" spans="1:44" ht="25.2" customHeight="1" x14ac:dyDescent="0.25">
      <c r="A87" s="83"/>
      <c r="B87" s="17"/>
      <c r="C87" s="57" t="str">
        <f t="shared" si="11"/>
        <v>Ouverture compte</v>
      </c>
      <c r="D87" s="418"/>
      <c r="E87" s="318">
        <f>Scénario!D35</f>
        <v>0.15</v>
      </c>
      <c r="F87" s="311">
        <f>Calcul!E65</f>
        <v>1</v>
      </c>
      <c r="G87" s="421"/>
      <c r="H87" s="85"/>
      <c r="I87" s="418"/>
      <c r="J87" s="168">
        <f>IF(D87&lt;&gt;0,Constantes!$E18,0)</f>
        <v>0</v>
      </c>
      <c r="K87" s="322"/>
      <c r="L87" s="83"/>
      <c r="M87" s="17"/>
      <c r="N87" s="57" t="str">
        <f t="shared" si="12"/>
        <v>Ouverture compte</v>
      </c>
      <c r="O87" s="381"/>
      <c r="P87" s="318">
        <f>Scénario!E35</f>
        <v>0.15</v>
      </c>
      <c r="Q87" s="311">
        <f>Calcul!P65</f>
        <v>1</v>
      </c>
      <c r="R87" s="384"/>
      <c r="S87" s="85"/>
      <c r="T87" s="381"/>
      <c r="U87" s="168">
        <f>IF(O87&lt;&gt;0,Constantes!$E18,0)</f>
        <v>0</v>
      </c>
      <c r="V87" s="322"/>
      <c r="W87" s="83"/>
      <c r="X87" s="17"/>
      <c r="Y87" s="57" t="str">
        <f t="shared" si="13"/>
        <v>Ouverture compte</v>
      </c>
      <c r="Z87" s="398"/>
      <c r="AA87" s="318">
        <f>Scénario!F35</f>
        <v>0.25</v>
      </c>
      <c r="AB87" s="311">
        <f>Calcul!AA65</f>
        <v>1</v>
      </c>
      <c r="AC87" s="401"/>
      <c r="AD87" s="85"/>
      <c r="AE87" s="398"/>
      <c r="AF87" s="168">
        <f>IF(Z87&lt;&gt;0,Constantes!$E18,0)</f>
        <v>0</v>
      </c>
      <c r="AG87" s="322"/>
      <c r="AH87" s="83"/>
      <c r="AI87" s="17"/>
      <c r="AJ87" s="57" t="str">
        <f t="shared" si="14"/>
        <v>Ouverture compte</v>
      </c>
      <c r="AK87" s="180"/>
      <c r="AL87" s="318">
        <f>Scénario!G35</f>
        <v>0.2</v>
      </c>
      <c r="AM87" s="311">
        <f>Calcul!AL65</f>
        <v>1</v>
      </c>
      <c r="AN87" s="321"/>
      <c r="AO87" s="85"/>
      <c r="AP87" s="180"/>
      <c r="AQ87" s="168">
        <f>IF(AK87&lt;&gt;0,Constantes!$E18,0)</f>
        <v>0</v>
      </c>
      <c r="AR87" s="88"/>
    </row>
    <row r="88" spans="1:44" ht="25.2" customHeight="1" thickBot="1" x14ac:dyDescent="0.3">
      <c r="A88" s="83"/>
      <c r="B88" s="15"/>
      <c r="C88" s="56" t="str">
        <f t="shared" si="11"/>
        <v>Téléphonie</v>
      </c>
      <c r="D88" s="417"/>
      <c r="E88" s="318">
        <f>Scénario!D36</f>
        <v>0</v>
      </c>
      <c r="F88" s="311">
        <f>Calcul!E66</f>
        <v>0</v>
      </c>
      <c r="G88" s="420"/>
      <c r="H88" s="85"/>
      <c r="I88" s="417"/>
      <c r="J88" s="168">
        <f>IF(D88&lt;&gt;0,Constantes!$E19,0)</f>
        <v>0</v>
      </c>
      <c r="K88" s="322"/>
      <c r="L88" s="83"/>
      <c r="M88" s="15"/>
      <c r="N88" s="56" t="str">
        <f t="shared" si="12"/>
        <v>Téléphonie</v>
      </c>
      <c r="O88" s="380"/>
      <c r="P88" s="318">
        <f>Scénario!E36</f>
        <v>0.1</v>
      </c>
      <c r="Q88" s="311">
        <f>Calcul!P66</f>
        <v>0</v>
      </c>
      <c r="R88" s="383"/>
      <c r="S88" s="85"/>
      <c r="T88" s="380"/>
      <c r="U88" s="168">
        <f>IF(O88&lt;&gt;0,Constantes!$E19,0)</f>
        <v>0</v>
      </c>
      <c r="V88" s="322"/>
      <c r="W88" s="83"/>
      <c r="X88" s="15"/>
      <c r="Y88" s="56" t="str">
        <f t="shared" si="13"/>
        <v>Téléphonie</v>
      </c>
      <c r="Z88" s="397"/>
      <c r="AA88" s="318">
        <f>Scénario!F36</f>
        <v>0.1</v>
      </c>
      <c r="AB88" s="311">
        <f>Calcul!AA66</f>
        <v>1</v>
      </c>
      <c r="AC88" s="400"/>
      <c r="AD88" s="85"/>
      <c r="AE88" s="397"/>
      <c r="AF88" s="168">
        <f>IF(Z88&lt;&gt;0,Constantes!$E19,0)</f>
        <v>0</v>
      </c>
      <c r="AG88" s="322"/>
      <c r="AH88" s="83"/>
      <c r="AI88" s="15"/>
      <c r="AJ88" s="56" t="str">
        <f t="shared" si="14"/>
        <v>Téléphonie</v>
      </c>
      <c r="AK88" s="179"/>
      <c r="AL88" s="318">
        <f>Scénario!G36</f>
        <v>0.15</v>
      </c>
      <c r="AM88" s="311">
        <f>Calcul!AL66</f>
        <v>1</v>
      </c>
      <c r="AN88" s="320"/>
      <c r="AO88" s="85"/>
      <c r="AP88" s="179"/>
      <c r="AQ88" s="168">
        <f>IF(AK88&lt;&gt;0,Constantes!$E19,0)</f>
        <v>0</v>
      </c>
      <c r="AR88" s="88"/>
    </row>
    <row r="89" spans="1:44" ht="22.8" customHeight="1" x14ac:dyDescent="0.25">
      <c r="A89" s="83"/>
      <c r="B89" s="85"/>
      <c r="C89" s="85"/>
      <c r="D89" s="85"/>
      <c r="E89" s="85"/>
      <c r="F89" s="85"/>
      <c r="G89" s="85"/>
      <c r="H89" s="85"/>
      <c r="I89" s="85"/>
      <c r="J89" s="85"/>
      <c r="K89" s="88"/>
      <c r="L89" s="83"/>
      <c r="M89" s="85"/>
      <c r="N89" s="85"/>
      <c r="O89" s="85"/>
      <c r="P89" s="85"/>
      <c r="Q89" s="85"/>
      <c r="R89" s="85"/>
      <c r="S89" s="85"/>
      <c r="T89" s="85"/>
      <c r="U89" s="85"/>
      <c r="V89" s="88"/>
      <c r="W89" s="83"/>
      <c r="X89" s="85"/>
      <c r="Y89" s="85"/>
      <c r="Z89" s="85"/>
      <c r="AA89" s="85"/>
      <c r="AB89" s="85"/>
      <c r="AC89" s="85"/>
      <c r="AD89" s="85"/>
      <c r="AE89" s="85"/>
      <c r="AF89" s="85"/>
      <c r="AG89" s="88"/>
      <c r="AH89" s="83"/>
      <c r="AI89" s="85"/>
      <c r="AJ89" s="85"/>
      <c r="AK89" s="85"/>
      <c r="AL89" s="85"/>
      <c r="AM89" s="311"/>
      <c r="AN89" s="85"/>
      <c r="AO89" s="85"/>
      <c r="AP89" s="85"/>
      <c r="AQ89" s="85"/>
      <c r="AR89" s="88"/>
    </row>
    <row r="90" spans="1:44" ht="22.8" customHeight="1" thickBot="1" x14ac:dyDescent="0.3">
      <c r="A90" s="97"/>
      <c r="B90" s="98"/>
      <c r="C90" s="98"/>
      <c r="D90" s="101">
        <f>SUM(D79:D88)</f>
        <v>0</v>
      </c>
      <c r="E90" s="98"/>
      <c r="F90" s="98"/>
      <c r="G90" s="98"/>
      <c r="H90" s="98"/>
      <c r="I90" s="285" t="s">
        <v>223</v>
      </c>
      <c r="J90" s="98"/>
      <c r="K90" s="99"/>
      <c r="L90" s="97"/>
      <c r="M90" s="98"/>
      <c r="N90" s="98"/>
      <c r="O90" s="101">
        <f>SUM(O79:O88)</f>
        <v>0</v>
      </c>
      <c r="P90" s="98"/>
      <c r="Q90" s="98"/>
      <c r="R90" s="98"/>
      <c r="S90" s="98"/>
      <c r="T90" s="285" t="s">
        <v>223</v>
      </c>
      <c r="U90" s="98"/>
      <c r="V90" s="99"/>
      <c r="W90" s="97"/>
      <c r="X90" s="98"/>
      <c r="Y90" s="98"/>
      <c r="Z90" s="101">
        <f>SUM(Z79:Z88)</f>
        <v>0</v>
      </c>
      <c r="AA90" s="98"/>
      <c r="AB90" s="98"/>
      <c r="AC90" s="98"/>
      <c r="AD90" s="98"/>
      <c r="AE90" s="285" t="s">
        <v>223</v>
      </c>
      <c r="AF90" s="98"/>
      <c r="AG90" s="99"/>
      <c r="AH90" s="97"/>
      <c r="AI90" s="98"/>
      <c r="AJ90" s="98"/>
      <c r="AK90" s="101">
        <f>SUM(AK79:AK88)</f>
        <v>0</v>
      </c>
      <c r="AL90" s="98"/>
      <c r="AM90" s="98"/>
      <c r="AN90" s="98"/>
      <c r="AO90" s="98"/>
      <c r="AP90" s="285" t="s">
        <v>223</v>
      </c>
      <c r="AQ90" s="98"/>
      <c r="AR90" s="99"/>
    </row>
    <row r="91" spans="1:44" ht="22.8" customHeight="1" x14ac:dyDescent="0.25"/>
  </sheetData>
  <mergeCells count="60">
    <mergeCell ref="A75:K75"/>
    <mergeCell ref="L75:V75"/>
    <mergeCell ref="W75:AG75"/>
    <mergeCell ref="AH75:AR75"/>
    <mergeCell ref="I77:I78"/>
    <mergeCell ref="T77:T78"/>
    <mergeCell ref="AE77:AE78"/>
    <mergeCell ref="AP77:AP78"/>
    <mergeCell ref="A59:K59"/>
    <mergeCell ref="L59:V59"/>
    <mergeCell ref="W59:AG59"/>
    <mergeCell ref="AH59:AR59"/>
    <mergeCell ref="I61:I62"/>
    <mergeCell ref="T61:T62"/>
    <mergeCell ref="AE61:AE62"/>
    <mergeCell ref="AP61:AP62"/>
    <mergeCell ref="A43:K43"/>
    <mergeCell ref="L43:V43"/>
    <mergeCell ref="W43:AG43"/>
    <mergeCell ref="AH43:AR43"/>
    <mergeCell ref="I45:I46"/>
    <mergeCell ref="T45:T46"/>
    <mergeCell ref="AE45:AE46"/>
    <mergeCell ref="AP45:AP46"/>
    <mergeCell ref="AD35:AE35"/>
    <mergeCell ref="AJ35:AK35"/>
    <mergeCell ref="AO35:AP35"/>
    <mergeCell ref="C34:D34"/>
    <mergeCell ref="H34:I34"/>
    <mergeCell ref="N34:O34"/>
    <mergeCell ref="S34:T34"/>
    <mergeCell ref="Y34:Z34"/>
    <mergeCell ref="C35:D35"/>
    <mergeCell ref="H35:I35"/>
    <mergeCell ref="N35:O35"/>
    <mergeCell ref="S35:T35"/>
    <mergeCell ref="Y35:Z35"/>
    <mergeCell ref="AD33:AE33"/>
    <mergeCell ref="AJ33:AK33"/>
    <mergeCell ref="AO33:AP33"/>
    <mergeCell ref="AD34:AE34"/>
    <mergeCell ref="AJ34:AK34"/>
    <mergeCell ref="AO34:AP34"/>
    <mergeCell ref="C33:D33"/>
    <mergeCell ref="H33:I33"/>
    <mergeCell ref="N33:O33"/>
    <mergeCell ref="S33:T33"/>
    <mergeCell ref="Y33:Z33"/>
    <mergeCell ref="A1:H1"/>
    <mergeCell ref="L1:S1"/>
    <mergeCell ref="W1:AD1"/>
    <mergeCell ref="AH1:AO1"/>
    <mergeCell ref="C32:D32"/>
    <mergeCell ref="H32:I32"/>
    <mergeCell ref="N32:O32"/>
    <mergeCell ref="S32:T32"/>
    <mergeCell ref="Y32:Z32"/>
    <mergeCell ref="AD32:AE32"/>
    <mergeCell ref="AJ32:AK32"/>
    <mergeCell ref="AO32:AP32"/>
  </mergeCells>
  <pageMargins left="0.31496062992125984" right="0.31496062992125984" top="0.15748031496062992" bottom="0.15748031496062992" header="0.31496062992125984" footer="0.31496062992125984"/>
  <pageSetup paperSize="9" scale="90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99" r:id="rId4" name="Button 15">
              <controlPr defaultSize="0" print="0" autoFill="0" autoPict="0" macro="[0]!Importer">
                <anchor moveWithCells="1" sizeWithCells="1">
                  <from>
                    <xdr:col>9</xdr:col>
                    <xdr:colOff>68580</xdr:colOff>
                    <xdr:row>8</xdr:row>
                    <xdr:rowOff>175260</xdr:rowOff>
                  </from>
                  <to>
                    <xdr:col>12</xdr:col>
                    <xdr:colOff>320040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5" name="Button 17">
              <controlPr defaultSize="0" print="0" autoFill="0" autoPict="0" macro="[0]!Efface">
                <anchor moveWithCells="1" sizeWithCells="1">
                  <from>
                    <xdr:col>9</xdr:col>
                    <xdr:colOff>83820</xdr:colOff>
                    <xdr:row>6</xdr:row>
                    <xdr:rowOff>121920</xdr:rowOff>
                  </from>
                  <to>
                    <xdr:col>12</xdr:col>
                    <xdr:colOff>335280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6" name="Button 18">
              <controlPr defaultSize="0" print="0" autoFill="0" autoPict="0" macro="[0]!Résultats">
                <anchor moveWithCells="1" sizeWithCells="1">
                  <from>
                    <xdr:col>9</xdr:col>
                    <xdr:colOff>60960</xdr:colOff>
                    <xdr:row>10</xdr:row>
                    <xdr:rowOff>243840</xdr:rowOff>
                  </from>
                  <to>
                    <xdr:col>12</xdr:col>
                    <xdr:colOff>312420</xdr:colOff>
                    <xdr:row>12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2"/>
  <dimension ref="A1:AR91"/>
  <sheetViews>
    <sheetView showGridLines="0" showZeros="0" zoomScaleNormal="100" workbookViewId="0">
      <selection activeCell="J8" sqref="J8"/>
    </sheetView>
  </sheetViews>
  <sheetFormatPr baseColWidth="10" defaultRowHeight="13.8" x14ac:dyDescent="0.25"/>
  <cols>
    <col min="1" max="1" width="3.5546875" style="32" customWidth="1"/>
    <col min="2" max="2" width="11.21875" style="32" customWidth="1"/>
    <col min="3" max="3" width="21" style="32" customWidth="1"/>
    <col min="4" max="7" width="9.88671875" style="32" customWidth="1"/>
    <col min="8" max="10" width="11.5546875" style="32"/>
    <col min="11" max="11" width="4" style="32" customWidth="1"/>
    <col min="12" max="12" width="3.5546875" style="32" customWidth="1"/>
    <col min="13" max="13" width="11.21875" style="32" customWidth="1"/>
    <col min="14" max="14" width="21" style="32" customWidth="1"/>
    <col min="15" max="18" width="9.88671875" style="32" customWidth="1"/>
    <col min="19" max="21" width="11.5546875" style="32"/>
    <col min="22" max="22" width="3.77734375" style="32" customWidth="1"/>
    <col min="23" max="23" width="3.5546875" style="32" customWidth="1"/>
    <col min="24" max="24" width="11.21875" style="32" customWidth="1"/>
    <col min="25" max="25" width="21" style="32" customWidth="1"/>
    <col min="26" max="29" width="9.88671875" style="32" customWidth="1"/>
    <col min="30" max="32" width="11.5546875" style="32"/>
    <col min="33" max="33" width="5.109375" style="32" customWidth="1"/>
    <col min="34" max="34" width="3.5546875" style="32" customWidth="1"/>
    <col min="35" max="35" width="11.21875" style="32" customWidth="1"/>
    <col min="36" max="36" width="21" style="32" customWidth="1"/>
    <col min="37" max="40" width="9.88671875" style="32" customWidth="1"/>
    <col min="41" max="43" width="11.5546875" style="32"/>
    <col min="44" max="44" width="3.88671875" style="32" customWidth="1"/>
    <col min="45" max="16384" width="11.5546875" style="32"/>
  </cols>
  <sheetData>
    <row r="1" spans="1:44" ht="28.2" customHeight="1" thickBot="1" x14ac:dyDescent="0.3">
      <c r="A1" s="811" t="s">
        <v>209</v>
      </c>
      <c r="B1" s="812"/>
      <c r="C1" s="812"/>
      <c r="D1" s="812"/>
      <c r="E1" s="812"/>
      <c r="F1" s="812"/>
      <c r="G1" s="812"/>
      <c r="H1" s="812"/>
      <c r="I1" s="78" t="s">
        <v>210</v>
      </c>
      <c r="J1" s="423">
        <v>1</v>
      </c>
      <c r="K1" s="726"/>
      <c r="L1" s="811" t="s">
        <v>209</v>
      </c>
      <c r="M1" s="812"/>
      <c r="N1" s="812"/>
      <c r="O1" s="812"/>
      <c r="P1" s="812"/>
      <c r="Q1" s="812"/>
      <c r="R1" s="812"/>
      <c r="S1" s="812"/>
      <c r="T1" s="78" t="s">
        <v>210</v>
      </c>
      <c r="U1" s="424">
        <v>2</v>
      </c>
      <c r="V1" s="726"/>
      <c r="W1" s="811" t="s">
        <v>209</v>
      </c>
      <c r="X1" s="812"/>
      <c r="Y1" s="812"/>
      <c r="Z1" s="812"/>
      <c r="AA1" s="812"/>
      <c r="AB1" s="812"/>
      <c r="AC1" s="812"/>
      <c r="AD1" s="812"/>
      <c r="AE1" s="78" t="s">
        <v>210</v>
      </c>
      <c r="AF1" s="426">
        <v>3</v>
      </c>
      <c r="AG1" s="726"/>
      <c r="AH1" s="811" t="s">
        <v>209</v>
      </c>
      <c r="AI1" s="812"/>
      <c r="AJ1" s="812"/>
      <c r="AK1" s="812"/>
      <c r="AL1" s="812"/>
      <c r="AM1" s="812"/>
      <c r="AN1" s="812"/>
      <c r="AO1" s="812"/>
      <c r="AP1" s="78" t="s">
        <v>210</v>
      </c>
      <c r="AQ1" s="425">
        <v>4</v>
      </c>
      <c r="AR1" s="727"/>
    </row>
    <row r="2" spans="1:44" ht="15.6" customHeight="1" thickBot="1" x14ac:dyDescent="0.3">
      <c r="A2" s="79"/>
      <c r="B2" s="80"/>
      <c r="C2" s="80"/>
      <c r="E2" s="81" t="s">
        <v>28</v>
      </c>
      <c r="F2" s="81" t="s">
        <v>29</v>
      </c>
      <c r="G2" s="81" t="s">
        <v>30</v>
      </c>
      <c r="H2" s="81" t="s">
        <v>27</v>
      </c>
      <c r="I2" s="80"/>
      <c r="J2" s="80"/>
      <c r="K2" s="82"/>
      <c r="L2" s="79"/>
      <c r="M2" s="80"/>
      <c r="N2" s="80"/>
      <c r="P2" s="81" t="s">
        <v>28</v>
      </c>
      <c r="Q2" s="81" t="s">
        <v>29</v>
      </c>
      <c r="R2" s="81" t="s">
        <v>30</v>
      </c>
      <c r="S2" s="81" t="s">
        <v>27</v>
      </c>
      <c r="T2" s="80"/>
      <c r="U2" s="80"/>
      <c r="V2" s="82"/>
      <c r="W2" s="79"/>
      <c r="X2" s="80"/>
      <c r="Y2" s="80"/>
      <c r="AA2" s="81" t="s">
        <v>28</v>
      </c>
      <c r="AB2" s="81" t="s">
        <v>29</v>
      </c>
      <c r="AC2" s="81" t="s">
        <v>30</v>
      </c>
      <c r="AD2" s="81" t="s">
        <v>27</v>
      </c>
      <c r="AE2" s="80"/>
      <c r="AF2" s="80"/>
      <c r="AG2" s="82"/>
      <c r="AH2" s="79"/>
      <c r="AI2" s="80"/>
      <c r="AJ2" s="80"/>
      <c r="AK2" s="80"/>
      <c r="AL2" s="81" t="s">
        <v>28</v>
      </c>
      <c r="AM2" s="81" t="s">
        <v>29</v>
      </c>
      <c r="AN2" s="81" t="s">
        <v>30</v>
      </c>
      <c r="AO2" s="81" t="s">
        <v>27</v>
      </c>
      <c r="AP2" s="80"/>
      <c r="AQ2" s="80"/>
      <c r="AR2" s="82"/>
    </row>
    <row r="3" spans="1:44" ht="22.8" customHeight="1" thickBot="1" x14ac:dyDescent="0.3">
      <c r="A3" s="83"/>
      <c r="B3" s="84" t="s">
        <v>211</v>
      </c>
      <c r="C3" s="85"/>
      <c r="E3" s="403"/>
      <c r="F3" s="404" t="s">
        <v>13</v>
      </c>
      <c r="G3" s="404"/>
      <c r="H3" s="405"/>
      <c r="J3" s="96" t="s">
        <v>212</v>
      </c>
      <c r="K3" s="86"/>
      <c r="L3" s="83"/>
      <c r="M3" s="84" t="s">
        <v>211</v>
      </c>
      <c r="N3" s="85"/>
      <c r="P3" s="366"/>
      <c r="Q3" s="367"/>
      <c r="R3" s="367" t="s">
        <v>13</v>
      </c>
      <c r="S3" s="368"/>
      <c r="U3" s="96" t="s">
        <v>212</v>
      </c>
      <c r="V3" s="86"/>
      <c r="W3" s="83"/>
      <c r="X3" s="84" t="s">
        <v>211</v>
      </c>
      <c r="Y3" s="85"/>
      <c r="AA3" s="363"/>
      <c r="AB3" s="364"/>
      <c r="AC3" s="364" t="s">
        <v>13</v>
      </c>
      <c r="AD3" s="365"/>
      <c r="AF3" s="96" t="s">
        <v>212</v>
      </c>
      <c r="AG3" s="86"/>
      <c r="AH3" s="83"/>
      <c r="AI3" s="84" t="s">
        <v>211</v>
      </c>
      <c r="AJ3" s="85"/>
      <c r="AK3" s="85"/>
      <c r="AL3" s="171"/>
      <c r="AM3" s="172"/>
      <c r="AN3" s="172" t="s">
        <v>13</v>
      </c>
      <c r="AO3" s="173"/>
      <c r="AP3" s="85"/>
      <c r="AQ3" s="96" t="s">
        <v>212</v>
      </c>
      <c r="AR3" s="86"/>
    </row>
    <row r="4" spans="1:44" ht="15" customHeight="1" x14ac:dyDescent="0.25">
      <c r="A4" s="83"/>
      <c r="B4" s="87"/>
      <c r="C4" s="85"/>
      <c r="D4" s="85"/>
      <c r="E4" s="181">
        <f>IF(E3="X",1,0)</f>
        <v>0</v>
      </c>
      <c r="F4" s="181">
        <f>IF(F3="X",2,0)</f>
        <v>2</v>
      </c>
      <c r="G4" s="181">
        <f>IF(G3="X",3,0)</f>
        <v>0</v>
      </c>
      <c r="H4" s="181">
        <f>IF(H3="X",4,0)</f>
        <v>0</v>
      </c>
      <c r="I4" s="182">
        <f>SUM(E4:H4)</f>
        <v>2</v>
      </c>
      <c r="J4" s="85"/>
      <c r="K4" s="88"/>
      <c r="L4" s="83"/>
      <c r="M4" s="87"/>
      <c r="N4" s="85"/>
      <c r="O4" s="85"/>
      <c r="P4" s="181">
        <f>IF(P3="X",1,0)</f>
        <v>0</v>
      </c>
      <c r="Q4" s="181">
        <f>IF(Q3="X",2,0)</f>
        <v>0</v>
      </c>
      <c r="R4" s="181">
        <f>IF(R3="X",3,0)</f>
        <v>3</v>
      </c>
      <c r="S4" s="181">
        <f>IF(S3="X",4,0)</f>
        <v>0</v>
      </c>
      <c r="T4" s="182">
        <f>SUM(P4:S4)</f>
        <v>3</v>
      </c>
      <c r="U4" s="85"/>
      <c r="V4" s="88"/>
      <c r="W4" s="83"/>
      <c r="X4" s="87"/>
      <c r="Y4" s="85"/>
      <c r="Z4" s="85"/>
      <c r="AA4" s="181">
        <f>IF(AA3="X",1,0)</f>
        <v>0</v>
      </c>
      <c r="AB4" s="181">
        <f>IF(AB3="X",2,0)</f>
        <v>0</v>
      </c>
      <c r="AC4" s="181">
        <f>IF(AC3="X",3,0)</f>
        <v>3</v>
      </c>
      <c r="AD4" s="181">
        <f>IF(AD3="X",4,0)</f>
        <v>0</v>
      </c>
      <c r="AE4" s="182">
        <f>SUM(AA4:AD4)</f>
        <v>3</v>
      </c>
      <c r="AF4" s="85"/>
      <c r="AG4" s="88"/>
      <c r="AH4" s="83"/>
      <c r="AI4" s="87"/>
      <c r="AJ4" s="85"/>
      <c r="AK4" s="85"/>
      <c r="AL4" s="181">
        <f>IF(AL3="X",1,0)</f>
        <v>0</v>
      </c>
      <c r="AM4" s="181">
        <f>IF(AM3="X",2,0)</f>
        <v>0</v>
      </c>
      <c r="AN4" s="181">
        <f>IF(AN3="X",3,0)</f>
        <v>3</v>
      </c>
      <c r="AO4" s="181">
        <f>IF(AO3="X",4,0)</f>
        <v>0</v>
      </c>
      <c r="AP4" s="182">
        <f>SUM(AL4:AO4)</f>
        <v>3</v>
      </c>
      <c r="AQ4" s="85"/>
      <c r="AR4" s="88"/>
    </row>
    <row r="5" spans="1:44" ht="22.8" customHeight="1" x14ac:dyDescent="0.25">
      <c r="A5" s="83"/>
      <c r="B5" s="89"/>
      <c r="C5" s="90"/>
      <c r="D5" s="725"/>
      <c r="E5" s="725"/>
      <c r="F5" s="725"/>
      <c r="G5" s="85"/>
      <c r="H5" s="85"/>
      <c r="I5" s="85"/>
      <c r="J5" s="85"/>
      <c r="K5" s="88"/>
      <c r="L5" s="83"/>
      <c r="M5" s="89"/>
      <c r="N5" s="90"/>
      <c r="O5" s="725"/>
      <c r="P5" s="725"/>
      <c r="Q5" s="725"/>
      <c r="R5" s="85"/>
      <c r="S5" s="85"/>
      <c r="T5" s="85"/>
      <c r="U5" s="85"/>
      <c r="V5" s="88"/>
      <c r="W5" s="83"/>
      <c r="X5" s="89"/>
      <c r="Y5" s="90"/>
      <c r="Z5" s="725"/>
      <c r="AA5" s="725"/>
      <c r="AB5" s="725"/>
      <c r="AC5" s="85"/>
      <c r="AD5" s="85"/>
      <c r="AE5" s="85"/>
      <c r="AF5" s="85"/>
      <c r="AG5" s="88"/>
      <c r="AH5" s="83"/>
      <c r="AI5" s="89"/>
      <c r="AJ5" s="90"/>
      <c r="AK5" s="725"/>
      <c r="AL5" s="725"/>
      <c r="AM5" s="725"/>
      <c r="AN5" s="85"/>
      <c r="AO5" s="85"/>
      <c r="AP5" s="85"/>
      <c r="AQ5" s="85"/>
      <c r="AR5" s="88"/>
    </row>
    <row r="6" spans="1:44" ht="22.8" customHeight="1" thickBot="1" x14ac:dyDescent="0.3">
      <c r="A6" s="83"/>
      <c r="B6" s="84" t="s">
        <v>398</v>
      </c>
      <c r="D6" s="85"/>
      <c r="E6" s="85"/>
      <c r="F6" s="85"/>
      <c r="G6" s="758" t="s">
        <v>401</v>
      </c>
      <c r="J6" s="85"/>
      <c r="K6" s="88"/>
      <c r="L6" s="83"/>
      <c r="M6" s="84" t="s">
        <v>398</v>
      </c>
      <c r="O6" s="85"/>
      <c r="P6" s="85"/>
      <c r="Q6" s="85"/>
      <c r="R6" s="758" t="s">
        <v>401</v>
      </c>
      <c r="U6" s="85"/>
      <c r="V6" s="88"/>
      <c r="W6" s="83"/>
      <c r="X6" s="84" t="s">
        <v>398</v>
      </c>
      <c r="Z6" s="85"/>
      <c r="AA6" s="85"/>
      <c r="AB6" s="85"/>
      <c r="AC6" s="758" t="s">
        <v>401</v>
      </c>
      <c r="AF6" s="85"/>
      <c r="AG6" s="88"/>
      <c r="AH6" s="83"/>
      <c r="AI6" s="84" t="s">
        <v>398</v>
      </c>
      <c r="AJ6" s="85"/>
      <c r="AK6" s="85"/>
      <c r="AL6" s="85"/>
      <c r="AM6" s="85"/>
      <c r="AN6" s="760" t="s">
        <v>401</v>
      </c>
      <c r="AO6" s="85"/>
      <c r="AP6" s="85"/>
      <c r="AQ6" s="85"/>
      <c r="AR6" s="88"/>
    </row>
    <row r="7" spans="1:44" ht="22.2" customHeight="1" x14ac:dyDescent="0.25">
      <c r="A7" s="83"/>
      <c r="E7" s="31" t="s">
        <v>399</v>
      </c>
      <c r="F7" s="416">
        <v>0.2</v>
      </c>
      <c r="G7" s="318">
        <f>Constantes!$D$94</f>
        <v>0.1</v>
      </c>
      <c r="J7" s="85"/>
      <c r="K7" s="88"/>
      <c r="L7" s="83"/>
      <c r="P7" s="31" t="s">
        <v>399</v>
      </c>
      <c r="Q7" s="379">
        <v>0.2</v>
      </c>
      <c r="R7" s="318">
        <f>Constantes!$D$94</f>
        <v>0.1</v>
      </c>
      <c r="U7" s="85"/>
      <c r="V7" s="88"/>
      <c r="W7" s="83"/>
      <c r="AA7" s="31" t="s">
        <v>399</v>
      </c>
      <c r="AB7" s="396">
        <v>0.2</v>
      </c>
      <c r="AC7" s="318">
        <f>Constantes!$D$94</f>
        <v>0.1</v>
      </c>
      <c r="AF7" s="85"/>
      <c r="AG7" s="88"/>
      <c r="AH7" s="83"/>
      <c r="AI7" s="85"/>
      <c r="AJ7" s="85"/>
      <c r="AK7" s="85"/>
      <c r="AL7" s="96" t="s">
        <v>399</v>
      </c>
      <c r="AM7" s="178">
        <v>0.2</v>
      </c>
      <c r="AN7" s="318">
        <f>Constantes!$D$94</f>
        <v>0.1</v>
      </c>
      <c r="AO7" s="85"/>
      <c r="AP7" s="85"/>
      <c r="AQ7" s="85"/>
      <c r="AR7" s="88"/>
    </row>
    <row r="8" spans="1:44" ht="22.2" customHeight="1" x14ac:dyDescent="0.25">
      <c r="A8" s="83"/>
      <c r="E8" s="31" t="s">
        <v>205</v>
      </c>
      <c r="F8" s="418">
        <v>0.15</v>
      </c>
      <c r="G8" s="318">
        <f>Constantes!$D$95</f>
        <v>0.05</v>
      </c>
      <c r="J8" s="85"/>
      <c r="K8" s="88"/>
      <c r="L8" s="83"/>
      <c r="P8" s="31" t="s">
        <v>205</v>
      </c>
      <c r="Q8" s="381">
        <v>0.15</v>
      </c>
      <c r="R8" s="318">
        <f>Constantes!$D$95</f>
        <v>0.05</v>
      </c>
      <c r="U8" s="85"/>
      <c r="V8" s="88"/>
      <c r="W8" s="83"/>
      <c r="AA8" s="31" t="s">
        <v>205</v>
      </c>
      <c r="AB8" s="398">
        <v>0.15</v>
      </c>
      <c r="AC8" s="318">
        <f>Constantes!$D$95</f>
        <v>0.05</v>
      </c>
      <c r="AF8" s="85"/>
      <c r="AG8" s="88"/>
      <c r="AH8" s="83"/>
      <c r="AI8" s="85"/>
      <c r="AJ8" s="85"/>
      <c r="AK8" s="85"/>
      <c r="AL8" s="96" t="s">
        <v>205</v>
      </c>
      <c r="AM8" s="180">
        <v>0.15</v>
      </c>
      <c r="AN8" s="318">
        <f>Constantes!$D$95</f>
        <v>0.05</v>
      </c>
      <c r="AO8" s="85"/>
      <c r="AP8" s="85"/>
      <c r="AQ8" s="85"/>
      <c r="AR8" s="88"/>
    </row>
    <row r="9" spans="1:44" ht="22.2" customHeight="1" x14ac:dyDescent="0.25">
      <c r="A9" s="83"/>
      <c r="E9" s="31" t="s">
        <v>396</v>
      </c>
      <c r="F9" s="418">
        <v>0.1</v>
      </c>
      <c r="G9" s="318">
        <f>Constantes!$D$97</f>
        <v>0.05</v>
      </c>
      <c r="J9" s="85"/>
      <c r="K9" s="88"/>
      <c r="L9" s="83"/>
      <c r="P9" s="31" t="s">
        <v>396</v>
      </c>
      <c r="Q9" s="381">
        <v>0.15</v>
      </c>
      <c r="R9" s="318">
        <f>Constantes!$D$97</f>
        <v>0.05</v>
      </c>
      <c r="U9" s="85"/>
      <c r="V9" s="88"/>
      <c r="W9" s="83"/>
      <c r="AA9" s="31" t="s">
        <v>396</v>
      </c>
      <c r="AB9" s="398">
        <v>0.15</v>
      </c>
      <c r="AC9" s="318">
        <f>Constantes!$D$97</f>
        <v>0.05</v>
      </c>
      <c r="AF9" s="85"/>
      <c r="AG9" s="88"/>
      <c r="AH9" s="83"/>
      <c r="AI9" s="85"/>
      <c r="AJ9" s="85"/>
      <c r="AK9" s="85"/>
      <c r="AL9" s="96" t="s">
        <v>396</v>
      </c>
      <c r="AM9" s="180">
        <v>0.15</v>
      </c>
      <c r="AN9" s="318">
        <f>Constantes!$D$97</f>
        <v>0.05</v>
      </c>
      <c r="AO9" s="85"/>
      <c r="AP9" s="85"/>
      <c r="AQ9" s="85"/>
      <c r="AR9" s="88"/>
    </row>
    <row r="10" spans="1:44" ht="22.2" customHeight="1" x14ac:dyDescent="0.25">
      <c r="A10" s="83"/>
      <c r="E10" s="31" t="s">
        <v>305</v>
      </c>
      <c r="F10" s="418">
        <v>0.1</v>
      </c>
      <c r="G10" s="318">
        <f>Constantes!$D$99</f>
        <v>0</v>
      </c>
      <c r="J10" s="85"/>
      <c r="K10" s="88"/>
      <c r="L10" s="83"/>
      <c r="P10" s="31" t="s">
        <v>305</v>
      </c>
      <c r="Q10" s="381">
        <v>0.1</v>
      </c>
      <c r="R10" s="318">
        <f>Constantes!$D$99</f>
        <v>0</v>
      </c>
      <c r="U10" s="85"/>
      <c r="V10" s="88"/>
      <c r="W10" s="83"/>
      <c r="AA10" s="31" t="s">
        <v>305</v>
      </c>
      <c r="AB10" s="398">
        <v>0.1</v>
      </c>
      <c r="AC10" s="318">
        <f>Constantes!$D$99</f>
        <v>0</v>
      </c>
      <c r="AF10" s="85"/>
      <c r="AG10" s="88"/>
      <c r="AH10" s="83"/>
      <c r="AI10" s="85"/>
      <c r="AJ10" s="85"/>
      <c r="AK10" s="85"/>
      <c r="AL10" s="96" t="s">
        <v>305</v>
      </c>
      <c r="AM10" s="180">
        <v>0.1</v>
      </c>
      <c r="AN10" s="318">
        <f>Constantes!$D$99</f>
        <v>0</v>
      </c>
      <c r="AO10" s="85"/>
      <c r="AP10" s="85"/>
      <c r="AQ10" s="85"/>
      <c r="AR10" s="88"/>
    </row>
    <row r="11" spans="1:44" ht="22.2" customHeight="1" x14ac:dyDescent="0.25">
      <c r="A11" s="83"/>
      <c r="B11" s="631" t="s">
        <v>400</v>
      </c>
      <c r="E11" s="31" t="s">
        <v>388</v>
      </c>
      <c r="F11" s="418">
        <v>0.05</v>
      </c>
      <c r="G11" s="168">
        <f>Constantes!$D$101</f>
        <v>0</v>
      </c>
      <c r="H11" s="22"/>
      <c r="I11" s="85"/>
      <c r="J11" s="85"/>
      <c r="K11" s="88"/>
      <c r="L11" s="83"/>
      <c r="M11" s="631" t="s">
        <v>400</v>
      </c>
      <c r="P11" s="31" t="s">
        <v>388</v>
      </c>
      <c r="Q11" s="381">
        <v>0.05</v>
      </c>
      <c r="R11" s="168">
        <f>Constantes!$D$101</f>
        <v>0</v>
      </c>
      <c r="S11" s="22"/>
      <c r="T11" s="85"/>
      <c r="U11" s="85"/>
      <c r="V11" s="88"/>
      <c r="W11" s="83"/>
      <c r="X11" s="631" t="s">
        <v>400</v>
      </c>
      <c r="AA11" s="31" t="s">
        <v>388</v>
      </c>
      <c r="AB11" s="398">
        <v>0.1</v>
      </c>
      <c r="AC11" s="168">
        <f>Constantes!$D$101</f>
        <v>0</v>
      </c>
      <c r="AD11" s="22"/>
      <c r="AE11" s="85"/>
      <c r="AF11" s="85"/>
      <c r="AG11" s="88"/>
      <c r="AH11" s="83"/>
      <c r="AI11" s="728" t="s">
        <v>400</v>
      </c>
      <c r="AJ11" s="85"/>
      <c r="AK11" s="85"/>
      <c r="AL11" s="96" t="s">
        <v>388</v>
      </c>
      <c r="AM11" s="180">
        <v>0.05</v>
      </c>
      <c r="AN11" s="168">
        <f>Constantes!$D$101</f>
        <v>0</v>
      </c>
      <c r="AO11" s="22"/>
      <c r="AP11" s="85"/>
      <c r="AQ11" s="85"/>
      <c r="AR11" s="88"/>
    </row>
    <row r="12" spans="1:44" ht="22.2" customHeight="1" thickBot="1" x14ac:dyDescent="0.3">
      <c r="A12" s="83"/>
      <c r="E12" s="31" t="s">
        <v>197</v>
      </c>
      <c r="F12" s="418">
        <v>0.1</v>
      </c>
      <c r="G12" s="168">
        <f>Constantes!$D$102</f>
        <v>0</v>
      </c>
      <c r="H12" s="633" t="s">
        <v>395</v>
      </c>
      <c r="I12" s="760" t="s">
        <v>397</v>
      </c>
      <c r="J12" s="85"/>
      <c r="K12" s="88"/>
      <c r="L12" s="83"/>
      <c r="P12" s="31" t="s">
        <v>197</v>
      </c>
      <c r="Q12" s="381">
        <v>0.05</v>
      </c>
      <c r="R12" s="168">
        <f>Constantes!$D$102</f>
        <v>0</v>
      </c>
      <c r="S12" s="633" t="s">
        <v>395</v>
      </c>
      <c r="T12" s="760" t="s">
        <v>397</v>
      </c>
      <c r="U12" s="85"/>
      <c r="V12" s="88"/>
      <c r="W12" s="83"/>
      <c r="AA12" s="31" t="s">
        <v>197</v>
      </c>
      <c r="AB12" s="398">
        <v>0.05</v>
      </c>
      <c r="AC12" s="168">
        <f>Constantes!$D$102</f>
        <v>0</v>
      </c>
      <c r="AD12" s="633" t="s">
        <v>395</v>
      </c>
      <c r="AE12" s="760" t="s">
        <v>397</v>
      </c>
      <c r="AF12" s="85"/>
      <c r="AG12" s="88"/>
      <c r="AH12" s="83"/>
      <c r="AI12" s="85"/>
      <c r="AJ12" s="85"/>
      <c r="AK12" s="85"/>
      <c r="AL12" s="96" t="s">
        <v>197</v>
      </c>
      <c r="AM12" s="180">
        <v>0.1</v>
      </c>
      <c r="AN12" s="168">
        <f>Constantes!$D$102</f>
        <v>0</v>
      </c>
      <c r="AO12" s="633" t="s">
        <v>395</v>
      </c>
      <c r="AP12" s="760" t="s">
        <v>397</v>
      </c>
      <c r="AQ12" s="85"/>
      <c r="AR12" s="88"/>
    </row>
    <row r="13" spans="1:44" ht="22.2" customHeight="1" x14ac:dyDescent="0.25">
      <c r="A13" s="83"/>
      <c r="B13" s="631" t="s">
        <v>391</v>
      </c>
      <c r="E13" s="31" t="s">
        <v>390</v>
      </c>
      <c r="F13" s="418">
        <v>0.05</v>
      </c>
      <c r="G13" s="168">
        <f>Constantes!$D$104</f>
        <v>0</v>
      </c>
      <c r="H13" s="22" t="str">
        <f>B20</f>
        <v>Collecte</v>
      </c>
      <c r="I13" s="762">
        <v>1</v>
      </c>
      <c r="J13" s="85"/>
      <c r="K13" s="88"/>
      <c r="L13" s="83"/>
      <c r="M13" s="631" t="s">
        <v>391</v>
      </c>
      <c r="P13" s="31" t="s">
        <v>390</v>
      </c>
      <c r="Q13" s="381">
        <v>0.1</v>
      </c>
      <c r="R13" s="168">
        <f>Constantes!$D$104</f>
        <v>0</v>
      </c>
      <c r="S13" s="22" t="str">
        <f>M20</f>
        <v>Collecte</v>
      </c>
      <c r="T13" s="765">
        <v>1</v>
      </c>
      <c r="U13" s="85"/>
      <c r="V13" s="88"/>
      <c r="W13" s="83"/>
      <c r="X13" s="631" t="s">
        <v>391</v>
      </c>
      <c r="AA13" s="31" t="s">
        <v>390</v>
      </c>
      <c r="AB13" s="398">
        <v>0.05</v>
      </c>
      <c r="AC13" s="168">
        <f>Constantes!$D$104</f>
        <v>0</v>
      </c>
      <c r="AD13" s="22" t="str">
        <f>X20</f>
        <v>Collecte</v>
      </c>
      <c r="AE13" s="768">
        <v>1</v>
      </c>
      <c r="AF13" s="85"/>
      <c r="AG13" s="88"/>
      <c r="AH13" s="83"/>
      <c r="AI13" s="728" t="s">
        <v>391</v>
      </c>
      <c r="AJ13" s="85"/>
      <c r="AK13" s="85"/>
      <c r="AL13" s="96" t="s">
        <v>390</v>
      </c>
      <c r="AM13" s="180">
        <v>0.1</v>
      </c>
      <c r="AN13" s="168">
        <f>Constantes!$D$104</f>
        <v>0</v>
      </c>
      <c r="AO13" s="22" t="str">
        <f>AI20</f>
        <v>Collecte</v>
      </c>
      <c r="AP13" s="771">
        <v>1</v>
      </c>
      <c r="AQ13" s="85"/>
      <c r="AR13" s="88"/>
    </row>
    <row r="14" spans="1:44" ht="22.2" customHeight="1" x14ac:dyDescent="0.25">
      <c r="A14" s="83"/>
      <c r="E14" s="31" t="s">
        <v>393</v>
      </c>
      <c r="F14" s="418">
        <v>0.05</v>
      </c>
      <c r="G14" s="168">
        <f>Constantes!$D$105</f>
        <v>0</v>
      </c>
      <c r="H14" s="22" t="str">
        <f>B22</f>
        <v>Crédit</v>
      </c>
      <c r="I14" s="763">
        <v>2</v>
      </c>
      <c r="J14" s="85"/>
      <c r="K14" s="88"/>
      <c r="L14" s="83"/>
      <c r="P14" s="31" t="s">
        <v>393</v>
      </c>
      <c r="Q14" s="381">
        <v>0.05</v>
      </c>
      <c r="R14" s="168">
        <f>Constantes!$D$105</f>
        <v>0</v>
      </c>
      <c r="S14" s="22" t="str">
        <f>M22</f>
        <v>Crédit</v>
      </c>
      <c r="T14" s="766">
        <v>2</v>
      </c>
      <c r="U14" s="85"/>
      <c r="V14" s="88"/>
      <c r="W14" s="83"/>
      <c r="AA14" s="31" t="s">
        <v>393</v>
      </c>
      <c r="AB14" s="398">
        <v>0.1</v>
      </c>
      <c r="AC14" s="168">
        <f>Constantes!$D$105</f>
        <v>0</v>
      </c>
      <c r="AD14" s="22" t="str">
        <f>X22</f>
        <v>Crédit</v>
      </c>
      <c r="AE14" s="769">
        <v>2</v>
      </c>
      <c r="AF14" s="85"/>
      <c r="AG14" s="88"/>
      <c r="AH14" s="83"/>
      <c r="AI14" s="85"/>
      <c r="AJ14" s="85"/>
      <c r="AK14" s="85"/>
      <c r="AL14" s="96" t="s">
        <v>393</v>
      </c>
      <c r="AM14" s="180">
        <v>0.05</v>
      </c>
      <c r="AN14" s="168">
        <f>Constantes!$D$105</f>
        <v>0</v>
      </c>
      <c r="AO14" s="22" t="str">
        <f>AI22</f>
        <v>Crédit</v>
      </c>
      <c r="AP14" s="772">
        <v>2</v>
      </c>
      <c r="AQ14" s="85"/>
      <c r="AR14" s="88"/>
    </row>
    <row r="15" spans="1:44" ht="22.2" customHeight="1" x14ac:dyDescent="0.25">
      <c r="A15" s="83"/>
      <c r="E15" s="31" t="s">
        <v>204</v>
      </c>
      <c r="F15" s="418">
        <v>0.05</v>
      </c>
      <c r="G15" s="168">
        <f>Constantes!$D$106</f>
        <v>0</v>
      </c>
      <c r="H15" s="22" t="str">
        <f>B25</f>
        <v>Assurance</v>
      </c>
      <c r="I15" s="763">
        <v>3</v>
      </c>
      <c r="J15" s="85"/>
      <c r="K15" s="88"/>
      <c r="L15" s="83"/>
      <c r="P15" s="31" t="s">
        <v>204</v>
      </c>
      <c r="Q15" s="381">
        <v>0.1</v>
      </c>
      <c r="R15" s="168">
        <f>Constantes!$D$106</f>
        <v>0</v>
      </c>
      <c r="S15" s="22" t="str">
        <f>M25</f>
        <v>Assurance</v>
      </c>
      <c r="T15" s="766">
        <v>3</v>
      </c>
      <c r="U15" s="85"/>
      <c r="V15" s="88"/>
      <c r="W15" s="83"/>
      <c r="AA15" s="31" t="s">
        <v>204</v>
      </c>
      <c r="AB15" s="398">
        <v>0.05</v>
      </c>
      <c r="AC15" s="168">
        <f>Constantes!$D$106</f>
        <v>0</v>
      </c>
      <c r="AD15" s="22" t="str">
        <f>X25</f>
        <v>Assurance</v>
      </c>
      <c r="AE15" s="769">
        <v>3</v>
      </c>
      <c r="AF15" s="85"/>
      <c r="AG15" s="88"/>
      <c r="AH15" s="83"/>
      <c r="AI15" s="85"/>
      <c r="AJ15" s="85"/>
      <c r="AK15" s="85"/>
      <c r="AL15" s="96" t="s">
        <v>204</v>
      </c>
      <c r="AM15" s="180">
        <v>0.05</v>
      </c>
      <c r="AN15" s="168">
        <f>Constantes!$D$106</f>
        <v>0</v>
      </c>
      <c r="AO15" s="22" t="str">
        <f>AI25</f>
        <v>Assurance</v>
      </c>
      <c r="AP15" s="772">
        <v>3</v>
      </c>
      <c r="AQ15" s="85"/>
      <c r="AR15" s="88"/>
    </row>
    <row r="16" spans="1:44" ht="22.2" customHeight="1" thickBot="1" x14ac:dyDescent="0.3">
      <c r="A16" s="83"/>
      <c r="E16" s="31" t="s">
        <v>392</v>
      </c>
      <c r="F16" s="417">
        <v>0.15</v>
      </c>
      <c r="G16" s="168">
        <f>Constantes!$D$107</f>
        <v>0</v>
      </c>
      <c r="H16" s="22" t="str">
        <f>B27</f>
        <v>Services</v>
      </c>
      <c r="I16" s="764">
        <v>4</v>
      </c>
      <c r="J16" s="85"/>
      <c r="K16" s="88"/>
      <c r="L16" s="83"/>
      <c r="P16" s="31" t="s">
        <v>392</v>
      </c>
      <c r="Q16" s="380">
        <v>0.05</v>
      </c>
      <c r="R16" s="168">
        <f>Constantes!$D$107</f>
        <v>0</v>
      </c>
      <c r="S16" s="22" t="str">
        <f>M27</f>
        <v>Services</v>
      </c>
      <c r="T16" s="767">
        <v>4</v>
      </c>
      <c r="U16" s="85"/>
      <c r="V16" s="88"/>
      <c r="W16" s="83"/>
      <c r="AA16" s="31" t="s">
        <v>392</v>
      </c>
      <c r="AB16" s="397">
        <v>0.05</v>
      </c>
      <c r="AC16" s="168">
        <f>Constantes!$D$107</f>
        <v>0</v>
      </c>
      <c r="AD16" s="22" t="str">
        <f>X27</f>
        <v>Services</v>
      </c>
      <c r="AE16" s="770">
        <v>4</v>
      </c>
      <c r="AF16" s="85"/>
      <c r="AG16" s="88"/>
      <c r="AH16" s="83"/>
      <c r="AI16" s="85"/>
      <c r="AJ16" s="85"/>
      <c r="AK16" s="85"/>
      <c r="AL16" s="96" t="s">
        <v>392</v>
      </c>
      <c r="AM16" s="179">
        <v>0.05</v>
      </c>
      <c r="AN16" s="168">
        <f>Constantes!$D$107</f>
        <v>0</v>
      </c>
      <c r="AO16" s="22" t="str">
        <f>AI27</f>
        <v>Services</v>
      </c>
      <c r="AP16" s="773">
        <v>4</v>
      </c>
      <c r="AQ16" s="85"/>
      <c r="AR16" s="88"/>
    </row>
    <row r="17" spans="1:44" ht="21" customHeight="1" x14ac:dyDescent="0.25">
      <c r="A17" s="83"/>
      <c r="F17" s="168">
        <f>SUM(F7:F16)</f>
        <v>1</v>
      </c>
      <c r="G17" s="85"/>
      <c r="H17" s="85"/>
      <c r="I17" s="85"/>
      <c r="J17" s="85"/>
      <c r="K17" s="88"/>
      <c r="L17" s="83"/>
      <c r="Q17" s="168">
        <f>SUM(Q7:Q16)</f>
        <v>1</v>
      </c>
      <c r="R17" s="85"/>
      <c r="S17" s="85"/>
      <c r="T17" s="85"/>
      <c r="U17" s="85"/>
      <c r="V17" s="88"/>
      <c r="W17" s="83"/>
      <c r="AB17" s="168">
        <f>SUM(AB7:AB16)</f>
        <v>1</v>
      </c>
      <c r="AC17" s="85"/>
      <c r="AD17" s="85"/>
      <c r="AE17" s="85"/>
      <c r="AF17" s="85"/>
      <c r="AG17" s="88"/>
      <c r="AH17" s="83"/>
      <c r="AI17" s="85"/>
      <c r="AJ17" s="85"/>
      <c r="AK17" s="85"/>
      <c r="AL17" s="85"/>
      <c r="AM17" s="168">
        <f>SUM(AM7:AM16)</f>
        <v>1</v>
      </c>
      <c r="AN17" s="85"/>
      <c r="AO17" s="85"/>
      <c r="AP17" s="85"/>
      <c r="AQ17" s="85"/>
      <c r="AR17" s="88"/>
    </row>
    <row r="18" spans="1:44" ht="21" customHeight="1" x14ac:dyDescent="0.25">
      <c r="A18" s="83"/>
      <c r="B18" s="84" t="s">
        <v>214</v>
      </c>
      <c r="C18" s="22"/>
      <c r="E18" s="22"/>
      <c r="F18" s="85"/>
      <c r="G18" s="85"/>
      <c r="I18" s="85"/>
      <c r="J18" s="85"/>
      <c r="K18" s="88"/>
      <c r="L18" s="83"/>
      <c r="M18" s="84" t="s">
        <v>214</v>
      </c>
      <c r="N18" s="22"/>
      <c r="P18" s="22"/>
      <c r="Q18" s="85"/>
      <c r="R18" s="85"/>
      <c r="T18" s="85"/>
      <c r="U18" s="85"/>
      <c r="V18" s="88"/>
      <c r="W18" s="83"/>
      <c r="X18" s="84" t="s">
        <v>214</v>
      </c>
      <c r="Y18" s="22"/>
      <c r="AA18" s="22"/>
      <c r="AB18" s="85"/>
      <c r="AC18" s="85"/>
      <c r="AE18" s="85"/>
      <c r="AF18" s="85"/>
      <c r="AG18" s="88"/>
      <c r="AH18" s="83"/>
      <c r="AI18" s="84" t="s">
        <v>214</v>
      </c>
      <c r="AJ18" s="22"/>
      <c r="AK18" s="85"/>
      <c r="AL18" s="22"/>
      <c r="AM18" s="85"/>
      <c r="AN18" s="85"/>
      <c r="AO18" s="85"/>
      <c r="AP18" s="85"/>
      <c r="AQ18" s="85"/>
      <c r="AR18" s="88"/>
    </row>
    <row r="19" spans="1:44" ht="21" customHeight="1" thickBot="1" x14ac:dyDescent="0.3">
      <c r="A19" s="83"/>
      <c r="B19" s="84"/>
      <c r="C19" s="22"/>
      <c r="D19" s="22" t="s">
        <v>389</v>
      </c>
      <c r="F19" s="314"/>
      <c r="G19" s="314"/>
      <c r="H19" s="314"/>
      <c r="I19" s="758"/>
      <c r="L19" s="83"/>
      <c r="M19" s="84"/>
      <c r="N19" s="22"/>
      <c r="O19" s="22" t="s">
        <v>389</v>
      </c>
      <c r="Q19" s="314"/>
      <c r="R19" s="314"/>
      <c r="S19" s="314"/>
      <c r="T19" s="758"/>
      <c r="W19" s="83"/>
      <c r="X19" s="84"/>
      <c r="Y19" s="22"/>
      <c r="Z19" s="22" t="s">
        <v>389</v>
      </c>
      <c r="AB19" s="314"/>
      <c r="AC19" s="314"/>
      <c r="AD19" s="314"/>
      <c r="AE19" s="758"/>
      <c r="AH19" s="83"/>
      <c r="AI19" s="84"/>
      <c r="AJ19" s="22"/>
      <c r="AK19" s="22" t="s">
        <v>389</v>
      </c>
      <c r="AL19" s="85"/>
      <c r="AM19" s="314"/>
      <c r="AN19" s="314"/>
      <c r="AO19" s="314"/>
      <c r="AP19" s="760"/>
      <c r="AQ19" s="85"/>
      <c r="AR19" s="88"/>
    </row>
    <row r="20" spans="1:44" ht="24" customHeight="1" x14ac:dyDescent="0.25">
      <c r="A20" s="83"/>
      <c r="B20" s="12" t="str">
        <f>Constantes!$A10</f>
        <v>Collecte</v>
      </c>
      <c r="C20" s="54" t="str">
        <f>Constantes!$B10</f>
        <v>Court terme</v>
      </c>
      <c r="D20" s="419"/>
      <c r="E20" s="85"/>
      <c r="F20" s="632"/>
      <c r="G20" s="85"/>
      <c r="L20" s="83"/>
      <c r="M20" s="12" t="str">
        <f>Constantes!$A10</f>
        <v>Collecte</v>
      </c>
      <c r="N20" s="54" t="str">
        <f>Constantes!$B10</f>
        <v>Court terme</v>
      </c>
      <c r="O20" s="382"/>
      <c r="P20" s="85">
        <f>D20*O20</f>
        <v>0</v>
      </c>
      <c r="Q20" s="632"/>
      <c r="R20" s="85"/>
      <c r="W20" s="83"/>
      <c r="X20" s="12" t="str">
        <f>Constantes!$A10</f>
        <v>Collecte</v>
      </c>
      <c r="Y20" s="54" t="str">
        <f>Constantes!$B10</f>
        <v>Court terme</v>
      </c>
      <c r="Z20" s="399"/>
      <c r="AA20" s="85">
        <f>O20*Z20</f>
        <v>0</v>
      </c>
      <c r="AB20" s="632"/>
      <c r="AC20" s="85"/>
      <c r="AH20" s="83"/>
      <c r="AI20" s="12" t="str">
        <f>Constantes!$A10</f>
        <v>Collecte</v>
      </c>
      <c r="AJ20" s="54" t="str">
        <f>Constantes!$B10</f>
        <v>Court terme</v>
      </c>
      <c r="AK20" s="319"/>
      <c r="AL20" s="85">
        <f>Z20*AK20</f>
        <v>0</v>
      </c>
      <c r="AM20" s="729"/>
      <c r="AN20" s="85"/>
      <c r="AO20" s="85"/>
      <c r="AP20" s="85"/>
      <c r="AQ20" s="85"/>
      <c r="AR20" s="88"/>
    </row>
    <row r="21" spans="1:44" ht="24" customHeight="1" thickBot="1" x14ac:dyDescent="0.3">
      <c r="A21" s="83"/>
      <c r="B21" s="15"/>
      <c r="C21" s="56" t="str">
        <f>Constantes!$B11</f>
        <v>Moyen et long terme</v>
      </c>
      <c r="D21" s="420">
        <v>1</v>
      </c>
      <c r="E21" s="85"/>
      <c r="G21" s="84" t="s">
        <v>219</v>
      </c>
      <c r="H21" s="85"/>
      <c r="I21" s="85"/>
      <c r="J21" s="85"/>
      <c r="K21" s="85"/>
      <c r="L21" s="83"/>
      <c r="M21" s="15"/>
      <c r="N21" s="56" t="str">
        <f>Constantes!$B11</f>
        <v>Moyen et long terme</v>
      </c>
      <c r="O21" s="383"/>
      <c r="P21" s="85">
        <f t="shared" ref="P21:P29" si="0">D21*O21</f>
        <v>0</v>
      </c>
      <c r="R21" s="84" t="s">
        <v>219</v>
      </c>
      <c r="S21" s="85"/>
      <c r="T21" s="85"/>
      <c r="U21" s="85"/>
      <c r="V21" s="85"/>
      <c r="W21" s="83"/>
      <c r="X21" s="15"/>
      <c r="Y21" s="56" t="str">
        <f>Constantes!$B11</f>
        <v>Moyen et long terme</v>
      </c>
      <c r="Z21" s="400"/>
      <c r="AA21" s="85">
        <f t="shared" ref="AA21:AA29" si="1">O21*Z21</f>
        <v>0</v>
      </c>
      <c r="AC21" s="84" t="s">
        <v>219</v>
      </c>
      <c r="AD21" s="85"/>
      <c r="AE21" s="85"/>
      <c r="AF21" s="85"/>
      <c r="AG21" s="85"/>
      <c r="AH21" s="83"/>
      <c r="AI21" s="15"/>
      <c r="AJ21" s="56" t="str">
        <f>Constantes!$B11</f>
        <v>Moyen et long terme</v>
      </c>
      <c r="AK21" s="320"/>
      <c r="AL21" s="85">
        <f t="shared" ref="AL21:AL29" si="2">Z21*AK21</f>
        <v>0</v>
      </c>
      <c r="AM21" s="85"/>
      <c r="AN21" s="84" t="s">
        <v>219</v>
      </c>
      <c r="AO21" s="85"/>
      <c r="AP21" s="85"/>
      <c r="AQ21" s="85"/>
      <c r="AR21" s="88"/>
    </row>
    <row r="22" spans="1:44" ht="24" customHeight="1" thickBot="1" x14ac:dyDescent="0.3">
      <c r="A22" s="83"/>
      <c r="B22" s="12" t="str">
        <f>Constantes!$A12</f>
        <v>Crédit</v>
      </c>
      <c r="C22" s="54" t="str">
        <f>Constantes!$B12</f>
        <v>Immobilier</v>
      </c>
      <c r="D22" s="419"/>
      <c r="E22" s="85"/>
      <c r="G22" s="85"/>
      <c r="H22" s="85"/>
      <c r="I22" s="759" t="s">
        <v>298</v>
      </c>
      <c r="J22" s="22"/>
      <c r="K22" s="22"/>
      <c r="L22" s="83"/>
      <c r="M22" s="12" t="str">
        <f>Constantes!$A12</f>
        <v>Crédit</v>
      </c>
      <c r="N22" s="54" t="str">
        <f>Constantes!$B12</f>
        <v>Immobilier</v>
      </c>
      <c r="O22" s="382"/>
      <c r="P22" s="85">
        <f t="shared" si="0"/>
        <v>0</v>
      </c>
      <c r="R22" s="85"/>
      <c r="S22" s="85"/>
      <c r="T22" s="759" t="s">
        <v>298</v>
      </c>
      <c r="U22" s="22"/>
      <c r="V22" s="22"/>
      <c r="W22" s="83"/>
      <c r="X22" s="12" t="str">
        <f>Constantes!$A12</f>
        <v>Crédit</v>
      </c>
      <c r="Y22" s="54" t="str">
        <f>Constantes!$B12</f>
        <v>Immobilier</v>
      </c>
      <c r="Z22" s="399"/>
      <c r="AA22" s="85">
        <f t="shared" si="1"/>
        <v>0</v>
      </c>
      <c r="AC22" s="85"/>
      <c r="AD22" s="85"/>
      <c r="AE22" s="759" t="s">
        <v>298</v>
      </c>
      <c r="AF22" s="22"/>
      <c r="AG22" s="22"/>
      <c r="AH22" s="83"/>
      <c r="AI22" s="12" t="str">
        <f>Constantes!$A12</f>
        <v>Crédit</v>
      </c>
      <c r="AJ22" s="54" t="str">
        <f>Constantes!$B12</f>
        <v>Immobilier</v>
      </c>
      <c r="AK22" s="319">
        <v>1</v>
      </c>
      <c r="AL22" s="85">
        <f t="shared" si="2"/>
        <v>0</v>
      </c>
      <c r="AM22" s="85"/>
      <c r="AN22" s="85"/>
      <c r="AO22" s="85"/>
      <c r="AP22" s="759" t="s">
        <v>298</v>
      </c>
      <c r="AQ22" s="22"/>
      <c r="AR22" s="730"/>
    </row>
    <row r="23" spans="1:44" ht="24" customHeight="1" x14ac:dyDescent="0.25">
      <c r="A23" s="83"/>
      <c r="B23" s="17"/>
      <c r="C23" s="57" t="str">
        <f>Constantes!$B13</f>
        <v>Consommation</v>
      </c>
      <c r="D23" s="421">
        <v>1</v>
      </c>
      <c r="E23" s="85"/>
      <c r="G23" s="22" t="s">
        <v>394</v>
      </c>
      <c r="H23" s="85"/>
      <c r="I23" s="413"/>
      <c r="J23" s="22" t="s">
        <v>299</v>
      </c>
      <c r="K23" s="22"/>
      <c r="L23" s="83"/>
      <c r="M23" s="17"/>
      <c r="N23" s="57" t="str">
        <f>Constantes!$B13</f>
        <v>Consommation</v>
      </c>
      <c r="O23" s="384"/>
      <c r="P23" s="85">
        <f t="shared" si="0"/>
        <v>0</v>
      </c>
      <c r="R23" s="22" t="s">
        <v>394</v>
      </c>
      <c r="S23" s="85"/>
      <c r="T23" s="376"/>
      <c r="U23" s="22" t="s">
        <v>299</v>
      </c>
      <c r="V23" s="22"/>
      <c r="W23" s="83"/>
      <c r="X23" s="17"/>
      <c r="Y23" s="57" t="str">
        <f>Constantes!$B13</f>
        <v>Consommation</v>
      </c>
      <c r="Z23" s="401">
        <v>1</v>
      </c>
      <c r="AA23" s="85">
        <f t="shared" si="1"/>
        <v>0</v>
      </c>
      <c r="AC23" s="22" t="s">
        <v>394</v>
      </c>
      <c r="AD23" s="85"/>
      <c r="AE23" s="393"/>
      <c r="AF23" s="22" t="s">
        <v>299</v>
      </c>
      <c r="AG23" s="22"/>
      <c r="AH23" s="83"/>
      <c r="AI23" s="17"/>
      <c r="AJ23" s="57" t="str">
        <f>Constantes!$B13</f>
        <v>Consommation</v>
      </c>
      <c r="AK23" s="321"/>
      <c r="AL23" s="85">
        <f t="shared" si="2"/>
        <v>0</v>
      </c>
      <c r="AM23" s="85"/>
      <c r="AN23" s="22" t="s">
        <v>394</v>
      </c>
      <c r="AO23" s="85"/>
      <c r="AP23" s="358">
        <v>2000</v>
      </c>
      <c r="AQ23" s="22" t="s">
        <v>299</v>
      </c>
      <c r="AR23" s="730"/>
    </row>
    <row r="24" spans="1:44" ht="24" customHeight="1" thickBot="1" x14ac:dyDescent="0.3">
      <c r="A24" s="83"/>
      <c r="B24" s="15"/>
      <c r="C24" s="56" t="str">
        <f>Constantes!$B14</f>
        <v>Renouvelable</v>
      </c>
      <c r="D24" s="420"/>
      <c r="E24" s="85"/>
      <c r="G24" s="22" t="s">
        <v>51</v>
      </c>
      <c r="H24" s="85"/>
      <c r="I24" s="414">
        <v>2000</v>
      </c>
      <c r="J24" s="22" t="s">
        <v>299</v>
      </c>
      <c r="K24" s="22"/>
      <c r="L24" s="83"/>
      <c r="M24" s="15"/>
      <c r="N24" s="56" t="str">
        <f>Constantes!$B14</f>
        <v>Renouvelable</v>
      </c>
      <c r="O24" s="383"/>
      <c r="P24" s="85">
        <f t="shared" si="0"/>
        <v>0</v>
      </c>
      <c r="R24" s="22" t="s">
        <v>51</v>
      </c>
      <c r="S24" s="85"/>
      <c r="T24" s="377"/>
      <c r="U24" s="22" t="s">
        <v>299</v>
      </c>
      <c r="V24" s="22"/>
      <c r="W24" s="83"/>
      <c r="X24" s="15"/>
      <c r="Y24" s="56" t="str">
        <f>Constantes!$B14</f>
        <v>Renouvelable</v>
      </c>
      <c r="Z24" s="400"/>
      <c r="AA24" s="85">
        <f t="shared" si="1"/>
        <v>0</v>
      </c>
      <c r="AC24" s="22" t="s">
        <v>51</v>
      </c>
      <c r="AD24" s="85"/>
      <c r="AE24" s="394"/>
      <c r="AF24" s="22" t="s">
        <v>299</v>
      </c>
      <c r="AG24" s="22"/>
      <c r="AH24" s="83"/>
      <c r="AI24" s="15"/>
      <c r="AJ24" s="56" t="str">
        <f>Constantes!$B14</f>
        <v>Renouvelable</v>
      </c>
      <c r="AK24" s="320"/>
      <c r="AL24" s="85">
        <f t="shared" si="2"/>
        <v>0</v>
      </c>
      <c r="AM24" s="85"/>
      <c r="AN24" s="22" t="s">
        <v>51</v>
      </c>
      <c r="AO24" s="85"/>
      <c r="AP24" s="359"/>
      <c r="AQ24" s="22" t="s">
        <v>299</v>
      </c>
      <c r="AR24" s="730"/>
    </row>
    <row r="25" spans="1:44" ht="24" customHeight="1" x14ac:dyDescent="0.25">
      <c r="A25" s="83"/>
      <c r="B25" s="12" t="str">
        <f>Constantes!$A15</f>
        <v>Assurance</v>
      </c>
      <c r="C25" s="54" t="str">
        <f>Constantes!$B15</f>
        <v>IARD</v>
      </c>
      <c r="D25" s="419"/>
      <c r="E25" s="85"/>
      <c r="G25" s="22" t="s">
        <v>75</v>
      </c>
      <c r="H25" s="85"/>
      <c r="I25" s="414"/>
      <c r="J25" s="22" t="s">
        <v>299</v>
      </c>
      <c r="K25" s="22"/>
      <c r="L25" s="83"/>
      <c r="M25" s="12" t="str">
        <f>Constantes!$A15</f>
        <v>Assurance</v>
      </c>
      <c r="N25" s="54" t="str">
        <f>Constantes!$B15</f>
        <v>IARD</v>
      </c>
      <c r="O25" s="382"/>
      <c r="P25" s="85">
        <f t="shared" si="0"/>
        <v>0</v>
      </c>
      <c r="R25" s="22" t="s">
        <v>75</v>
      </c>
      <c r="S25" s="85"/>
      <c r="T25" s="377">
        <v>1500</v>
      </c>
      <c r="U25" s="22" t="s">
        <v>299</v>
      </c>
      <c r="V25" s="22"/>
      <c r="W25" s="83"/>
      <c r="X25" s="12" t="str">
        <f>Constantes!$A15</f>
        <v>Assurance</v>
      </c>
      <c r="Y25" s="54" t="str">
        <f>Constantes!$B15</f>
        <v>IARD</v>
      </c>
      <c r="Z25" s="399"/>
      <c r="AA25" s="85">
        <f t="shared" si="1"/>
        <v>0</v>
      </c>
      <c r="AC25" s="22" t="s">
        <v>75</v>
      </c>
      <c r="AD25" s="85"/>
      <c r="AE25" s="394"/>
      <c r="AF25" s="22" t="s">
        <v>299</v>
      </c>
      <c r="AG25" s="22"/>
      <c r="AH25" s="83"/>
      <c r="AI25" s="12" t="str">
        <f>Constantes!$A15</f>
        <v>Assurance</v>
      </c>
      <c r="AJ25" s="54" t="str">
        <f>Constantes!$B15</f>
        <v>IARD</v>
      </c>
      <c r="AK25" s="319">
        <v>2</v>
      </c>
      <c r="AL25" s="85">
        <f t="shared" si="2"/>
        <v>0</v>
      </c>
      <c r="AM25" s="85"/>
      <c r="AN25" s="22" t="s">
        <v>75</v>
      </c>
      <c r="AO25" s="85"/>
      <c r="AP25" s="359"/>
      <c r="AQ25" s="22" t="s">
        <v>299</v>
      </c>
      <c r="AR25" s="730"/>
    </row>
    <row r="26" spans="1:44" ht="24" customHeight="1" thickBot="1" x14ac:dyDescent="0.3">
      <c r="A26" s="83"/>
      <c r="B26" s="15"/>
      <c r="C26" s="56" t="str">
        <f>Constantes!$B16</f>
        <v>Prévoyance</v>
      </c>
      <c r="D26" s="420"/>
      <c r="E26" s="85"/>
      <c r="G26" s="22" t="s">
        <v>14</v>
      </c>
      <c r="H26" s="85"/>
      <c r="I26" s="415"/>
      <c r="J26" s="22" t="s">
        <v>299</v>
      </c>
      <c r="K26" s="22"/>
      <c r="L26" s="83"/>
      <c r="M26" s="15"/>
      <c r="N26" s="56" t="str">
        <f>Constantes!$B16</f>
        <v>Prévoyance</v>
      </c>
      <c r="O26" s="383"/>
      <c r="P26" s="85">
        <f t="shared" si="0"/>
        <v>0</v>
      </c>
      <c r="R26" s="22" t="s">
        <v>14</v>
      </c>
      <c r="S26" s="85"/>
      <c r="T26" s="378"/>
      <c r="U26" s="22" t="s">
        <v>299</v>
      </c>
      <c r="V26" s="22"/>
      <c r="W26" s="83"/>
      <c r="X26" s="15"/>
      <c r="Y26" s="56" t="str">
        <f>Constantes!$B16</f>
        <v>Prévoyance</v>
      </c>
      <c r="Z26" s="400">
        <v>1</v>
      </c>
      <c r="AA26" s="85">
        <f t="shared" si="1"/>
        <v>0</v>
      </c>
      <c r="AC26" s="22" t="s">
        <v>14</v>
      </c>
      <c r="AD26" s="85"/>
      <c r="AE26" s="395">
        <v>2500</v>
      </c>
      <c r="AF26" s="22" t="s">
        <v>299</v>
      </c>
      <c r="AG26" s="22"/>
      <c r="AH26" s="83"/>
      <c r="AI26" s="15"/>
      <c r="AJ26" s="56" t="str">
        <f>Constantes!$B16</f>
        <v>Prévoyance</v>
      </c>
      <c r="AK26" s="320"/>
      <c r="AL26" s="85">
        <f t="shared" si="2"/>
        <v>0</v>
      </c>
      <c r="AM26" s="85"/>
      <c r="AN26" s="22" t="s">
        <v>14</v>
      </c>
      <c r="AO26" s="85"/>
      <c r="AP26" s="360"/>
      <c r="AQ26" s="22" t="s">
        <v>299</v>
      </c>
      <c r="AR26" s="730"/>
    </row>
    <row r="27" spans="1:44" ht="24" customHeight="1" x14ac:dyDescent="0.25">
      <c r="A27" s="83"/>
      <c r="B27" s="12" t="str">
        <f>Constantes!$A17</f>
        <v>Services</v>
      </c>
      <c r="C27" s="54" t="str">
        <f>Constantes!$B17</f>
        <v>Moyens de paiement</v>
      </c>
      <c r="D27" s="419">
        <v>2</v>
      </c>
      <c r="E27" s="85"/>
      <c r="F27" s="314"/>
      <c r="G27" s="85"/>
      <c r="L27" s="83"/>
      <c r="M27" s="12" t="str">
        <f>Constantes!$A17</f>
        <v>Services</v>
      </c>
      <c r="N27" s="54" t="str">
        <f>Constantes!$B17</f>
        <v>Moyens de paiement</v>
      </c>
      <c r="O27" s="382">
        <v>1</v>
      </c>
      <c r="P27" s="85">
        <f t="shared" si="0"/>
        <v>2</v>
      </c>
      <c r="Q27" s="314"/>
      <c r="R27" s="85"/>
      <c r="W27" s="83"/>
      <c r="X27" s="12" t="str">
        <f>Constantes!$A17</f>
        <v>Services</v>
      </c>
      <c r="Y27" s="54" t="str">
        <f>Constantes!$B17</f>
        <v>Moyens de paiement</v>
      </c>
      <c r="Z27" s="399"/>
      <c r="AA27" s="85">
        <f t="shared" si="1"/>
        <v>0</v>
      </c>
      <c r="AB27" s="314"/>
      <c r="AC27" s="85"/>
      <c r="AH27" s="83"/>
      <c r="AI27" s="12" t="str">
        <f>Constantes!$A17</f>
        <v>Services</v>
      </c>
      <c r="AJ27" s="54" t="str">
        <f>Constantes!$B17</f>
        <v>Moyens de paiement</v>
      </c>
      <c r="AK27" s="319"/>
      <c r="AL27" s="85">
        <f t="shared" si="2"/>
        <v>0</v>
      </c>
      <c r="AM27" s="314"/>
      <c r="AN27" s="85"/>
      <c r="AO27" s="85"/>
      <c r="AP27" s="85"/>
      <c r="AQ27" s="85"/>
      <c r="AR27" s="88"/>
    </row>
    <row r="28" spans="1:44" ht="24" customHeight="1" x14ac:dyDescent="0.25">
      <c r="A28" s="83"/>
      <c r="B28" s="17"/>
      <c r="C28" s="57" t="str">
        <f>Constantes!$B18</f>
        <v>Ouverture compte</v>
      </c>
      <c r="D28" s="421"/>
      <c r="E28" s="85"/>
      <c r="F28" s="314"/>
      <c r="G28" s="85"/>
      <c r="L28" s="83"/>
      <c r="M28" s="17"/>
      <c r="N28" s="57" t="str">
        <f>Constantes!$B18</f>
        <v>Ouverture compte</v>
      </c>
      <c r="O28" s="384"/>
      <c r="P28" s="85">
        <f>D28*O28</f>
        <v>0</v>
      </c>
      <c r="Q28" s="314"/>
      <c r="R28" s="85"/>
      <c r="W28" s="83"/>
      <c r="X28" s="17"/>
      <c r="Y28" s="57" t="str">
        <f>Constantes!$B18</f>
        <v>Ouverture compte</v>
      </c>
      <c r="Z28" s="401"/>
      <c r="AA28" s="85">
        <f>O28*Z28</f>
        <v>0</v>
      </c>
      <c r="AB28" s="314"/>
      <c r="AC28" s="85"/>
      <c r="AH28" s="83"/>
      <c r="AI28" s="17"/>
      <c r="AJ28" s="57" t="str">
        <f>Constantes!$B18</f>
        <v>Ouverture compte</v>
      </c>
      <c r="AK28" s="321"/>
      <c r="AL28" s="85">
        <f>Z28*AK28</f>
        <v>0</v>
      </c>
      <c r="AM28" s="314"/>
      <c r="AN28" s="85"/>
      <c r="AO28" s="85"/>
      <c r="AP28" s="85"/>
      <c r="AQ28" s="85"/>
      <c r="AR28" s="88"/>
    </row>
    <row r="29" spans="1:44" ht="24" customHeight="1" thickBot="1" x14ac:dyDescent="0.3">
      <c r="A29" s="83"/>
      <c r="B29" s="15"/>
      <c r="C29" s="56" t="str">
        <f>Constantes!$B19</f>
        <v>Téléphonie</v>
      </c>
      <c r="D29" s="420"/>
      <c r="E29" s="85"/>
      <c r="F29" s="314"/>
      <c r="G29" s="85"/>
      <c r="K29" s="88"/>
      <c r="L29" s="83"/>
      <c r="M29" s="15"/>
      <c r="N29" s="56" t="str">
        <f>Constantes!$B19</f>
        <v>Téléphonie</v>
      </c>
      <c r="O29" s="383">
        <v>2</v>
      </c>
      <c r="P29" s="85">
        <f t="shared" si="0"/>
        <v>0</v>
      </c>
      <c r="Q29" s="314"/>
      <c r="R29" s="85"/>
      <c r="V29" s="88"/>
      <c r="W29" s="83"/>
      <c r="X29" s="15"/>
      <c r="Y29" s="56" t="str">
        <f>Constantes!$B19</f>
        <v>Téléphonie</v>
      </c>
      <c r="Z29" s="400"/>
      <c r="AA29" s="85">
        <f t="shared" si="1"/>
        <v>0</v>
      </c>
      <c r="AB29" s="314"/>
      <c r="AC29" s="85"/>
      <c r="AG29" s="88"/>
      <c r="AH29" s="83"/>
      <c r="AI29" s="15"/>
      <c r="AJ29" s="56" t="str">
        <f>Constantes!$B19</f>
        <v>Téléphonie</v>
      </c>
      <c r="AK29" s="320"/>
      <c r="AL29" s="85">
        <f t="shared" si="2"/>
        <v>0</v>
      </c>
      <c r="AM29" s="314"/>
      <c r="AN29" s="85"/>
      <c r="AO29" s="85"/>
      <c r="AP29" s="85"/>
      <c r="AQ29" s="85"/>
      <c r="AR29" s="88"/>
    </row>
    <row r="30" spans="1:44" ht="18.600000000000001" customHeight="1" x14ac:dyDescent="0.25">
      <c r="A30" s="83"/>
      <c r="B30" s="85"/>
      <c r="C30" s="92"/>
      <c r="D30" s="760">
        <f>COUNTIF(D20:D29,"&gt;0")</f>
        <v>3</v>
      </c>
      <c r="E30" s="92">
        <f>COUNTIF(E20:E29,"&gt;0")</f>
        <v>0</v>
      </c>
      <c r="F30" s="92"/>
      <c r="G30" s="85"/>
      <c r="J30" s="85"/>
      <c r="K30" s="88"/>
      <c r="L30" s="83"/>
      <c r="M30" s="85"/>
      <c r="N30" s="92"/>
      <c r="O30" s="760">
        <f>COUNTIF(O20:O29,"&gt;0")</f>
        <v>2</v>
      </c>
      <c r="P30" s="92">
        <f>COUNTIF(P20:P29,"&gt;0")</f>
        <v>1</v>
      </c>
      <c r="Q30" s="92"/>
      <c r="R30" s="85"/>
      <c r="U30" s="85"/>
      <c r="V30" s="88"/>
      <c r="W30" s="83"/>
      <c r="X30" s="85"/>
      <c r="Y30" s="92"/>
      <c r="Z30" s="760">
        <f>COUNTIF(Z20:Z29,"&gt;0")</f>
        <v>2</v>
      </c>
      <c r="AA30" s="92">
        <f>COUNTIF(AA20:AA29,"&gt;0")</f>
        <v>0</v>
      </c>
      <c r="AB30" s="92"/>
      <c r="AC30" s="85"/>
      <c r="AF30" s="85"/>
      <c r="AG30" s="88"/>
      <c r="AH30" s="83"/>
      <c r="AI30" s="85"/>
      <c r="AJ30" s="92"/>
      <c r="AK30" s="760">
        <f>COUNTIF(AK20:AK29,"&gt;0")</f>
        <v>2</v>
      </c>
      <c r="AL30" s="92">
        <f>COUNTIF(AL20:AL29,"&gt;0")</f>
        <v>0</v>
      </c>
      <c r="AM30" s="92"/>
      <c r="AN30" s="85"/>
      <c r="AO30" s="85"/>
      <c r="AP30" s="85"/>
      <c r="AQ30" s="85"/>
      <c r="AR30" s="88"/>
    </row>
    <row r="31" spans="1:44" ht="18.600000000000001" customHeight="1" x14ac:dyDescent="0.25">
      <c r="A31" s="83"/>
      <c r="B31" s="84" t="s">
        <v>215</v>
      </c>
      <c r="C31" s="85"/>
      <c r="D31" s="85"/>
      <c r="E31" s="85"/>
      <c r="G31" s="84" t="s">
        <v>216</v>
      </c>
      <c r="H31" s="85"/>
      <c r="I31" s="85"/>
      <c r="J31" s="85"/>
      <c r="K31" s="85"/>
      <c r="L31" s="83"/>
      <c r="M31" s="84" t="s">
        <v>215</v>
      </c>
      <c r="N31" s="85"/>
      <c r="O31" s="85"/>
      <c r="P31" s="85"/>
      <c r="R31" s="84" t="s">
        <v>216</v>
      </c>
      <c r="S31" s="85"/>
      <c r="T31" s="85"/>
      <c r="U31" s="85"/>
      <c r="V31" s="85"/>
      <c r="W31" s="83"/>
      <c r="X31" s="84" t="s">
        <v>215</v>
      </c>
      <c r="Y31" s="85"/>
      <c r="Z31" s="85"/>
      <c r="AA31" s="85"/>
      <c r="AC31" s="84" t="s">
        <v>216</v>
      </c>
      <c r="AD31" s="85"/>
      <c r="AE31" s="85"/>
      <c r="AF31" s="85"/>
      <c r="AG31" s="85"/>
      <c r="AH31" s="83"/>
      <c r="AI31" s="84" t="s">
        <v>215</v>
      </c>
      <c r="AJ31" s="85"/>
      <c r="AK31" s="85"/>
      <c r="AL31" s="85"/>
      <c r="AM31" s="85"/>
      <c r="AN31" s="84" t="s">
        <v>216</v>
      </c>
      <c r="AO31" s="85"/>
      <c r="AP31" s="85"/>
      <c r="AQ31" s="85"/>
      <c r="AR31" s="88"/>
    </row>
    <row r="32" spans="1:44" ht="18.600000000000001" customHeight="1" thickBot="1" x14ac:dyDescent="0.3">
      <c r="A32" s="83"/>
      <c r="B32" s="760" t="s">
        <v>217</v>
      </c>
      <c r="C32" s="813" t="s">
        <v>218</v>
      </c>
      <c r="D32" s="813"/>
      <c r="E32" s="758" t="s">
        <v>300</v>
      </c>
      <c r="G32" s="760" t="s">
        <v>217</v>
      </c>
      <c r="H32" s="813" t="s">
        <v>218</v>
      </c>
      <c r="I32" s="813"/>
      <c r="J32" s="758" t="s">
        <v>300</v>
      </c>
      <c r="K32" s="758"/>
      <c r="L32" s="83"/>
      <c r="M32" s="760" t="s">
        <v>217</v>
      </c>
      <c r="N32" s="813" t="s">
        <v>218</v>
      </c>
      <c r="O32" s="813"/>
      <c r="P32" s="758" t="s">
        <v>300</v>
      </c>
      <c r="R32" s="760" t="s">
        <v>217</v>
      </c>
      <c r="S32" s="813" t="s">
        <v>218</v>
      </c>
      <c r="T32" s="813"/>
      <c r="U32" s="758" t="s">
        <v>300</v>
      </c>
      <c r="V32" s="758"/>
      <c r="W32" s="83"/>
      <c r="X32" s="760" t="s">
        <v>217</v>
      </c>
      <c r="Y32" s="813" t="s">
        <v>218</v>
      </c>
      <c r="Z32" s="813"/>
      <c r="AA32" s="758" t="s">
        <v>300</v>
      </c>
      <c r="AC32" s="760" t="s">
        <v>217</v>
      </c>
      <c r="AD32" s="813" t="s">
        <v>218</v>
      </c>
      <c r="AE32" s="813"/>
      <c r="AF32" s="758" t="s">
        <v>300</v>
      </c>
      <c r="AG32" s="758"/>
      <c r="AH32" s="83"/>
      <c r="AI32" s="760" t="s">
        <v>217</v>
      </c>
      <c r="AJ32" s="813" t="s">
        <v>218</v>
      </c>
      <c r="AK32" s="813"/>
      <c r="AL32" s="760" t="s">
        <v>300</v>
      </c>
      <c r="AM32" s="85"/>
      <c r="AN32" s="760" t="s">
        <v>217</v>
      </c>
      <c r="AO32" s="813" t="s">
        <v>218</v>
      </c>
      <c r="AP32" s="813"/>
      <c r="AQ32" s="760" t="s">
        <v>300</v>
      </c>
      <c r="AR32" s="191"/>
    </row>
    <row r="33" spans="1:44" ht="31.2" customHeight="1" x14ac:dyDescent="0.25">
      <c r="A33" s="83"/>
      <c r="B33" s="409">
        <v>6</v>
      </c>
      <c r="C33" s="814" t="str">
        <f>IF(B33&lt;&gt;0,LOOKUP(B33,Actions!$B$4:$B$26,Actions!$C$4:$C$26),"")</f>
        <v>PLV collecte</v>
      </c>
      <c r="D33" s="815"/>
      <c r="E33" s="186">
        <f>IF(B33&lt;&gt;0,LOOKUP(B33,Actions!$B$4:$B$26,Actions!$F$4:$F$26),"")</f>
        <v>1000</v>
      </c>
      <c r="G33" s="409">
        <v>21</v>
      </c>
      <c r="H33" s="814" t="str">
        <f>IF(G33&lt;&gt;0,LOOKUP(G33,Actions!$B$4:$B$26,Actions!$C$4:$C$26),"")</f>
        <v>Escape game</v>
      </c>
      <c r="I33" s="816"/>
      <c r="J33" s="186">
        <f>IF(G33&lt;&gt;0,LOOKUP(G33,Actions!$B$4:$B$26,Actions!$F$4:$F$26),"")</f>
        <v>300</v>
      </c>
      <c r="K33" s="189"/>
      <c r="L33" s="83"/>
      <c r="M33" s="372">
        <v>4</v>
      </c>
      <c r="N33" s="814" t="str">
        <f>IF(M33&lt;&gt;0,LOOKUP(M33,Actions!$B$4:$B$26,Actions!$C$4:$C$26),"")</f>
        <v>Modernisation de l'accueil</v>
      </c>
      <c r="O33" s="815"/>
      <c r="P33" s="186">
        <f>IF(M33&lt;&gt;0,LOOKUP(M33,Actions!$B$4:$B$26,Actions!$F$4:$F$26),"")</f>
        <v>1500</v>
      </c>
      <c r="R33" s="372">
        <v>20</v>
      </c>
      <c r="S33" s="814" t="str">
        <f>IF(R33&lt;&gt;0,LOOKUP(R33,Actions!$B$4:$B$26,Actions!$C$4:$C$26),"")</f>
        <v>Repas d'équipe</v>
      </c>
      <c r="T33" s="816"/>
      <c r="U33" s="186">
        <f>IF(R33&lt;&gt;0,LOOKUP(R33,Actions!$B$4:$B$26,Actions!$F$4:$F$26),"")</f>
        <v>200</v>
      </c>
      <c r="V33" s="189"/>
      <c r="W33" s="83"/>
      <c r="X33" s="389">
        <v>2</v>
      </c>
      <c r="Y33" s="814" t="str">
        <f>IF(X33&lt;&gt;0,LOOKUP(X33,Actions!$B$4:$B$26,Actions!$C$4:$C$26),"")</f>
        <v>Mur d'argent</v>
      </c>
      <c r="Z33" s="815"/>
      <c r="AA33" s="186">
        <f>IF(X33&lt;&gt;0,LOOKUP(X33,Actions!$B$4:$B$26,Actions!$F$4:$F$26),"")</f>
        <v>10000</v>
      </c>
      <c r="AC33" s="389">
        <v>22</v>
      </c>
      <c r="AD33" s="814" t="str">
        <f>IF(AC33&lt;&gt;0,LOOKUP(AC33,Actions!$B$4:$B$26,Actions!$C$4:$C$26),"")</f>
        <v>Afterwork</v>
      </c>
      <c r="AE33" s="816"/>
      <c r="AF33" s="186">
        <f>IF(AC33&lt;&gt;0,LOOKUP(AC33,Actions!$B$4:$B$26,Actions!$F$4:$F$26),"")</f>
        <v>200</v>
      </c>
      <c r="AG33" s="189"/>
      <c r="AH33" s="83"/>
      <c r="AI33" s="174">
        <v>8</v>
      </c>
      <c r="AJ33" s="814" t="str">
        <f>IF(AI33&lt;&gt;0,LOOKUP(AI33,Actions!$B$4:$B$26,Actions!$C$4:$C$26),"")</f>
        <v>PLV assurance</v>
      </c>
      <c r="AK33" s="815"/>
      <c r="AL33" s="186">
        <f>IF(AI33&lt;&gt;0,LOOKUP(AI33,Actions!$B$4:$B$26,Actions!$F$4:$F$26),"")</f>
        <v>1000</v>
      </c>
      <c r="AM33" s="85"/>
      <c r="AN33" s="174">
        <v>24</v>
      </c>
      <c r="AO33" s="814" t="str">
        <f>IF(AN33&lt;&gt;0,LOOKUP(AN33,Actions!$B$4:$B$26,Actions!$C$4:$C$26),"")</f>
        <v>Participation évenement sportif</v>
      </c>
      <c r="AP33" s="816"/>
      <c r="AQ33" s="186">
        <f>IF(AN33&lt;&gt;0,LOOKUP(AN33,Actions!$B$4:$B$26,Actions!$F$4:$F$26),"")</f>
        <v>500</v>
      </c>
      <c r="AR33" s="731"/>
    </row>
    <row r="34" spans="1:44" ht="31.2" customHeight="1" x14ac:dyDescent="0.25">
      <c r="A34" s="83"/>
      <c r="B34" s="411"/>
      <c r="C34" s="805" t="str">
        <f>IF(B34&lt;&gt;0,LOOKUP(B34,Actions!$B$4:$B$26,Actions!$C$4:$C$26),"")</f>
        <v/>
      </c>
      <c r="D34" s="806"/>
      <c r="E34" s="187" t="str">
        <f>IF(B34&lt;&gt;0,LOOKUP(B34,Actions!$B$4:$B$26,Actions!$F$4:$F$26),"")</f>
        <v/>
      </c>
      <c r="G34" s="411"/>
      <c r="H34" s="805" t="str">
        <f>IF(G34&lt;&gt;0,LOOKUP(G34,Actions!$B$4:$B$26,Actions!$C$4:$C$26),"")</f>
        <v/>
      </c>
      <c r="I34" s="807"/>
      <c r="J34" s="187" t="str">
        <f>IF(G34&lt;&gt;0,LOOKUP(G34,Actions!$B$4:$B$26,Actions!$F$4:$F$26),"")</f>
        <v/>
      </c>
      <c r="K34" s="189"/>
      <c r="L34" s="83"/>
      <c r="M34" s="374">
        <v>12</v>
      </c>
      <c r="N34" s="805" t="str">
        <f>IF(M34&lt;&gt;0,LOOKUP(M34,Actions!$B$4:$B$26,Actions!$C$4:$C$26),"")</f>
        <v>Animation assurance</v>
      </c>
      <c r="O34" s="806"/>
      <c r="P34" s="187">
        <f>IF(M34&lt;&gt;0,LOOKUP(M34,Actions!$B$4:$B$26,Actions!$F$4:$F$26),"")</f>
        <v>600</v>
      </c>
      <c r="R34" s="374"/>
      <c r="S34" s="805" t="str">
        <f>IF(R34&lt;&gt;0,LOOKUP(R34,Actions!$B$4:$B$26,Actions!$C$4:$C$26),"")</f>
        <v/>
      </c>
      <c r="T34" s="807"/>
      <c r="U34" s="187" t="str">
        <f>IF(R34&lt;&gt;0,LOOKUP(R34,Actions!$B$4:$B$26,Actions!$F$4:$F$26),"")</f>
        <v/>
      </c>
      <c r="V34" s="189"/>
      <c r="W34" s="83"/>
      <c r="X34" s="391">
        <v>13</v>
      </c>
      <c r="Y34" s="805" t="str">
        <f>IF(X34&lt;&gt;0,LOOKUP(X34,Actions!$B$4:$B$26,Actions!$C$4:$C$26),"")</f>
        <v>Animation services</v>
      </c>
      <c r="Z34" s="806"/>
      <c r="AA34" s="187">
        <f>IF(X34&lt;&gt;0,LOOKUP(X34,Actions!$B$4:$B$26,Actions!$F$4:$F$26),"")</f>
        <v>600</v>
      </c>
      <c r="AC34" s="391"/>
      <c r="AD34" s="805" t="str">
        <f>IF(AC34&lt;&gt;0,LOOKUP(AC34,Actions!$B$4:$B$26,Actions!$C$4:$C$26),"")</f>
        <v/>
      </c>
      <c r="AE34" s="807"/>
      <c r="AF34" s="187" t="str">
        <f>IF(AC34&lt;&gt;0,LOOKUP(AC34,Actions!$B$4:$B$26,Actions!$F$4:$F$26),"")</f>
        <v/>
      </c>
      <c r="AG34" s="189"/>
      <c r="AH34" s="83"/>
      <c r="AI34" s="176">
        <v>17</v>
      </c>
      <c r="AJ34" s="805" t="str">
        <f>IF(AI34&lt;&gt;0,LOOKUP(AI34,Actions!$B$4:$B$26,Actions!$C$4:$C$26),"")</f>
        <v>Invitation des clients</v>
      </c>
      <c r="AK34" s="806"/>
      <c r="AL34" s="187">
        <f>IF(AI34&lt;&gt;0,LOOKUP(AI34,Actions!$B$4:$B$26,Actions!$F$4:$F$26),"")</f>
        <v>1200</v>
      </c>
      <c r="AM34" s="85"/>
      <c r="AN34" s="176"/>
      <c r="AO34" s="805" t="str">
        <f>IF(AN34&lt;&gt;0,LOOKUP(AN34,Actions!$B$4:$B$26,Actions!$C$4:$C$26),"")</f>
        <v/>
      </c>
      <c r="AP34" s="807"/>
      <c r="AQ34" s="187" t="str">
        <f>IF(AN34&lt;&gt;0,LOOKUP(AN34,Actions!$B$4:$B$26,Actions!$F$4:$F$26),"")</f>
        <v/>
      </c>
      <c r="AR34" s="731"/>
    </row>
    <row r="35" spans="1:44" ht="31.2" customHeight="1" thickBot="1" x14ac:dyDescent="0.3">
      <c r="A35" s="83"/>
      <c r="B35" s="410"/>
      <c r="C35" s="808" t="str">
        <f>IF(B35&lt;&gt;0,LOOKUP(B35,Actions!$B$4:$B$26,Actions!$C$4:$C$26),"")</f>
        <v/>
      </c>
      <c r="D35" s="809"/>
      <c r="E35" s="188" t="str">
        <f>IF(B35&lt;&gt;0,LOOKUP(B35,Actions!$B$4:$B$26,Actions!$F$4:$F$26),"")</f>
        <v/>
      </c>
      <c r="G35" s="410"/>
      <c r="H35" s="808" t="str">
        <f>IF(G35&lt;&gt;0,LOOKUP(G35,Actions!$B$4:$B$26,Actions!$C$4:$C$26),"")</f>
        <v/>
      </c>
      <c r="I35" s="810"/>
      <c r="J35" s="188" t="str">
        <f>IF(G35&lt;&gt;0,LOOKUP(G35,Actions!$B$4:$B$26,Actions!$F$4:$F$26),"")</f>
        <v/>
      </c>
      <c r="K35" s="189"/>
      <c r="L35" s="83"/>
      <c r="M35" s="373"/>
      <c r="N35" s="808" t="str">
        <f>IF(M35&lt;&gt;0,LOOKUP(M35,Actions!$B$4:$B$26,Actions!$C$4:$C$26),"")</f>
        <v/>
      </c>
      <c r="O35" s="809"/>
      <c r="P35" s="188" t="str">
        <f>IF(M35&lt;&gt;0,LOOKUP(M35,Actions!$B$4:$B$26,Actions!$F$4:$F$26),"")</f>
        <v/>
      </c>
      <c r="R35" s="373"/>
      <c r="S35" s="808" t="str">
        <f>IF(R35&lt;&gt;0,LOOKUP(R35,Actions!$B$4:$B$26,Actions!$C$4:$C$26),"")</f>
        <v/>
      </c>
      <c r="T35" s="810"/>
      <c r="U35" s="188" t="str">
        <f>IF(R35&lt;&gt;0,LOOKUP(R35,Actions!$B$4:$B$26,Actions!$F$4:$F$26),"")</f>
        <v/>
      </c>
      <c r="V35" s="189"/>
      <c r="W35" s="83"/>
      <c r="X35" s="390"/>
      <c r="Y35" s="808" t="str">
        <f>IF(X35&lt;&gt;0,LOOKUP(X35,Actions!$B$4:$B$26,Actions!$C$4:$C$26),"")</f>
        <v/>
      </c>
      <c r="Z35" s="809"/>
      <c r="AA35" s="188" t="str">
        <f>IF(X35&lt;&gt;0,LOOKUP(X35,Actions!$B$4:$B$26,Actions!$F$4:$F$26),"")</f>
        <v/>
      </c>
      <c r="AC35" s="390"/>
      <c r="AD35" s="808" t="str">
        <f>IF(AC35&lt;&gt;0,LOOKUP(AC35,Actions!$B$4:$B$26,Actions!$C$4:$C$26),"")</f>
        <v/>
      </c>
      <c r="AE35" s="810"/>
      <c r="AF35" s="188" t="str">
        <f>IF(AC35&lt;&gt;0,LOOKUP(AC35,Actions!$B$4:$B$26,Actions!$F$4:$F$26),"")</f>
        <v/>
      </c>
      <c r="AG35" s="189"/>
      <c r="AH35" s="83"/>
      <c r="AI35" s="175"/>
      <c r="AJ35" s="808" t="str">
        <f>IF(AI35&lt;&gt;0,LOOKUP(AI35,Actions!$B$4:$B$26,Actions!$C$4:$C$26),"")</f>
        <v/>
      </c>
      <c r="AK35" s="809"/>
      <c r="AL35" s="188" t="str">
        <f>IF(AI35&lt;&gt;0,LOOKUP(AI35,Actions!$B$4:$B$26,Actions!$F$4:$F$26),"")</f>
        <v/>
      </c>
      <c r="AM35" s="85"/>
      <c r="AN35" s="175"/>
      <c r="AO35" s="808" t="str">
        <f>IF(AN35&lt;&gt;0,LOOKUP(AN35,Actions!$B$4:$B$26,Actions!$C$4:$C$26),"")</f>
        <v/>
      </c>
      <c r="AP35" s="810"/>
      <c r="AQ35" s="188" t="str">
        <f>IF(AN35&lt;&gt;0,LOOKUP(AN35,Actions!$B$4:$B$26,Actions!$F$4:$F$26),"")</f>
        <v/>
      </c>
      <c r="AR35" s="731"/>
    </row>
    <row r="36" spans="1:44" ht="21.6" customHeight="1" thickBot="1" x14ac:dyDescent="0.3">
      <c r="A36" s="83"/>
      <c r="L36" s="83"/>
      <c r="W36" s="83"/>
      <c r="AH36" s="97"/>
      <c r="AI36" s="98"/>
      <c r="AJ36" s="98"/>
      <c r="AK36" s="98"/>
      <c r="AL36" s="98"/>
      <c r="AM36" s="98"/>
      <c r="AN36" s="98"/>
      <c r="AO36" s="98"/>
      <c r="AP36" s="98"/>
      <c r="AQ36" s="98"/>
      <c r="AR36" s="99"/>
    </row>
    <row r="37" spans="1:44" ht="21.6" customHeight="1" x14ac:dyDescent="0.25">
      <c r="A37" s="79"/>
      <c r="B37" s="717" t="s">
        <v>427</v>
      </c>
      <c r="C37" s="80"/>
      <c r="D37" s="80"/>
      <c r="E37" s="80"/>
      <c r="F37" s="80"/>
      <c r="G37" s="80"/>
      <c r="H37" s="80"/>
      <c r="I37" s="80"/>
      <c r="J37" s="80"/>
      <c r="K37" s="82"/>
      <c r="L37" s="79"/>
      <c r="M37" s="717" t="s">
        <v>427</v>
      </c>
      <c r="N37" s="80"/>
      <c r="O37" s="80"/>
      <c r="P37" s="80"/>
      <c r="Q37" s="80"/>
      <c r="R37" s="80"/>
      <c r="S37" s="80"/>
      <c r="T37" s="80"/>
      <c r="U37" s="80"/>
      <c r="V37" s="82"/>
      <c r="W37" s="79"/>
      <c r="X37" s="717" t="s">
        <v>427</v>
      </c>
      <c r="Y37" s="80"/>
      <c r="Z37" s="80"/>
      <c r="AA37" s="80"/>
      <c r="AB37" s="80"/>
      <c r="AC37" s="80"/>
      <c r="AD37" s="80"/>
      <c r="AE37" s="80"/>
      <c r="AF37" s="80"/>
      <c r="AG37" s="82"/>
      <c r="AH37" s="79"/>
      <c r="AI37" s="717" t="s">
        <v>427</v>
      </c>
      <c r="AJ37" s="80"/>
      <c r="AK37" s="80"/>
      <c r="AL37" s="80"/>
      <c r="AM37" s="80"/>
      <c r="AN37" s="80"/>
      <c r="AO37" s="80"/>
      <c r="AP37" s="80"/>
      <c r="AQ37" s="80"/>
      <c r="AR37" s="82"/>
    </row>
    <row r="38" spans="1:44" ht="21.6" customHeight="1" thickBot="1" x14ac:dyDescent="0.3">
      <c r="A38" s="83"/>
      <c r="B38" s="89"/>
      <c r="C38" s="90"/>
      <c r="D38" s="91" t="s">
        <v>64</v>
      </c>
      <c r="E38" s="91" t="s">
        <v>65</v>
      </c>
      <c r="F38" s="91" t="s">
        <v>66</v>
      </c>
      <c r="G38" s="85"/>
      <c r="H38" s="85"/>
      <c r="I38" s="85"/>
      <c r="J38" s="85"/>
      <c r="K38" s="88"/>
      <c r="L38" s="83"/>
      <c r="M38" s="89"/>
      <c r="N38" s="90"/>
      <c r="O38" s="91" t="s">
        <v>64</v>
      </c>
      <c r="P38" s="91" t="s">
        <v>65</v>
      </c>
      <c r="Q38" s="91" t="s">
        <v>66</v>
      </c>
      <c r="R38" s="85"/>
      <c r="S38" s="85"/>
      <c r="T38" s="85"/>
      <c r="U38" s="85"/>
      <c r="V38" s="88"/>
      <c r="W38" s="83"/>
      <c r="X38" s="89"/>
      <c r="Y38" s="90"/>
      <c r="Z38" s="91" t="s">
        <v>64</v>
      </c>
      <c r="AA38" s="91" t="s">
        <v>65</v>
      </c>
      <c r="AB38" s="91" t="s">
        <v>66</v>
      </c>
      <c r="AC38" s="85"/>
      <c r="AD38" s="85"/>
      <c r="AE38" s="85"/>
      <c r="AF38" s="85"/>
      <c r="AG38" s="88"/>
      <c r="AH38" s="83"/>
      <c r="AI38" s="89"/>
      <c r="AJ38" s="90"/>
      <c r="AK38" s="91" t="s">
        <v>64</v>
      </c>
      <c r="AL38" s="91" t="s">
        <v>65</v>
      </c>
      <c r="AM38" s="91" t="s">
        <v>66</v>
      </c>
      <c r="AN38" s="85"/>
      <c r="AO38" s="85"/>
      <c r="AP38" s="85"/>
      <c r="AQ38" s="85"/>
      <c r="AR38" s="88"/>
    </row>
    <row r="39" spans="1:44" ht="27.6" customHeight="1" thickBot="1" x14ac:dyDescent="0.3">
      <c r="A39" s="83"/>
      <c r="B39" s="92" t="s">
        <v>213</v>
      </c>
      <c r="C39" s="84"/>
      <c r="D39" s="406">
        <v>0.4</v>
      </c>
      <c r="E39" s="407">
        <v>0.3</v>
      </c>
      <c r="F39" s="408">
        <v>0.3</v>
      </c>
      <c r="G39" s="85"/>
      <c r="H39" s="313">
        <f>SUM(D39:F39)</f>
        <v>1</v>
      </c>
      <c r="I39" s="85"/>
      <c r="J39" s="85"/>
      <c r="K39" s="88"/>
      <c r="L39" s="83"/>
      <c r="M39" s="92" t="s">
        <v>213</v>
      </c>
      <c r="N39" s="84"/>
      <c r="O39" s="369">
        <v>0.5</v>
      </c>
      <c r="P39" s="370">
        <v>0.3</v>
      </c>
      <c r="Q39" s="371">
        <v>0.2</v>
      </c>
      <c r="R39" s="85"/>
      <c r="S39" s="313">
        <f>SUM(O39:Q39)</f>
        <v>1</v>
      </c>
      <c r="T39" s="85"/>
      <c r="U39" s="85"/>
      <c r="V39" s="88"/>
      <c r="W39" s="83"/>
      <c r="X39" s="92" t="s">
        <v>213</v>
      </c>
      <c r="Y39" s="84"/>
      <c r="Z39" s="386">
        <v>0.45</v>
      </c>
      <c r="AA39" s="387">
        <v>0.35</v>
      </c>
      <c r="AB39" s="388">
        <v>0.2</v>
      </c>
      <c r="AC39" s="85"/>
      <c r="AD39" s="313">
        <f>SUM(Z39:AB39)</f>
        <v>1</v>
      </c>
      <c r="AE39" s="85"/>
      <c r="AF39" s="85"/>
      <c r="AG39" s="88"/>
      <c r="AH39" s="83"/>
      <c r="AI39" s="92" t="s">
        <v>213</v>
      </c>
      <c r="AJ39" s="84"/>
      <c r="AK39" s="183">
        <v>0.55000000000000004</v>
      </c>
      <c r="AL39" s="184">
        <v>0.35</v>
      </c>
      <c r="AM39" s="185">
        <v>0.1</v>
      </c>
      <c r="AN39" s="85"/>
      <c r="AO39" s="313">
        <f>SUM(AK39:AM39)</f>
        <v>1</v>
      </c>
      <c r="AP39" s="85"/>
      <c r="AQ39" s="85"/>
      <c r="AR39" s="88"/>
    </row>
    <row r="40" spans="1:44" ht="15" customHeight="1" thickBot="1" x14ac:dyDescent="0.3">
      <c r="A40" s="83"/>
      <c r="B40" s="85"/>
      <c r="C40" s="85"/>
      <c r="D40" s="85"/>
      <c r="E40" s="85"/>
      <c r="F40" s="85"/>
      <c r="G40" s="85"/>
      <c r="H40" s="85"/>
      <c r="I40" s="85"/>
      <c r="J40" s="85"/>
      <c r="K40" s="88"/>
      <c r="L40" s="83"/>
      <c r="M40" s="85"/>
      <c r="N40" s="85"/>
      <c r="O40" s="85"/>
      <c r="P40" s="85"/>
      <c r="Q40" s="85"/>
      <c r="R40" s="85"/>
      <c r="S40" s="85"/>
      <c r="T40" s="85"/>
      <c r="U40" s="85"/>
      <c r="V40" s="88"/>
      <c r="W40" s="83"/>
      <c r="X40" s="85"/>
      <c r="Y40" s="85"/>
      <c r="Z40" s="85"/>
      <c r="AA40" s="85"/>
      <c r="AB40" s="85"/>
      <c r="AC40" s="85"/>
      <c r="AD40" s="85"/>
      <c r="AE40" s="85"/>
      <c r="AF40" s="85"/>
      <c r="AG40" s="88"/>
      <c r="AH40" s="83"/>
      <c r="AI40" s="85"/>
      <c r="AJ40" s="85"/>
      <c r="AK40" s="85"/>
      <c r="AL40" s="85"/>
      <c r="AM40" s="85"/>
      <c r="AN40" s="85"/>
      <c r="AO40" s="85"/>
      <c r="AP40" s="85"/>
      <c r="AQ40" s="85"/>
      <c r="AR40" s="88"/>
    </row>
    <row r="41" spans="1:44" ht="27.6" customHeight="1" thickBot="1" x14ac:dyDescent="0.3">
      <c r="A41" s="83"/>
      <c r="B41" s="92" t="s">
        <v>205</v>
      </c>
      <c r="C41" s="85"/>
      <c r="D41" s="85"/>
      <c r="E41" s="412">
        <v>0.12</v>
      </c>
      <c r="F41" s="22" t="s">
        <v>426</v>
      </c>
      <c r="G41" s="85"/>
      <c r="H41" s="85"/>
      <c r="I41" s="85"/>
      <c r="J41" s="85"/>
      <c r="K41" s="88"/>
      <c r="L41" s="83"/>
      <c r="M41" s="92" t="s">
        <v>205</v>
      </c>
      <c r="N41" s="85"/>
      <c r="O41" s="85"/>
      <c r="P41" s="375">
        <v>0.16</v>
      </c>
      <c r="Q41" s="22" t="s">
        <v>426</v>
      </c>
      <c r="R41" s="85"/>
      <c r="S41" s="85"/>
      <c r="T41" s="85"/>
      <c r="U41" s="85"/>
      <c r="V41" s="88"/>
      <c r="W41" s="83"/>
      <c r="X41" s="92" t="s">
        <v>205</v>
      </c>
      <c r="Y41" s="85"/>
      <c r="Z41" s="85"/>
      <c r="AA41" s="392">
        <v>0.13</v>
      </c>
      <c r="AB41" s="22" t="s">
        <v>426</v>
      </c>
      <c r="AC41" s="85"/>
      <c r="AD41" s="85"/>
      <c r="AE41" s="85"/>
      <c r="AF41" s="85"/>
      <c r="AG41" s="88"/>
      <c r="AH41" s="83"/>
      <c r="AI41" s="92" t="s">
        <v>205</v>
      </c>
      <c r="AJ41" s="85"/>
      <c r="AK41" s="85"/>
      <c r="AL41" s="177">
        <v>0.15</v>
      </c>
      <c r="AM41" s="22" t="s">
        <v>426</v>
      </c>
      <c r="AN41" s="85"/>
      <c r="AO41" s="85"/>
      <c r="AP41" s="85"/>
      <c r="AQ41" s="85"/>
      <c r="AR41" s="88"/>
    </row>
    <row r="42" spans="1:44" ht="15" customHeight="1" thickBot="1" x14ac:dyDescent="0.3">
      <c r="A42" s="97"/>
      <c r="B42" s="98"/>
      <c r="C42" s="98"/>
      <c r="D42" s="98"/>
      <c r="E42" s="98"/>
      <c r="F42" s="98"/>
      <c r="G42" s="98"/>
      <c r="H42" s="98"/>
      <c r="I42" s="98"/>
      <c r="J42" s="98"/>
      <c r="K42" s="99"/>
      <c r="L42" s="97"/>
      <c r="M42" s="98"/>
      <c r="N42" s="98"/>
      <c r="O42" s="98"/>
      <c r="P42" s="98"/>
      <c r="Q42" s="98"/>
      <c r="R42" s="98"/>
      <c r="S42" s="98"/>
      <c r="T42" s="98"/>
      <c r="U42" s="98"/>
      <c r="V42" s="99"/>
      <c r="W42" s="97"/>
      <c r="X42" s="98"/>
      <c r="Y42" s="98"/>
      <c r="Z42" s="98"/>
      <c r="AA42" s="98"/>
      <c r="AB42" s="98"/>
      <c r="AC42" s="98"/>
      <c r="AD42" s="98"/>
      <c r="AE42" s="98"/>
      <c r="AF42" s="98"/>
      <c r="AG42" s="99"/>
      <c r="AH42" s="97"/>
      <c r="AI42" s="98"/>
      <c r="AJ42" s="98"/>
      <c r="AK42" s="98"/>
      <c r="AL42" s="98"/>
      <c r="AM42" s="98"/>
      <c r="AN42" s="98"/>
      <c r="AO42" s="98"/>
      <c r="AP42" s="98"/>
      <c r="AQ42" s="98"/>
      <c r="AR42" s="99"/>
    </row>
    <row r="43" spans="1:44" ht="21.6" customHeight="1" thickBot="1" x14ac:dyDescent="0.3">
      <c r="A43" s="817" t="s">
        <v>64</v>
      </c>
      <c r="B43" s="818"/>
      <c r="C43" s="818"/>
      <c r="D43" s="818"/>
      <c r="E43" s="818"/>
      <c r="F43" s="818"/>
      <c r="G43" s="818"/>
      <c r="H43" s="818"/>
      <c r="I43" s="818"/>
      <c r="J43" s="818"/>
      <c r="K43" s="819"/>
      <c r="L43" s="817" t="s">
        <v>64</v>
      </c>
      <c r="M43" s="818"/>
      <c r="N43" s="818"/>
      <c r="O43" s="818"/>
      <c r="P43" s="818"/>
      <c r="Q43" s="818"/>
      <c r="R43" s="818"/>
      <c r="S43" s="818"/>
      <c r="T43" s="818"/>
      <c r="U43" s="818"/>
      <c r="V43" s="819"/>
      <c r="W43" s="817" t="s">
        <v>64</v>
      </c>
      <c r="X43" s="818"/>
      <c r="Y43" s="818"/>
      <c r="Z43" s="818"/>
      <c r="AA43" s="818"/>
      <c r="AB43" s="818"/>
      <c r="AC43" s="818"/>
      <c r="AD43" s="818"/>
      <c r="AE43" s="818"/>
      <c r="AF43" s="818"/>
      <c r="AG43" s="819"/>
      <c r="AH43" s="817" t="s">
        <v>64</v>
      </c>
      <c r="AI43" s="818"/>
      <c r="AJ43" s="818"/>
      <c r="AK43" s="818"/>
      <c r="AL43" s="818"/>
      <c r="AM43" s="818"/>
      <c r="AN43" s="818"/>
      <c r="AO43" s="818"/>
      <c r="AP43" s="818"/>
      <c r="AQ43" s="818"/>
      <c r="AR43" s="819"/>
    </row>
    <row r="44" spans="1:44" ht="16.2" customHeight="1" thickBot="1" x14ac:dyDescent="0.3">
      <c r="A44" s="79"/>
      <c r="B44" s="53"/>
      <c r="C44" s="53"/>
      <c r="D44" s="80"/>
      <c r="E44" s="80"/>
      <c r="F44" s="80"/>
      <c r="G44" s="80"/>
      <c r="H44" s="80"/>
      <c r="J44" s="80"/>
      <c r="K44" s="82"/>
      <c r="L44" s="79"/>
      <c r="M44" s="53"/>
      <c r="N44" s="53"/>
      <c r="O44" s="80"/>
      <c r="P44" s="80"/>
      <c r="Q44" s="80"/>
      <c r="R44" s="80"/>
      <c r="S44" s="80"/>
      <c r="U44" s="80"/>
      <c r="V44" s="82"/>
      <c r="W44" s="79"/>
      <c r="X44" s="53"/>
      <c r="Y44" s="53"/>
      <c r="Z44" s="80"/>
      <c r="AA44" s="80"/>
      <c r="AB44" s="80"/>
      <c r="AC44" s="80"/>
      <c r="AD44" s="80"/>
      <c r="AF44" s="80"/>
      <c r="AG44" s="82"/>
      <c r="AH44" s="79"/>
      <c r="AI44" s="53"/>
      <c r="AJ44" s="53"/>
      <c r="AK44" s="80"/>
      <c r="AL44" s="80"/>
      <c r="AM44" s="80"/>
      <c r="AN44" s="80"/>
      <c r="AO44" s="80"/>
      <c r="AQ44" s="80"/>
      <c r="AR44" s="82"/>
    </row>
    <row r="45" spans="1:44" ht="21.6" customHeight="1" thickBot="1" x14ac:dyDescent="0.3">
      <c r="A45" s="83"/>
      <c r="B45" s="93" t="s">
        <v>14</v>
      </c>
      <c r="C45" s="52"/>
      <c r="D45" s="412">
        <v>0.2</v>
      </c>
      <c r="E45" s="85"/>
      <c r="F45" s="760" t="s">
        <v>220</v>
      </c>
      <c r="G45" s="85"/>
      <c r="H45" s="85"/>
      <c r="I45" s="797" t="s">
        <v>222</v>
      </c>
      <c r="J45" s="85"/>
      <c r="K45" s="88"/>
      <c r="L45" s="83"/>
      <c r="M45" s="93" t="s">
        <v>14</v>
      </c>
      <c r="N45" s="52"/>
      <c r="O45" s="375">
        <v>0.15</v>
      </c>
      <c r="P45" s="85"/>
      <c r="Q45" s="760" t="s">
        <v>220</v>
      </c>
      <c r="R45" s="85"/>
      <c r="S45" s="85"/>
      <c r="T45" s="797" t="s">
        <v>222</v>
      </c>
      <c r="U45" s="85"/>
      <c r="V45" s="88"/>
      <c r="W45" s="83"/>
      <c r="X45" s="93" t="s">
        <v>14</v>
      </c>
      <c r="Y45" s="52"/>
      <c r="Z45" s="392">
        <v>0.1</v>
      </c>
      <c r="AA45" s="85"/>
      <c r="AB45" s="760" t="s">
        <v>220</v>
      </c>
      <c r="AC45" s="85"/>
      <c r="AD45" s="85"/>
      <c r="AE45" s="797" t="s">
        <v>222</v>
      </c>
      <c r="AF45" s="85"/>
      <c r="AG45" s="88"/>
      <c r="AH45" s="83"/>
      <c r="AI45" s="93" t="s">
        <v>14</v>
      </c>
      <c r="AJ45" s="52"/>
      <c r="AK45" s="177">
        <v>0.1</v>
      </c>
      <c r="AL45" s="85"/>
      <c r="AM45" s="760" t="s">
        <v>220</v>
      </c>
      <c r="AN45" s="85"/>
      <c r="AO45" s="85"/>
      <c r="AP45" s="797" t="s">
        <v>222</v>
      </c>
      <c r="AQ45" s="85"/>
      <c r="AR45" s="88"/>
    </row>
    <row r="46" spans="1:44" ht="22.2" customHeight="1" thickBot="1" x14ac:dyDescent="0.3">
      <c r="A46" s="83"/>
      <c r="B46" s="93" t="s">
        <v>221</v>
      </c>
      <c r="C46" s="85"/>
      <c r="D46" s="100"/>
      <c r="E46" s="760" t="s">
        <v>86</v>
      </c>
      <c r="F46" s="758" t="s">
        <v>324</v>
      </c>
      <c r="G46" s="760" t="s">
        <v>323</v>
      </c>
      <c r="H46" s="85"/>
      <c r="I46" s="798"/>
      <c r="J46" s="760" t="s">
        <v>124</v>
      </c>
      <c r="K46" s="191"/>
      <c r="L46" s="83"/>
      <c r="M46" s="93" t="s">
        <v>221</v>
      </c>
      <c r="N46" s="85"/>
      <c r="O46" s="100"/>
      <c r="P46" s="760" t="s">
        <v>86</v>
      </c>
      <c r="Q46" s="758" t="s">
        <v>324</v>
      </c>
      <c r="R46" s="760" t="s">
        <v>323</v>
      </c>
      <c r="S46" s="85"/>
      <c r="T46" s="798"/>
      <c r="U46" s="760" t="s">
        <v>124</v>
      </c>
      <c r="V46" s="191"/>
      <c r="W46" s="83"/>
      <c r="X46" s="93" t="s">
        <v>221</v>
      </c>
      <c r="Y46" s="85"/>
      <c r="Z46" s="100"/>
      <c r="AA46" s="760" t="s">
        <v>86</v>
      </c>
      <c r="AB46" s="758" t="s">
        <v>324</v>
      </c>
      <c r="AC46" s="760" t="s">
        <v>323</v>
      </c>
      <c r="AD46" s="85"/>
      <c r="AE46" s="798"/>
      <c r="AF46" s="760" t="s">
        <v>124</v>
      </c>
      <c r="AG46" s="191"/>
      <c r="AH46" s="83"/>
      <c r="AI46" s="93" t="s">
        <v>221</v>
      </c>
      <c r="AJ46" s="85"/>
      <c r="AK46" s="100"/>
      <c r="AL46" s="760" t="s">
        <v>86</v>
      </c>
      <c r="AM46" s="758" t="s">
        <v>324</v>
      </c>
      <c r="AN46" s="760" t="s">
        <v>323</v>
      </c>
      <c r="AO46" s="85"/>
      <c r="AP46" s="798"/>
      <c r="AQ46" s="760" t="s">
        <v>124</v>
      </c>
      <c r="AR46" s="88"/>
    </row>
    <row r="47" spans="1:44" ht="25.2" customHeight="1" x14ac:dyDescent="0.25">
      <c r="A47" s="83"/>
      <c r="B47" s="12" t="str">
        <f>B20</f>
        <v>Collecte</v>
      </c>
      <c r="C47" s="54" t="str">
        <f>C20</f>
        <v>Court terme</v>
      </c>
      <c r="D47" s="416">
        <v>0.15</v>
      </c>
      <c r="E47" s="318">
        <f>Scénario!D3</f>
        <v>0.2</v>
      </c>
      <c r="F47" s="311">
        <f>Calcul!C57</f>
        <v>1</v>
      </c>
      <c r="G47" s="419"/>
      <c r="H47" s="94"/>
      <c r="I47" s="416">
        <v>0.15</v>
      </c>
      <c r="J47" s="168">
        <f>IF(D47&lt;&gt;0,Constantes!$E10,0)</f>
        <v>7.0000000000000007E-2</v>
      </c>
      <c r="K47" s="322"/>
      <c r="L47" s="83"/>
      <c r="M47" s="12" t="str">
        <f>M20</f>
        <v>Collecte</v>
      </c>
      <c r="N47" s="54" t="str">
        <f>N20</f>
        <v>Court terme</v>
      </c>
      <c r="O47" s="379">
        <v>0.15</v>
      </c>
      <c r="P47" s="318">
        <f>Scénario!E3</f>
        <v>0.2</v>
      </c>
      <c r="Q47" s="311">
        <f>Calcul!N57</f>
        <v>1</v>
      </c>
      <c r="R47" s="382"/>
      <c r="S47" s="94"/>
      <c r="T47" s="379">
        <v>0.15</v>
      </c>
      <c r="U47" s="168">
        <f>IF(O47&lt;&gt;0,Constantes!$E10,0)</f>
        <v>7.0000000000000007E-2</v>
      </c>
      <c r="V47" s="322"/>
      <c r="W47" s="83"/>
      <c r="X47" s="12" t="str">
        <f>X20</f>
        <v>Collecte</v>
      </c>
      <c r="Y47" s="54" t="str">
        <f>Y20</f>
        <v>Court terme</v>
      </c>
      <c r="Z47" s="396">
        <v>0.1</v>
      </c>
      <c r="AA47" s="318">
        <f>Scénario!F3</f>
        <v>0.3</v>
      </c>
      <c r="AB47" s="311">
        <f>Calcul!Y57</f>
        <v>1</v>
      </c>
      <c r="AC47" s="399">
        <v>1</v>
      </c>
      <c r="AD47" s="94"/>
      <c r="AE47" s="396">
        <v>0.15</v>
      </c>
      <c r="AF47" s="168">
        <f>IF(Z47&lt;&gt;0,Constantes!$E10,0)</f>
        <v>7.0000000000000007E-2</v>
      </c>
      <c r="AG47" s="322"/>
      <c r="AH47" s="83"/>
      <c r="AI47" s="12" t="str">
        <f>AI20</f>
        <v>Collecte</v>
      </c>
      <c r="AJ47" s="54" t="str">
        <f>AJ20</f>
        <v>Court terme</v>
      </c>
      <c r="AK47" s="178">
        <v>0.1</v>
      </c>
      <c r="AL47" s="318">
        <f>Scénario!G3</f>
        <v>0.2</v>
      </c>
      <c r="AM47" s="311">
        <f>Calcul!AJ57</f>
        <v>1</v>
      </c>
      <c r="AN47" s="319"/>
      <c r="AO47" s="94"/>
      <c r="AP47" s="178">
        <v>0.15</v>
      </c>
      <c r="AQ47" s="168">
        <f>IF(AK47&lt;&gt;0,Constantes!$E10,0)</f>
        <v>7.0000000000000007E-2</v>
      </c>
      <c r="AR47" s="88"/>
    </row>
    <row r="48" spans="1:44" ht="25.2" customHeight="1" thickBot="1" x14ac:dyDescent="0.3">
      <c r="A48" s="83"/>
      <c r="B48" s="15"/>
      <c r="C48" s="56" t="str">
        <f t="shared" ref="C48:C56" si="3">C21</f>
        <v>Moyen et long terme</v>
      </c>
      <c r="D48" s="417"/>
      <c r="E48" s="318">
        <f>Scénario!D4</f>
        <v>0</v>
      </c>
      <c r="F48" s="311">
        <f>Calcul!C58</f>
        <v>0</v>
      </c>
      <c r="G48" s="420">
        <v>1</v>
      </c>
      <c r="H48" s="22"/>
      <c r="I48" s="417"/>
      <c r="J48" s="168">
        <f>IF(D48&lt;&gt;0,Constantes!$E11,0)</f>
        <v>0</v>
      </c>
      <c r="K48" s="322"/>
      <c r="L48" s="83"/>
      <c r="M48" s="15"/>
      <c r="N48" s="56" t="str">
        <f t="shared" ref="N48:N56" si="4">N21</f>
        <v>Moyen et long terme</v>
      </c>
      <c r="O48" s="380">
        <v>0.1</v>
      </c>
      <c r="P48" s="318">
        <f>Scénario!E4</f>
        <v>0.1</v>
      </c>
      <c r="Q48" s="311">
        <f>Calcul!N58</f>
        <v>0</v>
      </c>
      <c r="R48" s="383"/>
      <c r="S48" s="22"/>
      <c r="T48" s="380">
        <v>0.2</v>
      </c>
      <c r="U48" s="168">
        <f>IF(O48&lt;&gt;0,Constantes!$E11,0)</f>
        <v>0.12</v>
      </c>
      <c r="V48" s="322"/>
      <c r="W48" s="83"/>
      <c r="X48" s="15"/>
      <c r="Y48" s="56" t="str">
        <f t="shared" ref="Y48:Y56" si="5">Y21</f>
        <v>Moyen et long terme</v>
      </c>
      <c r="Z48" s="397">
        <v>0.1</v>
      </c>
      <c r="AA48" s="318">
        <f>Scénario!F4</f>
        <v>0.15</v>
      </c>
      <c r="AB48" s="311">
        <f>Calcul!Y58</f>
        <v>1</v>
      </c>
      <c r="AC48" s="400"/>
      <c r="AD48" s="22"/>
      <c r="AE48" s="397">
        <v>0.2</v>
      </c>
      <c r="AF48" s="168">
        <f>IF(Z48&lt;&gt;0,Constantes!$E11,0)</f>
        <v>0.12</v>
      </c>
      <c r="AG48" s="322"/>
      <c r="AH48" s="83"/>
      <c r="AI48" s="15"/>
      <c r="AJ48" s="56" t="str">
        <f t="shared" ref="AJ48:AJ56" si="6">AJ21</f>
        <v>Moyen et long terme</v>
      </c>
      <c r="AK48" s="179">
        <v>0.1</v>
      </c>
      <c r="AL48" s="318">
        <f>Scénario!G4</f>
        <v>0.1</v>
      </c>
      <c r="AM48" s="311">
        <f>Calcul!AJ58</f>
        <v>1</v>
      </c>
      <c r="AN48" s="320"/>
      <c r="AO48" s="22"/>
      <c r="AP48" s="179">
        <v>0.2</v>
      </c>
      <c r="AQ48" s="168">
        <f>IF(AK48&lt;&gt;0,Constantes!$E11,0)</f>
        <v>0.12</v>
      </c>
      <c r="AR48" s="88"/>
    </row>
    <row r="49" spans="1:44" ht="25.2" customHeight="1" x14ac:dyDescent="0.25">
      <c r="A49" s="83"/>
      <c r="B49" s="12" t="str">
        <f>B22</f>
        <v>Crédit</v>
      </c>
      <c r="C49" s="54" t="str">
        <f t="shared" si="3"/>
        <v>Immobilier</v>
      </c>
      <c r="D49" s="416"/>
      <c r="E49" s="318">
        <f>Scénario!D5</f>
        <v>0</v>
      </c>
      <c r="F49" s="311">
        <f>Calcul!C59</f>
        <v>0</v>
      </c>
      <c r="G49" s="419"/>
      <c r="H49" s="85"/>
      <c r="I49" s="416"/>
      <c r="J49" s="168">
        <f>IF(D49&lt;&gt;0,Constantes!$E12,0)</f>
        <v>0</v>
      </c>
      <c r="K49" s="322"/>
      <c r="L49" s="83"/>
      <c r="M49" s="12" t="str">
        <f>M22</f>
        <v>Crédit</v>
      </c>
      <c r="N49" s="54" t="str">
        <f t="shared" si="4"/>
        <v>Immobilier</v>
      </c>
      <c r="O49" s="379"/>
      <c r="P49" s="318">
        <f>Scénario!E5</f>
        <v>0.25</v>
      </c>
      <c r="Q49" s="311">
        <f>Calcul!N59</f>
        <v>0</v>
      </c>
      <c r="R49" s="382">
        <v>1</v>
      </c>
      <c r="S49" s="85"/>
      <c r="T49" s="379"/>
      <c r="U49" s="168">
        <f>IF(O49&lt;&gt;0,Constantes!$E12,0)</f>
        <v>0</v>
      </c>
      <c r="V49" s="322"/>
      <c r="W49" s="83"/>
      <c r="X49" s="12" t="str">
        <f>X22</f>
        <v>Crédit</v>
      </c>
      <c r="Y49" s="54" t="str">
        <f t="shared" si="5"/>
        <v>Immobilier</v>
      </c>
      <c r="Z49" s="396">
        <v>0.05</v>
      </c>
      <c r="AA49" s="318">
        <f>Scénario!F5</f>
        <v>0.05</v>
      </c>
      <c r="AB49" s="311">
        <f>Calcul!Y59</f>
        <v>0</v>
      </c>
      <c r="AC49" s="399"/>
      <c r="AD49" s="85"/>
      <c r="AE49" s="396">
        <v>0.25</v>
      </c>
      <c r="AF49" s="168">
        <f>IF(Z49&lt;&gt;0,Constantes!$E12,0)</f>
        <v>0.15</v>
      </c>
      <c r="AG49" s="322"/>
      <c r="AH49" s="83"/>
      <c r="AI49" s="12" t="str">
        <f>AI22</f>
        <v>Crédit</v>
      </c>
      <c r="AJ49" s="54" t="str">
        <f t="shared" si="6"/>
        <v>Immobilier</v>
      </c>
      <c r="AK49" s="178">
        <v>0.1</v>
      </c>
      <c r="AL49" s="318">
        <f>Scénario!G5</f>
        <v>0.1</v>
      </c>
      <c r="AM49" s="311">
        <f>Calcul!AJ59</f>
        <v>1</v>
      </c>
      <c r="AN49" s="319"/>
      <c r="AO49" s="85"/>
      <c r="AP49" s="178">
        <v>0.25</v>
      </c>
      <c r="AQ49" s="168">
        <f>IF(AK49&lt;&gt;0,Constantes!$E12,0)</f>
        <v>0.15</v>
      </c>
      <c r="AR49" s="88"/>
    </row>
    <row r="50" spans="1:44" ht="25.2" customHeight="1" x14ac:dyDescent="0.25">
      <c r="A50" s="83"/>
      <c r="B50" s="17"/>
      <c r="C50" s="57" t="str">
        <f t="shared" si="3"/>
        <v>Consommation</v>
      </c>
      <c r="D50" s="418">
        <v>0.1</v>
      </c>
      <c r="E50" s="318">
        <f>Scénario!D6</f>
        <v>0.1</v>
      </c>
      <c r="F50" s="311">
        <f>Calcul!C60</f>
        <v>1</v>
      </c>
      <c r="G50" s="421"/>
      <c r="H50" s="85"/>
      <c r="I50" s="418">
        <v>0.15</v>
      </c>
      <c r="J50" s="168">
        <f>IF(D50&lt;&gt;0,Constantes!$E13,0)</f>
        <v>7.0000000000000007E-2</v>
      </c>
      <c r="K50" s="322"/>
      <c r="L50" s="83"/>
      <c r="M50" s="17"/>
      <c r="N50" s="57" t="str">
        <f t="shared" si="4"/>
        <v>Consommation</v>
      </c>
      <c r="O50" s="381">
        <v>0.1</v>
      </c>
      <c r="P50" s="318">
        <f>Scénario!E6</f>
        <v>0.1</v>
      </c>
      <c r="Q50" s="311">
        <f>Calcul!N60</f>
        <v>1</v>
      </c>
      <c r="R50" s="384"/>
      <c r="S50" s="85"/>
      <c r="T50" s="381">
        <v>0.15</v>
      </c>
      <c r="U50" s="168">
        <f>IF(O50&lt;&gt;0,Constantes!$E13,0)</f>
        <v>7.0000000000000007E-2</v>
      </c>
      <c r="V50" s="322"/>
      <c r="W50" s="83"/>
      <c r="X50" s="17"/>
      <c r="Y50" s="57" t="str">
        <f t="shared" si="5"/>
        <v>Consommation</v>
      </c>
      <c r="Z50" s="398">
        <v>0.1</v>
      </c>
      <c r="AA50" s="318">
        <f>Scénario!F6</f>
        <v>0.15</v>
      </c>
      <c r="AB50" s="311">
        <f>Calcul!Y60</f>
        <v>1</v>
      </c>
      <c r="AC50" s="401"/>
      <c r="AD50" s="85"/>
      <c r="AE50" s="398">
        <v>0.15</v>
      </c>
      <c r="AF50" s="168">
        <f>IF(Z50&lt;&gt;0,Constantes!$E13,0)</f>
        <v>7.0000000000000007E-2</v>
      </c>
      <c r="AG50" s="322"/>
      <c r="AH50" s="83"/>
      <c r="AI50" s="17"/>
      <c r="AJ50" s="57" t="str">
        <f t="shared" si="6"/>
        <v>Consommation</v>
      </c>
      <c r="AK50" s="180">
        <v>0.05</v>
      </c>
      <c r="AL50" s="318">
        <f>Scénario!G6</f>
        <v>0.15</v>
      </c>
      <c r="AM50" s="311">
        <f>Calcul!AJ60</f>
        <v>1</v>
      </c>
      <c r="AN50" s="321">
        <v>1</v>
      </c>
      <c r="AO50" s="85"/>
      <c r="AP50" s="180">
        <v>0.15</v>
      </c>
      <c r="AQ50" s="168">
        <f>IF(AK50&lt;&gt;0,Constantes!$E13,0)</f>
        <v>7.0000000000000007E-2</v>
      </c>
      <c r="AR50" s="88"/>
    </row>
    <row r="51" spans="1:44" ht="25.2" customHeight="1" thickBot="1" x14ac:dyDescent="0.3">
      <c r="A51" s="83"/>
      <c r="B51" s="15"/>
      <c r="C51" s="56" t="str">
        <f t="shared" si="3"/>
        <v>Renouvelable</v>
      </c>
      <c r="D51" s="417">
        <v>0.1</v>
      </c>
      <c r="E51" s="318">
        <f>Scénario!D7</f>
        <v>0.1</v>
      </c>
      <c r="F51" s="311">
        <f>Calcul!C61</f>
        <v>0</v>
      </c>
      <c r="G51" s="420"/>
      <c r="H51" s="85"/>
      <c r="I51" s="417">
        <v>0.1</v>
      </c>
      <c r="J51" s="168">
        <f>IF(D51&lt;&gt;0,Constantes!$E14,0)</f>
        <v>0.03</v>
      </c>
      <c r="K51" s="322"/>
      <c r="L51" s="83"/>
      <c r="M51" s="15"/>
      <c r="N51" s="56" t="str">
        <f t="shared" si="4"/>
        <v>Renouvelable</v>
      </c>
      <c r="O51" s="380">
        <v>0.1</v>
      </c>
      <c r="P51" s="318">
        <f>Scénario!E7</f>
        <v>0.15</v>
      </c>
      <c r="Q51" s="311">
        <f>Calcul!N61</f>
        <v>1</v>
      </c>
      <c r="R51" s="383"/>
      <c r="S51" s="85"/>
      <c r="T51" s="380">
        <v>0.1</v>
      </c>
      <c r="U51" s="168">
        <f>IF(O51&lt;&gt;0,Constantes!$E14,0)</f>
        <v>0.03</v>
      </c>
      <c r="V51" s="322"/>
      <c r="W51" s="83"/>
      <c r="X51" s="15"/>
      <c r="Y51" s="56" t="str">
        <f t="shared" si="5"/>
        <v>Renouvelable</v>
      </c>
      <c r="Z51" s="397">
        <v>0.15</v>
      </c>
      <c r="AA51" s="318">
        <f>Scénario!F7</f>
        <v>0.15</v>
      </c>
      <c r="AB51" s="311">
        <f>Calcul!Y61</f>
        <v>1</v>
      </c>
      <c r="AC51" s="400"/>
      <c r="AD51" s="85"/>
      <c r="AE51" s="397">
        <v>0.1</v>
      </c>
      <c r="AF51" s="168">
        <f>IF(Z51&lt;&gt;0,Constantes!$E14,0)</f>
        <v>0.03</v>
      </c>
      <c r="AG51" s="322"/>
      <c r="AH51" s="83"/>
      <c r="AI51" s="15"/>
      <c r="AJ51" s="56" t="str">
        <f t="shared" si="6"/>
        <v>Renouvelable</v>
      </c>
      <c r="AK51" s="179">
        <v>0.1</v>
      </c>
      <c r="AL51" s="318">
        <f>Scénario!G7</f>
        <v>0.15</v>
      </c>
      <c r="AM51" s="311">
        <f>Calcul!AJ61</f>
        <v>1</v>
      </c>
      <c r="AN51" s="320"/>
      <c r="AO51" s="85"/>
      <c r="AP51" s="179">
        <v>0.1</v>
      </c>
      <c r="AQ51" s="168">
        <f>IF(AK51&lt;&gt;0,Constantes!$E14,0)</f>
        <v>0.03</v>
      </c>
      <c r="AR51" s="88"/>
    </row>
    <row r="52" spans="1:44" ht="25.2" customHeight="1" x14ac:dyDescent="0.25">
      <c r="A52" s="83"/>
      <c r="B52" s="12" t="str">
        <f>B25</f>
        <v>Assurance</v>
      </c>
      <c r="C52" s="54" t="str">
        <f t="shared" si="3"/>
        <v>IARD</v>
      </c>
      <c r="D52" s="416"/>
      <c r="E52" s="318">
        <f>Scénario!D8</f>
        <v>0</v>
      </c>
      <c r="F52" s="311">
        <f>Calcul!C62</f>
        <v>0</v>
      </c>
      <c r="G52" s="419"/>
      <c r="H52" s="85"/>
      <c r="I52" s="416"/>
      <c r="J52" s="168">
        <f>IF(D52&lt;&gt;0,Constantes!$E15,0)</f>
        <v>0</v>
      </c>
      <c r="K52" s="322"/>
      <c r="L52" s="83"/>
      <c r="M52" s="12" t="str">
        <f>M25</f>
        <v>Assurance</v>
      </c>
      <c r="N52" s="54" t="str">
        <f t="shared" si="4"/>
        <v>IARD</v>
      </c>
      <c r="O52" s="379"/>
      <c r="P52" s="318">
        <f>Scénario!E8</f>
        <v>0.15</v>
      </c>
      <c r="Q52" s="311">
        <f>Calcul!N62</f>
        <v>0</v>
      </c>
      <c r="R52" s="382">
        <v>1</v>
      </c>
      <c r="S52" s="85"/>
      <c r="T52" s="379"/>
      <c r="U52" s="168">
        <f>IF(O52&lt;&gt;0,Constantes!$E15,0)</f>
        <v>0</v>
      </c>
      <c r="V52" s="322"/>
      <c r="W52" s="83"/>
      <c r="X52" s="12" t="str">
        <f>X25</f>
        <v>Assurance</v>
      </c>
      <c r="Y52" s="54" t="str">
        <f t="shared" si="5"/>
        <v>IARD</v>
      </c>
      <c r="Z52" s="396">
        <v>0.05</v>
      </c>
      <c r="AA52" s="318">
        <f>Scénario!F8</f>
        <v>0.1</v>
      </c>
      <c r="AB52" s="311">
        <f>Calcul!Y62</f>
        <v>0</v>
      </c>
      <c r="AC52" s="399"/>
      <c r="AD52" s="85"/>
      <c r="AE52" s="396">
        <v>0.2</v>
      </c>
      <c r="AF52" s="168">
        <f>IF(Z52&lt;&gt;0,Constantes!$E15,0)</f>
        <v>0.12</v>
      </c>
      <c r="AG52" s="322"/>
      <c r="AH52" s="83"/>
      <c r="AI52" s="12" t="str">
        <f>AI25</f>
        <v>Assurance</v>
      </c>
      <c r="AJ52" s="54" t="str">
        <f t="shared" si="6"/>
        <v>IARD</v>
      </c>
      <c r="AK52" s="178">
        <v>0.1</v>
      </c>
      <c r="AL52" s="318">
        <f>Scénario!G8</f>
        <v>0.2</v>
      </c>
      <c r="AM52" s="311">
        <f>Calcul!AJ62</f>
        <v>1</v>
      </c>
      <c r="AN52" s="319"/>
      <c r="AO52" s="85"/>
      <c r="AP52" s="178">
        <v>0.2</v>
      </c>
      <c r="AQ52" s="168">
        <f>IF(AK52&lt;&gt;0,Constantes!$E15,0)</f>
        <v>0.12</v>
      </c>
      <c r="AR52" s="88"/>
    </row>
    <row r="53" spans="1:44" ht="25.2" customHeight="1" thickBot="1" x14ac:dyDescent="0.3">
      <c r="A53" s="83"/>
      <c r="B53" s="15"/>
      <c r="C53" s="56" t="str">
        <f t="shared" si="3"/>
        <v>Prévoyance</v>
      </c>
      <c r="D53" s="417"/>
      <c r="E53" s="318">
        <f>Scénario!D9</f>
        <v>0</v>
      </c>
      <c r="F53" s="311">
        <f>Calcul!C63</f>
        <v>0</v>
      </c>
      <c r="G53" s="420"/>
      <c r="H53" s="85"/>
      <c r="I53" s="417"/>
      <c r="J53" s="168">
        <f>IF(D53&lt;&gt;0,Constantes!$E16,0)</f>
        <v>0</v>
      </c>
      <c r="K53" s="322"/>
      <c r="L53" s="83"/>
      <c r="M53" s="15"/>
      <c r="N53" s="56" t="str">
        <f t="shared" si="4"/>
        <v>Prévoyance</v>
      </c>
      <c r="O53" s="380"/>
      <c r="P53" s="318">
        <f>Scénario!E9</f>
        <v>0.1</v>
      </c>
      <c r="Q53" s="311">
        <f>Calcul!N63</f>
        <v>0</v>
      </c>
      <c r="R53" s="383"/>
      <c r="S53" s="85"/>
      <c r="T53" s="380"/>
      <c r="U53" s="168">
        <f>IF(O53&lt;&gt;0,Constantes!$E16,0)</f>
        <v>0</v>
      </c>
      <c r="V53" s="322"/>
      <c r="W53" s="83"/>
      <c r="X53" s="15"/>
      <c r="Y53" s="56" t="str">
        <f t="shared" si="5"/>
        <v>Prévoyance</v>
      </c>
      <c r="Z53" s="397"/>
      <c r="AA53" s="318">
        <f>Scénario!F9</f>
        <v>0.1</v>
      </c>
      <c r="AB53" s="311">
        <f>Calcul!Y63</f>
        <v>0</v>
      </c>
      <c r="AC53" s="400">
        <v>1</v>
      </c>
      <c r="AD53" s="85"/>
      <c r="AE53" s="397"/>
      <c r="AF53" s="168">
        <f>IF(Z53&lt;&gt;0,Constantes!$E16,0)</f>
        <v>0</v>
      </c>
      <c r="AG53" s="322"/>
      <c r="AH53" s="83"/>
      <c r="AI53" s="15"/>
      <c r="AJ53" s="56" t="str">
        <f t="shared" si="6"/>
        <v>Prévoyance</v>
      </c>
      <c r="AK53" s="179">
        <v>0.05</v>
      </c>
      <c r="AL53" s="318">
        <f>Scénario!G9</f>
        <v>0.1</v>
      </c>
      <c r="AM53" s="311">
        <f>Calcul!AJ63</f>
        <v>0</v>
      </c>
      <c r="AN53" s="320"/>
      <c r="AO53" s="85"/>
      <c r="AP53" s="179">
        <v>0.2</v>
      </c>
      <c r="AQ53" s="168">
        <f>IF(AK53&lt;&gt;0,Constantes!$E16,0)</f>
        <v>0.12</v>
      </c>
      <c r="AR53" s="88"/>
    </row>
    <row r="54" spans="1:44" ht="25.2" customHeight="1" x14ac:dyDescent="0.25">
      <c r="A54" s="83"/>
      <c r="B54" s="12" t="str">
        <f>B27</f>
        <v>Services</v>
      </c>
      <c r="C54" s="54" t="str">
        <f t="shared" si="3"/>
        <v>Moyens de paiement</v>
      </c>
      <c r="D54" s="416">
        <v>0.4</v>
      </c>
      <c r="E54" s="318">
        <f>Scénario!D10</f>
        <v>0.45</v>
      </c>
      <c r="F54" s="311">
        <f>Calcul!C64</f>
        <v>1</v>
      </c>
      <c r="G54" s="419"/>
      <c r="H54" s="85"/>
      <c r="I54" s="416">
        <v>0.1</v>
      </c>
      <c r="J54" s="168">
        <f>IF(D54&lt;&gt;0,Constantes!$E17,0)</f>
        <v>0.03</v>
      </c>
      <c r="K54" s="322"/>
      <c r="L54" s="83"/>
      <c r="M54" s="12" t="str">
        <f>M27</f>
        <v>Services</v>
      </c>
      <c r="N54" s="54" t="str">
        <f t="shared" si="4"/>
        <v>Moyens de paiement</v>
      </c>
      <c r="O54" s="379">
        <v>0.2</v>
      </c>
      <c r="P54" s="318">
        <f>Scénario!E10</f>
        <v>0.3</v>
      </c>
      <c r="Q54" s="311">
        <f>Calcul!N64</f>
        <v>1</v>
      </c>
      <c r="R54" s="382"/>
      <c r="S54" s="85"/>
      <c r="T54" s="379">
        <v>0.1</v>
      </c>
      <c r="U54" s="168">
        <f>IF(O54&lt;&gt;0,Constantes!$E17,0)</f>
        <v>0.03</v>
      </c>
      <c r="V54" s="322"/>
      <c r="W54" s="83"/>
      <c r="X54" s="12" t="str">
        <f>X27</f>
        <v>Services</v>
      </c>
      <c r="Y54" s="54" t="str">
        <f t="shared" si="5"/>
        <v>Moyens de paiement</v>
      </c>
      <c r="Z54" s="396">
        <v>0.2</v>
      </c>
      <c r="AA54" s="318">
        <f>Scénario!F10</f>
        <v>0.45</v>
      </c>
      <c r="AB54" s="311">
        <f>Calcul!Y64</f>
        <v>1</v>
      </c>
      <c r="AC54" s="399"/>
      <c r="AD54" s="85"/>
      <c r="AE54" s="396">
        <v>0.1</v>
      </c>
      <c r="AF54" s="168">
        <f>IF(Z54&lt;&gt;0,Constantes!$E17,0)</f>
        <v>0.03</v>
      </c>
      <c r="AG54" s="322"/>
      <c r="AH54" s="83"/>
      <c r="AI54" s="12" t="str">
        <f>AI27</f>
        <v>Services</v>
      </c>
      <c r="AJ54" s="54" t="str">
        <f t="shared" si="6"/>
        <v>Moyens de paiement</v>
      </c>
      <c r="AK54" s="178">
        <v>0.2</v>
      </c>
      <c r="AL54" s="318">
        <f>Scénario!G10</f>
        <v>0.35</v>
      </c>
      <c r="AM54" s="311">
        <f>Calcul!AJ64</f>
        <v>1</v>
      </c>
      <c r="AN54" s="319"/>
      <c r="AO54" s="85"/>
      <c r="AP54" s="178">
        <v>0.1</v>
      </c>
      <c r="AQ54" s="168">
        <f>IF(AK54&lt;&gt;0,Constantes!$E17,0)</f>
        <v>0.03</v>
      </c>
      <c r="AR54" s="88"/>
    </row>
    <row r="55" spans="1:44" ht="25.2" customHeight="1" x14ac:dyDescent="0.25">
      <c r="A55" s="83"/>
      <c r="B55" s="17"/>
      <c r="C55" s="57" t="str">
        <f t="shared" si="3"/>
        <v>Ouverture compte</v>
      </c>
      <c r="D55" s="418">
        <v>0.25</v>
      </c>
      <c r="E55" s="318">
        <f>Scénario!D11</f>
        <v>0.35</v>
      </c>
      <c r="F55" s="311">
        <f>Calcul!C65</f>
        <v>1</v>
      </c>
      <c r="G55" s="421"/>
      <c r="H55" s="85"/>
      <c r="I55" s="418">
        <v>0.05</v>
      </c>
      <c r="J55" s="168">
        <f>IF(D55&lt;&gt;0,Constantes!$E18,0)</f>
        <v>0</v>
      </c>
      <c r="K55" s="322"/>
      <c r="L55" s="83"/>
      <c r="M55" s="17"/>
      <c r="N55" s="57" t="str">
        <f t="shared" si="4"/>
        <v>Ouverture compte</v>
      </c>
      <c r="O55" s="381">
        <v>0.2</v>
      </c>
      <c r="P55" s="318">
        <f>Scénario!E11</f>
        <v>0.25</v>
      </c>
      <c r="Q55" s="311">
        <f>Calcul!N65</f>
        <v>1</v>
      </c>
      <c r="R55" s="384"/>
      <c r="S55" s="85"/>
      <c r="T55" s="381">
        <v>0.05</v>
      </c>
      <c r="U55" s="168">
        <f>IF(O55&lt;&gt;0,Constantes!$E18,0)</f>
        <v>0</v>
      </c>
      <c r="V55" s="322"/>
      <c r="W55" s="83"/>
      <c r="X55" s="17"/>
      <c r="Y55" s="57" t="str">
        <f t="shared" si="5"/>
        <v>Ouverture compte</v>
      </c>
      <c r="Z55" s="398">
        <v>0.15</v>
      </c>
      <c r="AA55" s="318">
        <f>Scénario!F11</f>
        <v>0.2</v>
      </c>
      <c r="AB55" s="311">
        <f>Calcul!Y65</f>
        <v>1</v>
      </c>
      <c r="AC55" s="401"/>
      <c r="AD55" s="85"/>
      <c r="AE55" s="398">
        <v>0.05</v>
      </c>
      <c r="AF55" s="168">
        <f>IF(Z55&lt;&gt;0,Constantes!$E18,0)</f>
        <v>0</v>
      </c>
      <c r="AG55" s="322"/>
      <c r="AH55" s="83"/>
      <c r="AI55" s="17"/>
      <c r="AJ55" s="57" t="str">
        <f t="shared" si="6"/>
        <v>Ouverture compte</v>
      </c>
      <c r="AK55" s="180">
        <v>0.1</v>
      </c>
      <c r="AL55" s="318">
        <f>Scénario!G11</f>
        <v>0.3</v>
      </c>
      <c r="AM55" s="311">
        <f>Calcul!AJ65</f>
        <v>1</v>
      </c>
      <c r="AN55" s="321">
        <v>1</v>
      </c>
      <c r="AO55" s="85"/>
      <c r="AP55" s="180">
        <v>0.05</v>
      </c>
      <c r="AQ55" s="168">
        <f>IF(AK55&lt;&gt;0,Constantes!$E18,0)</f>
        <v>0</v>
      </c>
      <c r="AR55" s="88"/>
    </row>
    <row r="56" spans="1:44" ht="25.2" customHeight="1" thickBot="1" x14ac:dyDescent="0.3">
      <c r="A56" s="83"/>
      <c r="B56" s="15"/>
      <c r="C56" s="56" t="str">
        <f t="shared" si="3"/>
        <v>Téléphonie</v>
      </c>
      <c r="D56" s="417"/>
      <c r="E56" s="318">
        <f>Scénario!D12</f>
        <v>0</v>
      </c>
      <c r="F56" s="311">
        <f>Calcul!C66</f>
        <v>0</v>
      </c>
      <c r="G56" s="420">
        <v>1</v>
      </c>
      <c r="H56" s="85"/>
      <c r="I56" s="417"/>
      <c r="J56" s="168">
        <f>IF(D56&lt;&gt;0,Constantes!$E19,0)</f>
        <v>0</v>
      </c>
      <c r="K56" s="322"/>
      <c r="L56" s="83"/>
      <c r="M56" s="15"/>
      <c r="N56" s="56" t="str">
        <f t="shared" si="4"/>
        <v>Téléphonie</v>
      </c>
      <c r="O56" s="380">
        <v>0.15</v>
      </c>
      <c r="P56" s="318">
        <f>Scénario!E12</f>
        <v>0.2</v>
      </c>
      <c r="Q56" s="311">
        <f>Calcul!N66</f>
        <v>0</v>
      </c>
      <c r="R56" s="383"/>
      <c r="S56" s="85"/>
      <c r="T56" s="380">
        <v>0.15</v>
      </c>
      <c r="U56" s="168">
        <f>IF(O56&lt;&gt;0,Constantes!$E19,0)</f>
        <v>0.03</v>
      </c>
      <c r="V56" s="322"/>
      <c r="W56" s="83"/>
      <c r="X56" s="15"/>
      <c r="Y56" s="56" t="str">
        <f t="shared" si="5"/>
        <v>Téléphonie</v>
      </c>
      <c r="Z56" s="397">
        <v>0.1</v>
      </c>
      <c r="AA56" s="318">
        <f>Scénario!F12</f>
        <v>0.2</v>
      </c>
      <c r="AB56" s="311">
        <f>Calcul!Y66</f>
        <v>1</v>
      </c>
      <c r="AC56" s="400"/>
      <c r="AD56" s="85"/>
      <c r="AE56" s="397">
        <v>0.15</v>
      </c>
      <c r="AF56" s="168">
        <f>IF(Z56&lt;&gt;0,Constantes!$E19,0)</f>
        <v>0.03</v>
      </c>
      <c r="AG56" s="322"/>
      <c r="AH56" s="83"/>
      <c r="AI56" s="15"/>
      <c r="AJ56" s="56" t="str">
        <f t="shared" si="6"/>
        <v>Téléphonie</v>
      </c>
      <c r="AK56" s="179">
        <v>0.1</v>
      </c>
      <c r="AL56" s="318">
        <f>Scénario!G12</f>
        <v>0.25</v>
      </c>
      <c r="AM56" s="311">
        <f>Calcul!AJ66</f>
        <v>1</v>
      </c>
      <c r="AN56" s="320"/>
      <c r="AO56" s="85"/>
      <c r="AP56" s="179">
        <v>0.15</v>
      </c>
      <c r="AQ56" s="168">
        <f>IF(AK56&lt;&gt;0,Constantes!$E19,0)</f>
        <v>0.03</v>
      </c>
      <c r="AR56" s="88"/>
    </row>
    <row r="57" spans="1:44" ht="22.8" customHeight="1" x14ac:dyDescent="0.25">
      <c r="A57" s="83"/>
      <c r="B57" s="85"/>
      <c r="C57" s="85"/>
      <c r="D57" s="85"/>
      <c r="E57" s="85"/>
      <c r="F57" s="85"/>
      <c r="G57" s="85"/>
      <c r="H57" s="85"/>
      <c r="J57" s="85"/>
      <c r="K57" s="88"/>
      <c r="L57" s="83"/>
      <c r="M57" s="85"/>
      <c r="N57" s="85"/>
      <c r="O57" s="85"/>
      <c r="P57" s="85"/>
      <c r="Q57" s="85"/>
      <c r="R57" s="85"/>
      <c r="S57" s="85"/>
      <c r="U57" s="85"/>
      <c r="V57" s="88"/>
      <c r="W57" s="83"/>
      <c r="X57" s="85"/>
      <c r="Y57" s="85"/>
      <c r="Z57" s="85"/>
      <c r="AA57" s="85"/>
      <c r="AB57" s="85"/>
      <c r="AC57" s="85"/>
      <c r="AD57" s="85"/>
      <c r="AF57" s="85"/>
      <c r="AG57" s="88"/>
      <c r="AH57" s="83"/>
      <c r="AI57" s="85"/>
      <c r="AJ57" s="85"/>
      <c r="AK57" s="85"/>
      <c r="AL57" s="85"/>
      <c r="AM57" s="85"/>
      <c r="AN57" s="85"/>
      <c r="AO57" s="85"/>
      <c r="AQ57" s="85"/>
      <c r="AR57" s="88"/>
    </row>
    <row r="58" spans="1:44" ht="22.8" customHeight="1" thickBot="1" x14ac:dyDescent="0.3">
      <c r="A58" s="83"/>
      <c r="B58" s="85"/>
      <c r="C58" s="85"/>
      <c r="D58" s="168">
        <f>SUM(D47:D56)</f>
        <v>1</v>
      </c>
      <c r="E58" s="85"/>
      <c r="F58" s="85"/>
      <c r="G58" s="85"/>
      <c r="H58" s="85"/>
      <c r="I58" s="22" t="s">
        <v>223</v>
      </c>
      <c r="J58" s="98"/>
      <c r="K58" s="99"/>
      <c r="L58" s="83"/>
      <c r="M58" s="85"/>
      <c r="N58" s="85"/>
      <c r="O58" s="168">
        <f>SUM(O47:O56)</f>
        <v>0.99999999999999989</v>
      </c>
      <c r="P58" s="85"/>
      <c r="Q58" s="85"/>
      <c r="R58" s="85"/>
      <c r="S58" s="85"/>
      <c r="T58" s="22" t="s">
        <v>223</v>
      </c>
      <c r="U58" s="98"/>
      <c r="V58" s="99"/>
      <c r="W58" s="83"/>
      <c r="X58" s="85"/>
      <c r="Y58" s="85"/>
      <c r="Z58" s="168">
        <f>SUM(Z47:Z56)</f>
        <v>1</v>
      </c>
      <c r="AA58" s="85"/>
      <c r="AB58" s="85"/>
      <c r="AC58" s="85"/>
      <c r="AD58" s="85"/>
      <c r="AE58" s="22" t="s">
        <v>223</v>
      </c>
      <c r="AF58" s="98"/>
      <c r="AG58" s="99"/>
      <c r="AH58" s="83"/>
      <c r="AI58" s="85"/>
      <c r="AJ58" s="85"/>
      <c r="AK58" s="168">
        <f>SUM(AK47:AK56)</f>
        <v>1</v>
      </c>
      <c r="AL58" s="85"/>
      <c r="AM58" s="85"/>
      <c r="AN58" s="85"/>
      <c r="AO58" s="85"/>
      <c r="AP58" s="22" t="s">
        <v>223</v>
      </c>
      <c r="AQ58" s="98"/>
      <c r="AR58" s="99"/>
    </row>
    <row r="59" spans="1:44" ht="22.8" customHeight="1" thickBot="1" x14ac:dyDescent="0.3">
      <c r="A59" s="799" t="s">
        <v>65</v>
      </c>
      <c r="B59" s="800"/>
      <c r="C59" s="800"/>
      <c r="D59" s="800"/>
      <c r="E59" s="800"/>
      <c r="F59" s="800"/>
      <c r="G59" s="800"/>
      <c r="H59" s="800"/>
      <c r="I59" s="800"/>
      <c r="J59" s="800"/>
      <c r="K59" s="801"/>
      <c r="L59" s="799" t="s">
        <v>65</v>
      </c>
      <c r="M59" s="800"/>
      <c r="N59" s="800"/>
      <c r="O59" s="800"/>
      <c r="P59" s="800"/>
      <c r="Q59" s="800"/>
      <c r="R59" s="800"/>
      <c r="S59" s="800"/>
      <c r="T59" s="800"/>
      <c r="U59" s="800"/>
      <c r="V59" s="801"/>
      <c r="W59" s="799" t="s">
        <v>65</v>
      </c>
      <c r="X59" s="800"/>
      <c r="Y59" s="800"/>
      <c r="Z59" s="800"/>
      <c r="AA59" s="800"/>
      <c r="AB59" s="800"/>
      <c r="AC59" s="800"/>
      <c r="AD59" s="800"/>
      <c r="AE59" s="800"/>
      <c r="AF59" s="800"/>
      <c r="AG59" s="801"/>
      <c r="AH59" s="799" t="s">
        <v>65</v>
      </c>
      <c r="AI59" s="800"/>
      <c r="AJ59" s="800"/>
      <c r="AK59" s="800"/>
      <c r="AL59" s="800"/>
      <c r="AM59" s="800"/>
      <c r="AN59" s="800"/>
      <c r="AO59" s="800"/>
      <c r="AP59" s="800"/>
      <c r="AQ59" s="800"/>
      <c r="AR59" s="801"/>
    </row>
    <row r="60" spans="1:44" ht="22.8" customHeight="1" thickBot="1" x14ac:dyDescent="0.3">
      <c r="A60" s="83"/>
      <c r="B60" s="169"/>
      <c r="C60" s="169"/>
      <c r="D60" s="85"/>
      <c r="E60" s="85"/>
      <c r="F60" s="85"/>
      <c r="G60" s="85"/>
      <c r="H60" s="85"/>
      <c r="J60" s="80"/>
      <c r="K60" s="82"/>
      <c r="L60" s="83"/>
      <c r="M60" s="169"/>
      <c r="N60" s="169"/>
      <c r="O60" s="85"/>
      <c r="P60" s="85"/>
      <c r="Q60" s="85"/>
      <c r="R60" s="85"/>
      <c r="S60" s="85"/>
      <c r="U60" s="80"/>
      <c r="V60" s="82"/>
      <c r="W60" s="83"/>
      <c r="X60" s="169"/>
      <c r="Y60" s="169"/>
      <c r="Z60" s="85"/>
      <c r="AA60" s="85"/>
      <c r="AB60" s="85"/>
      <c r="AC60" s="85"/>
      <c r="AD60" s="85"/>
      <c r="AF60" s="80"/>
      <c r="AG60" s="82"/>
      <c r="AH60" s="83"/>
      <c r="AI60" s="169"/>
      <c r="AJ60" s="169"/>
      <c r="AK60" s="85"/>
      <c r="AL60" s="85"/>
      <c r="AM60" s="85"/>
      <c r="AN60" s="85"/>
      <c r="AO60" s="85"/>
      <c r="AQ60" s="80"/>
      <c r="AR60" s="82"/>
    </row>
    <row r="61" spans="1:44" ht="22.8" customHeight="1" thickBot="1" x14ac:dyDescent="0.3">
      <c r="A61" s="83"/>
      <c r="B61" s="93" t="s">
        <v>14</v>
      </c>
      <c r="C61" s="52"/>
      <c r="D61" s="412">
        <v>0.2</v>
      </c>
      <c r="E61" s="85"/>
      <c r="F61" s="760" t="s">
        <v>220</v>
      </c>
      <c r="G61" s="85"/>
      <c r="H61" s="85"/>
      <c r="I61" s="797" t="s">
        <v>222</v>
      </c>
      <c r="J61" s="85"/>
      <c r="K61" s="88"/>
      <c r="L61" s="83"/>
      <c r="M61" s="93" t="s">
        <v>14</v>
      </c>
      <c r="N61" s="52"/>
      <c r="O61" s="375">
        <v>0.15</v>
      </c>
      <c r="P61" s="85"/>
      <c r="Q61" s="760" t="s">
        <v>220</v>
      </c>
      <c r="R61" s="85"/>
      <c r="S61" s="85"/>
      <c r="T61" s="797" t="s">
        <v>222</v>
      </c>
      <c r="U61" s="85"/>
      <c r="V61" s="88"/>
      <c r="W61" s="83"/>
      <c r="X61" s="93" t="s">
        <v>14</v>
      </c>
      <c r="Y61" s="52"/>
      <c r="Z61" s="392">
        <v>0.15</v>
      </c>
      <c r="AA61" s="85"/>
      <c r="AB61" s="760" t="s">
        <v>220</v>
      </c>
      <c r="AC61" s="85"/>
      <c r="AD61" s="85"/>
      <c r="AE61" s="797" t="s">
        <v>222</v>
      </c>
      <c r="AF61" s="85"/>
      <c r="AG61" s="88"/>
      <c r="AH61" s="83"/>
      <c r="AI61" s="93" t="s">
        <v>14</v>
      </c>
      <c r="AJ61" s="52"/>
      <c r="AK61" s="177">
        <v>0.15</v>
      </c>
      <c r="AL61" s="85"/>
      <c r="AM61" s="760" t="s">
        <v>220</v>
      </c>
      <c r="AN61" s="85"/>
      <c r="AO61" s="85"/>
      <c r="AP61" s="797" t="s">
        <v>222</v>
      </c>
      <c r="AQ61" s="85"/>
      <c r="AR61" s="88"/>
    </row>
    <row r="62" spans="1:44" ht="22.8" customHeight="1" thickBot="1" x14ac:dyDescent="0.3">
      <c r="A62" s="83"/>
      <c r="B62" s="93" t="s">
        <v>221</v>
      </c>
      <c r="C62" s="85"/>
      <c r="D62" s="100"/>
      <c r="E62" s="760" t="s">
        <v>86</v>
      </c>
      <c r="F62" s="758" t="s">
        <v>324</v>
      </c>
      <c r="G62" s="760" t="s">
        <v>323</v>
      </c>
      <c r="H62" s="85"/>
      <c r="I62" s="798"/>
      <c r="J62" s="760" t="s">
        <v>124</v>
      </c>
      <c r="K62" s="191"/>
      <c r="L62" s="83"/>
      <c r="M62" s="93" t="s">
        <v>221</v>
      </c>
      <c r="N62" s="85"/>
      <c r="O62" s="100"/>
      <c r="P62" s="760" t="s">
        <v>86</v>
      </c>
      <c r="Q62" s="758" t="s">
        <v>324</v>
      </c>
      <c r="R62" s="760" t="s">
        <v>323</v>
      </c>
      <c r="S62" s="85"/>
      <c r="T62" s="798"/>
      <c r="U62" s="760" t="s">
        <v>124</v>
      </c>
      <c r="V62" s="191"/>
      <c r="W62" s="83"/>
      <c r="X62" s="93" t="s">
        <v>221</v>
      </c>
      <c r="Y62" s="85"/>
      <c r="Z62" s="100"/>
      <c r="AA62" s="760" t="s">
        <v>86</v>
      </c>
      <c r="AB62" s="758" t="s">
        <v>324</v>
      </c>
      <c r="AC62" s="760" t="s">
        <v>323</v>
      </c>
      <c r="AD62" s="85"/>
      <c r="AE62" s="798"/>
      <c r="AF62" s="760" t="s">
        <v>124</v>
      </c>
      <c r="AG62" s="191"/>
      <c r="AH62" s="83"/>
      <c r="AI62" s="93" t="s">
        <v>221</v>
      </c>
      <c r="AJ62" s="85"/>
      <c r="AK62" s="100"/>
      <c r="AL62" s="760" t="s">
        <v>86</v>
      </c>
      <c r="AM62" s="758" t="s">
        <v>324</v>
      </c>
      <c r="AN62" s="760" t="s">
        <v>323</v>
      </c>
      <c r="AO62" s="85"/>
      <c r="AP62" s="798"/>
      <c r="AQ62" s="760" t="s">
        <v>124</v>
      </c>
      <c r="AR62" s="88"/>
    </row>
    <row r="63" spans="1:44" ht="25.2" customHeight="1" x14ac:dyDescent="0.25">
      <c r="A63" s="83"/>
      <c r="B63" s="12" t="str">
        <f>B47</f>
        <v>Collecte</v>
      </c>
      <c r="C63" s="54" t="str">
        <f t="shared" ref="C63:C72" si="7">C20</f>
        <v>Court terme</v>
      </c>
      <c r="D63" s="416">
        <v>0.2</v>
      </c>
      <c r="E63" s="318">
        <f>Scénario!D15</f>
        <v>0.25</v>
      </c>
      <c r="F63" s="311">
        <f>Calcul!D57</f>
        <v>2</v>
      </c>
      <c r="G63" s="419"/>
      <c r="H63" s="94"/>
      <c r="I63" s="416">
        <v>0.1</v>
      </c>
      <c r="J63" s="168">
        <f>IF(D63&lt;&gt;0,Constantes!$E10,0)</f>
        <v>7.0000000000000007E-2</v>
      </c>
      <c r="K63" s="322"/>
      <c r="L63" s="83"/>
      <c r="M63" s="12" t="str">
        <f>M47</f>
        <v>Collecte</v>
      </c>
      <c r="N63" s="54" t="str">
        <f t="shared" ref="N63:N72" si="8">N20</f>
        <v>Court terme</v>
      </c>
      <c r="O63" s="379">
        <v>0.15</v>
      </c>
      <c r="P63" s="318">
        <f>Scénario!E15</f>
        <v>0.25</v>
      </c>
      <c r="Q63" s="311">
        <f>Calcul!O57</f>
        <v>2</v>
      </c>
      <c r="R63" s="382"/>
      <c r="S63" s="94"/>
      <c r="T63" s="379">
        <v>0.1</v>
      </c>
      <c r="U63" s="168">
        <f>IF(O63&lt;&gt;0,Constantes!$E10,0)</f>
        <v>7.0000000000000007E-2</v>
      </c>
      <c r="V63" s="322"/>
      <c r="W63" s="83"/>
      <c r="X63" s="12" t="str">
        <f>X47</f>
        <v>Collecte</v>
      </c>
      <c r="Y63" s="54" t="str">
        <f t="shared" ref="Y63:Y72" si="9">Y20</f>
        <v>Court terme</v>
      </c>
      <c r="Z63" s="396">
        <v>0.05</v>
      </c>
      <c r="AA63" s="318">
        <f>Scénario!F15</f>
        <v>0.25</v>
      </c>
      <c r="AB63" s="311">
        <f>Calcul!Z57</f>
        <v>2</v>
      </c>
      <c r="AC63" s="399"/>
      <c r="AD63" s="94"/>
      <c r="AE63" s="396">
        <v>0.1</v>
      </c>
      <c r="AF63" s="168">
        <f>IF(Z63&lt;&gt;0,Constantes!$E10,0)</f>
        <v>7.0000000000000007E-2</v>
      </c>
      <c r="AG63" s="322"/>
      <c r="AH63" s="83"/>
      <c r="AI63" s="12" t="str">
        <f>AI47</f>
        <v>Collecte</v>
      </c>
      <c r="AJ63" s="54" t="str">
        <f t="shared" ref="AJ63:AJ72" si="10">AJ20</f>
        <v>Court terme</v>
      </c>
      <c r="AK63" s="178">
        <v>0.1</v>
      </c>
      <c r="AL63" s="318">
        <f>Scénario!G15</f>
        <v>0.25</v>
      </c>
      <c r="AM63" s="311">
        <f>Calcul!AK57</f>
        <v>2</v>
      </c>
      <c r="AN63" s="319"/>
      <c r="AO63" s="94"/>
      <c r="AP63" s="178">
        <v>0.1</v>
      </c>
      <c r="AQ63" s="168">
        <f>IF(AK63&lt;&gt;0,Constantes!$E10,0)</f>
        <v>7.0000000000000007E-2</v>
      </c>
      <c r="AR63" s="88"/>
    </row>
    <row r="64" spans="1:44" ht="25.2" customHeight="1" thickBot="1" x14ac:dyDescent="0.3">
      <c r="A64" s="83"/>
      <c r="B64" s="15"/>
      <c r="C64" s="56" t="str">
        <f t="shared" si="7"/>
        <v>Moyen et long terme</v>
      </c>
      <c r="D64" s="417">
        <v>0.05</v>
      </c>
      <c r="E64" s="318">
        <f>Scénario!D16</f>
        <v>0.05</v>
      </c>
      <c r="F64" s="311">
        <f>Calcul!D58</f>
        <v>1</v>
      </c>
      <c r="G64" s="420"/>
      <c r="H64" s="22"/>
      <c r="I64" s="417">
        <v>0.2</v>
      </c>
      <c r="J64" s="168">
        <f>IF(D64&lt;&gt;0,Constantes!$E11,0)</f>
        <v>0.12</v>
      </c>
      <c r="K64" s="322"/>
      <c r="L64" s="83"/>
      <c r="M64" s="15"/>
      <c r="N64" s="56" t="str">
        <f t="shared" si="8"/>
        <v>Moyen et long terme</v>
      </c>
      <c r="O64" s="380">
        <v>0.1</v>
      </c>
      <c r="P64" s="318">
        <f>Scénario!E16</f>
        <v>0.15</v>
      </c>
      <c r="Q64" s="311">
        <f>Calcul!O58</f>
        <v>1</v>
      </c>
      <c r="R64" s="383"/>
      <c r="S64" s="22"/>
      <c r="T64" s="380">
        <v>0.2</v>
      </c>
      <c r="U64" s="168">
        <f>IF(O64&lt;&gt;0,Constantes!$E11,0)</f>
        <v>0.12</v>
      </c>
      <c r="V64" s="322"/>
      <c r="W64" s="83"/>
      <c r="X64" s="15"/>
      <c r="Y64" s="56" t="str">
        <f t="shared" si="9"/>
        <v>Moyen et long terme</v>
      </c>
      <c r="Z64" s="397">
        <v>0.05</v>
      </c>
      <c r="AA64" s="318">
        <f>Scénario!F16</f>
        <v>0.15</v>
      </c>
      <c r="AB64" s="311">
        <f>Calcul!Z58</f>
        <v>1</v>
      </c>
      <c r="AC64" s="400"/>
      <c r="AD64" s="22"/>
      <c r="AE64" s="397">
        <v>0.2</v>
      </c>
      <c r="AF64" s="168">
        <f>IF(Z64&lt;&gt;0,Constantes!$E11,0)</f>
        <v>0.12</v>
      </c>
      <c r="AG64" s="322"/>
      <c r="AH64" s="83"/>
      <c r="AI64" s="15"/>
      <c r="AJ64" s="56" t="str">
        <f t="shared" si="10"/>
        <v>Moyen et long terme</v>
      </c>
      <c r="AK64" s="179">
        <v>0.1</v>
      </c>
      <c r="AL64" s="318">
        <f>Scénario!G16</f>
        <v>0.15</v>
      </c>
      <c r="AM64" s="311">
        <f>Calcul!AK58</f>
        <v>1</v>
      </c>
      <c r="AN64" s="320"/>
      <c r="AO64" s="22"/>
      <c r="AP64" s="179">
        <v>0.2</v>
      </c>
      <c r="AQ64" s="168">
        <f>IF(AK64&lt;&gt;0,Constantes!$E11,0)</f>
        <v>0.12</v>
      </c>
      <c r="AR64" s="88"/>
    </row>
    <row r="65" spans="1:44" ht="25.2" customHeight="1" x14ac:dyDescent="0.25">
      <c r="A65" s="83"/>
      <c r="B65" s="12" t="str">
        <f>B49</f>
        <v>Crédit</v>
      </c>
      <c r="C65" s="54" t="str">
        <f t="shared" si="7"/>
        <v>Immobilier</v>
      </c>
      <c r="D65" s="416">
        <v>0.05</v>
      </c>
      <c r="E65" s="318">
        <f>Scénario!D17</f>
        <v>0.1</v>
      </c>
      <c r="F65" s="311">
        <f>Calcul!D59</f>
        <v>1</v>
      </c>
      <c r="G65" s="419">
        <v>1</v>
      </c>
      <c r="H65" s="85"/>
      <c r="I65" s="416">
        <v>0.25</v>
      </c>
      <c r="J65" s="168">
        <f>IF(D65&lt;&gt;0,Constantes!$E12,0)</f>
        <v>0.15</v>
      </c>
      <c r="K65" s="322"/>
      <c r="L65" s="83"/>
      <c r="M65" s="12" t="str">
        <f>M49</f>
        <v>Crédit</v>
      </c>
      <c r="N65" s="54" t="str">
        <f t="shared" si="8"/>
        <v>Immobilier</v>
      </c>
      <c r="O65" s="379">
        <v>0.1</v>
      </c>
      <c r="P65" s="318">
        <f>Scénario!E17</f>
        <v>0.35</v>
      </c>
      <c r="Q65" s="311">
        <f>Calcul!O59</f>
        <v>1</v>
      </c>
      <c r="R65" s="382"/>
      <c r="S65" s="85"/>
      <c r="T65" s="379">
        <v>0.25</v>
      </c>
      <c r="U65" s="168">
        <f>IF(O65&lt;&gt;0,Constantes!$E12,0)</f>
        <v>0.15</v>
      </c>
      <c r="V65" s="322"/>
      <c r="W65" s="83"/>
      <c r="X65" s="12" t="str">
        <f>X49</f>
        <v>Crédit</v>
      </c>
      <c r="Y65" s="54" t="str">
        <f t="shared" si="9"/>
        <v>Immobilier</v>
      </c>
      <c r="Z65" s="396">
        <v>0.1</v>
      </c>
      <c r="AA65" s="318">
        <f>Scénario!F17</f>
        <v>0.1</v>
      </c>
      <c r="AB65" s="311">
        <f>Calcul!Z59</f>
        <v>2</v>
      </c>
      <c r="AC65" s="399">
        <v>1</v>
      </c>
      <c r="AD65" s="85"/>
      <c r="AE65" s="396">
        <v>0.25</v>
      </c>
      <c r="AF65" s="168">
        <f>IF(Z65&lt;&gt;0,Constantes!$E12,0)</f>
        <v>0.15</v>
      </c>
      <c r="AG65" s="322"/>
      <c r="AH65" s="83"/>
      <c r="AI65" s="12" t="str">
        <f>AI49</f>
        <v>Crédit</v>
      </c>
      <c r="AJ65" s="54" t="str">
        <f t="shared" si="10"/>
        <v>Immobilier</v>
      </c>
      <c r="AK65" s="178">
        <v>0.1</v>
      </c>
      <c r="AL65" s="318">
        <f>Scénario!G17</f>
        <v>0.2</v>
      </c>
      <c r="AM65" s="311">
        <f>Calcul!AK59</f>
        <v>2</v>
      </c>
      <c r="AN65" s="319"/>
      <c r="AO65" s="85"/>
      <c r="AP65" s="178">
        <v>0.25</v>
      </c>
      <c r="AQ65" s="168">
        <f>IF(AK65&lt;&gt;0,Constantes!$E12,0)</f>
        <v>0.15</v>
      </c>
      <c r="AR65" s="88"/>
    </row>
    <row r="66" spans="1:44" ht="25.2" customHeight="1" x14ac:dyDescent="0.25">
      <c r="A66" s="83"/>
      <c r="B66" s="17"/>
      <c r="C66" s="57" t="str">
        <f t="shared" si="7"/>
        <v>Consommation</v>
      </c>
      <c r="D66" s="418">
        <v>0.1</v>
      </c>
      <c r="E66" s="318">
        <f>Scénario!D18</f>
        <v>0.15</v>
      </c>
      <c r="F66" s="311">
        <f>Calcul!D60</f>
        <v>1</v>
      </c>
      <c r="G66" s="421"/>
      <c r="H66" s="85"/>
      <c r="I66" s="418">
        <v>0.2</v>
      </c>
      <c r="J66" s="168">
        <f>IF(D66&lt;&gt;0,Constantes!$E13,0)</f>
        <v>7.0000000000000007E-2</v>
      </c>
      <c r="K66" s="322"/>
      <c r="L66" s="83"/>
      <c r="M66" s="17"/>
      <c r="N66" s="57" t="str">
        <f t="shared" si="8"/>
        <v>Consommation</v>
      </c>
      <c r="O66" s="381">
        <v>0.15</v>
      </c>
      <c r="P66" s="318">
        <f>Scénario!E18</f>
        <v>0.2</v>
      </c>
      <c r="Q66" s="311">
        <f>Calcul!O60</f>
        <v>2</v>
      </c>
      <c r="R66" s="384"/>
      <c r="S66" s="85"/>
      <c r="T66" s="381">
        <v>0.2</v>
      </c>
      <c r="U66" s="168">
        <f>IF(O66&lt;&gt;0,Constantes!$E13,0)</f>
        <v>7.0000000000000007E-2</v>
      </c>
      <c r="V66" s="322"/>
      <c r="W66" s="83"/>
      <c r="X66" s="17"/>
      <c r="Y66" s="57" t="str">
        <f t="shared" si="9"/>
        <v>Consommation</v>
      </c>
      <c r="Z66" s="398">
        <v>0.15</v>
      </c>
      <c r="AA66" s="318">
        <f>Scénario!F18</f>
        <v>0.2</v>
      </c>
      <c r="AB66" s="311">
        <f>Calcul!Z60</f>
        <v>2</v>
      </c>
      <c r="AC66" s="401"/>
      <c r="AD66" s="85"/>
      <c r="AE66" s="398">
        <v>0.2</v>
      </c>
      <c r="AF66" s="168">
        <f>IF(Z66&lt;&gt;0,Constantes!$E13,0)</f>
        <v>7.0000000000000007E-2</v>
      </c>
      <c r="AG66" s="322"/>
      <c r="AH66" s="83"/>
      <c r="AI66" s="17"/>
      <c r="AJ66" s="57" t="str">
        <f t="shared" si="10"/>
        <v>Consommation</v>
      </c>
      <c r="AK66" s="180">
        <v>0.05</v>
      </c>
      <c r="AL66" s="318">
        <f>Scénario!G18</f>
        <v>0.2</v>
      </c>
      <c r="AM66" s="311">
        <f>Calcul!AK60</f>
        <v>2</v>
      </c>
      <c r="AN66" s="321">
        <v>1</v>
      </c>
      <c r="AO66" s="85"/>
      <c r="AP66" s="180">
        <v>0.2</v>
      </c>
      <c r="AQ66" s="168">
        <f>IF(AK66&lt;&gt;0,Constantes!$E13,0)</f>
        <v>7.0000000000000007E-2</v>
      </c>
      <c r="AR66" s="88"/>
    </row>
    <row r="67" spans="1:44" ht="25.2" customHeight="1" thickBot="1" x14ac:dyDescent="0.3">
      <c r="A67" s="83"/>
      <c r="B67" s="15"/>
      <c r="C67" s="56" t="str">
        <f t="shared" si="7"/>
        <v>Renouvelable</v>
      </c>
      <c r="D67" s="417">
        <v>0.1</v>
      </c>
      <c r="E67" s="318">
        <f>Scénario!D19</f>
        <v>0.1</v>
      </c>
      <c r="F67" s="311">
        <f>Calcul!D61</f>
        <v>1</v>
      </c>
      <c r="G67" s="420"/>
      <c r="H67" s="85"/>
      <c r="I67" s="417">
        <v>0.1</v>
      </c>
      <c r="J67" s="168">
        <f>IF(D67&lt;&gt;0,Constantes!$E14,0)</f>
        <v>0.03</v>
      </c>
      <c r="K67" s="322"/>
      <c r="L67" s="83"/>
      <c r="M67" s="15"/>
      <c r="N67" s="56" t="str">
        <f t="shared" si="8"/>
        <v>Renouvelable</v>
      </c>
      <c r="O67" s="380">
        <v>0.1</v>
      </c>
      <c r="P67" s="318">
        <f>Scénario!E19</f>
        <v>0.15</v>
      </c>
      <c r="Q67" s="311">
        <f>Calcul!O61</f>
        <v>1</v>
      </c>
      <c r="R67" s="383">
        <v>1</v>
      </c>
      <c r="S67" s="85"/>
      <c r="T67" s="380">
        <v>0.1</v>
      </c>
      <c r="U67" s="168">
        <f>IF(O67&lt;&gt;0,Constantes!$E14,0)</f>
        <v>0.03</v>
      </c>
      <c r="V67" s="322"/>
      <c r="W67" s="83"/>
      <c r="X67" s="15"/>
      <c r="Y67" s="56" t="str">
        <f t="shared" si="9"/>
        <v>Renouvelable</v>
      </c>
      <c r="Z67" s="397">
        <v>0.1</v>
      </c>
      <c r="AA67" s="318">
        <f>Scénario!F19</f>
        <v>0.15</v>
      </c>
      <c r="AB67" s="311">
        <f>Calcul!Z61</f>
        <v>1</v>
      </c>
      <c r="AC67" s="400"/>
      <c r="AD67" s="85"/>
      <c r="AE67" s="397">
        <v>0.1</v>
      </c>
      <c r="AF67" s="168">
        <f>IF(Z67&lt;&gt;0,Constantes!$E14,0)</f>
        <v>0.03</v>
      </c>
      <c r="AG67" s="322"/>
      <c r="AH67" s="83"/>
      <c r="AI67" s="15"/>
      <c r="AJ67" s="56" t="str">
        <f t="shared" si="10"/>
        <v>Renouvelable</v>
      </c>
      <c r="AK67" s="179">
        <v>0.05</v>
      </c>
      <c r="AL67" s="318">
        <f>Scénario!G19</f>
        <v>0.15</v>
      </c>
      <c r="AM67" s="311">
        <f>Calcul!AK61</f>
        <v>2</v>
      </c>
      <c r="AN67" s="320"/>
      <c r="AO67" s="85"/>
      <c r="AP67" s="179">
        <v>0.1</v>
      </c>
      <c r="AQ67" s="168">
        <f>IF(AK67&lt;&gt;0,Constantes!$E14,0)</f>
        <v>0.03</v>
      </c>
      <c r="AR67" s="88"/>
    </row>
    <row r="68" spans="1:44" ht="25.2" customHeight="1" x14ac:dyDescent="0.25">
      <c r="A68" s="83"/>
      <c r="B68" s="12" t="str">
        <f>B52</f>
        <v>Assurance</v>
      </c>
      <c r="C68" s="54" t="str">
        <f t="shared" si="7"/>
        <v>IARD</v>
      </c>
      <c r="D68" s="416">
        <v>0.1</v>
      </c>
      <c r="E68" s="318">
        <f>Scénario!D20</f>
        <v>0.1</v>
      </c>
      <c r="F68" s="311">
        <f>Calcul!D62</f>
        <v>1</v>
      </c>
      <c r="G68" s="419"/>
      <c r="H68" s="85"/>
      <c r="I68" s="416">
        <v>0.25</v>
      </c>
      <c r="J68" s="168">
        <f>IF(D68&lt;&gt;0,Constantes!$E15,0)</f>
        <v>0.12</v>
      </c>
      <c r="K68" s="322"/>
      <c r="L68" s="83"/>
      <c r="M68" s="12" t="str">
        <f>M52</f>
        <v>Assurance</v>
      </c>
      <c r="N68" s="54" t="str">
        <f t="shared" si="8"/>
        <v>IARD</v>
      </c>
      <c r="O68" s="379">
        <v>0.1</v>
      </c>
      <c r="P68" s="318">
        <f>Scénario!E20</f>
        <v>0.2</v>
      </c>
      <c r="Q68" s="311">
        <f>Calcul!O62</f>
        <v>1</v>
      </c>
      <c r="R68" s="382"/>
      <c r="S68" s="85"/>
      <c r="T68" s="379">
        <v>0.25</v>
      </c>
      <c r="U68" s="168">
        <f>IF(O68&lt;&gt;0,Constantes!$E15,0)</f>
        <v>0.12</v>
      </c>
      <c r="V68" s="322"/>
      <c r="W68" s="83"/>
      <c r="X68" s="12" t="str">
        <f>X52</f>
        <v>Assurance</v>
      </c>
      <c r="Y68" s="54" t="str">
        <f t="shared" si="9"/>
        <v>IARD</v>
      </c>
      <c r="Z68" s="396">
        <v>0.15</v>
      </c>
      <c r="AA68" s="318">
        <f>Scénario!F20</f>
        <v>0.15</v>
      </c>
      <c r="AB68" s="311">
        <f>Calcul!Z62</f>
        <v>1</v>
      </c>
      <c r="AC68" s="399">
        <v>1</v>
      </c>
      <c r="AD68" s="85"/>
      <c r="AE68" s="396">
        <v>0.25</v>
      </c>
      <c r="AF68" s="168">
        <f>IF(Z68&lt;&gt;0,Constantes!$E15,0)</f>
        <v>0.12</v>
      </c>
      <c r="AG68" s="322"/>
      <c r="AH68" s="83"/>
      <c r="AI68" s="12" t="str">
        <f>AI52</f>
        <v>Assurance</v>
      </c>
      <c r="AJ68" s="54" t="str">
        <f t="shared" si="10"/>
        <v>IARD</v>
      </c>
      <c r="AK68" s="178">
        <v>0.2</v>
      </c>
      <c r="AL68" s="318">
        <f>Scénario!G20</f>
        <v>0.3</v>
      </c>
      <c r="AM68" s="311">
        <f>Calcul!AK62</f>
        <v>1</v>
      </c>
      <c r="AN68" s="319"/>
      <c r="AO68" s="85"/>
      <c r="AP68" s="178">
        <v>0.25</v>
      </c>
      <c r="AQ68" s="168">
        <f>IF(AK68&lt;&gt;0,Constantes!$E15,0)</f>
        <v>0.12</v>
      </c>
      <c r="AR68" s="88"/>
    </row>
    <row r="69" spans="1:44" ht="25.2" customHeight="1" thickBot="1" x14ac:dyDescent="0.3">
      <c r="A69" s="83"/>
      <c r="B69" s="15"/>
      <c r="C69" s="56" t="str">
        <f t="shared" si="7"/>
        <v>Prévoyance</v>
      </c>
      <c r="D69" s="417">
        <v>0.1</v>
      </c>
      <c r="E69" s="318">
        <f>Scénario!D21</f>
        <v>0.1</v>
      </c>
      <c r="F69" s="311">
        <f>Calcul!D63</f>
        <v>1</v>
      </c>
      <c r="G69" s="420">
        <v>1</v>
      </c>
      <c r="H69" s="85"/>
      <c r="I69" s="417">
        <v>0.25</v>
      </c>
      <c r="J69" s="168">
        <f>IF(D69&lt;&gt;0,Constantes!$E16,0)</f>
        <v>0.12</v>
      </c>
      <c r="K69" s="322"/>
      <c r="L69" s="83"/>
      <c r="M69" s="15"/>
      <c r="N69" s="56" t="str">
        <f t="shared" si="8"/>
        <v>Prévoyance</v>
      </c>
      <c r="O69" s="380">
        <v>0.1</v>
      </c>
      <c r="P69" s="318">
        <f>Scénario!E21</f>
        <v>0.15</v>
      </c>
      <c r="Q69" s="311">
        <f>Calcul!O63</f>
        <v>1</v>
      </c>
      <c r="R69" s="383"/>
      <c r="S69" s="85"/>
      <c r="T69" s="380">
        <v>0.25</v>
      </c>
      <c r="U69" s="168">
        <f>IF(O69&lt;&gt;0,Constantes!$E16,0)</f>
        <v>0.12</v>
      </c>
      <c r="V69" s="322"/>
      <c r="W69" s="83"/>
      <c r="X69" s="15"/>
      <c r="Y69" s="56" t="str">
        <f t="shared" si="9"/>
        <v>Prévoyance</v>
      </c>
      <c r="Z69" s="397">
        <v>0.1</v>
      </c>
      <c r="AA69" s="318">
        <f>Scénario!F21</f>
        <v>0.15</v>
      </c>
      <c r="AB69" s="311">
        <f>Calcul!Z63</f>
        <v>2</v>
      </c>
      <c r="AC69" s="400"/>
      <c r="AD69" s="85"/>
      <c r="AE69" s="397">
        <v>0.25</v>
      </c>
      <c r="AF69" s="168">
        <f>IF(Z69&lt;&gt;0,Constantes!$E16,0)</f>
        <v>0.12</v>
      </c>
      <c r="AG69" s="322"/>
      <c r="AH69" s="83"/>
      <c r="AI69" s="15"/>
      <c r="AJ69" s="56" t="str">
        <f t="shared" si="10"/>
        <v>Prévoyance</v>
      </c>
      <c r="AK69" s="179">
        <v>0.1</v>
      </c>
      <c r="AL69" s="318">
        <f>Scénario!G21</f>
        <v>0.15</v>
      </c>
      <c r="AM69" s="311">
        <f>Calcul!AK63</f>
        <v>2</v>
      </c>
      <c r="AN69" s="320"/>
      <c r="AO69" s="85"/>
      <c r="AP69" s="179">
        <v>0.25</v>
      </c>
      <c r="AQ69" s="168">
        <f>IF(AK69&lt;&gt;0,Constantes!$E16,0)</f>
        <v>0.12</v>
      </c>
      <c r="AR69" s="88"/>
    </row>
    <row r="70" spans="1:44" ht="25.2" customHeight="1" x14ac:dyDescent="0.25">
      <c r="A70" s="83"/>
      <c r="B70" s="12" t="str">
        <f>B54</f>
        <v>Services</v>
      </c>
      <c r="C70" s="54" t="str">
        <f t="shared" si="7"/>
        <v>Moyens de paiement</v>
      </c>
      <c r="D70" s="416">
        <v>0.15</v>
      </c>
      <c r="E70" s="318">
        <f>Scénario!D22</f>
        <v>0.25</v>
      </c>
      <c r="F70" s="311">
        <f>Calcul!D64</f>
        <v>1</v>
      </c>
      <c r="G70" s="419"/>
      <c r="H70" s="85"/>
      <c r="I70" s="416">
        <v>0.1</v>
      </c>
      <c r="J70" s="168">
        <f>IF(D70&lt;&gt;0,Constantes!$E17,0)</f>
        <v>0.03</v>
      </c>
      <c r="K70" s="322"/>
      <c r="L70" s="83"/>
      <c r="M70" s="12" t="str">
        <f>M54</f>
        <v>Services</v>
      </c>
      <c r="N70" s="54" t="str">
        <f t="shared" si="8"/>
        <v>Moyens de paiement</v>
      </c>
      <c r="O70" s="379">
        <v>0.1</v>
      </c>
      <c r="P70" s="318">
        <f>Scénario!E22</f>
        <v>0.2</v>
      </c>
      <c r="Q70" s="311">
        <f>Calcul!O64</f>
        <v>2</v>
      </c>
      <c r="R70" s="382"/>
      <c r="S70" s="85"/>
      <c r="T70" s="379">
        <v>0.1</v>
      </c>
      <c r="U70" s="168">
        <f>IF(O70&lt;&gt;0,Constantes!$E17,0)</f>
        <v>0.03</v>
      </c>
      <c r="V70" s="322"/>
      <c r="W70" s="83"/>
      <c r="X70" s="12" t="str">
        <f>X54</f>
        <v>Services</v>
      </c>
      <c r="Y70" s="54" t="str">
        <f t="shared" si="9"/>
        <v>Moyens de paiement</v>
      </c>
      <c r="Z70" s="396">
        <v>0.15</v>
      </c>
      <c r="AA70" s="318">
        <f>Scénario!F22</f>
        <v>0.3</v>
      </c>
      <c r="AB70" s="311">
        <f>Calcul!Z64</f>
        <v>2</v>
      </c>
      <c r="AC70" s="399"/>
      <c r="AD70" s="85"/>
      <c r="AE70" s="396">
        <v>0.1</v>
      </c>
      <c r="AF70" s="168">
        <f>IF(Z70&lt;&gt;0,Constantes!$E17,0)</f>
        <v>0.03</v>
      </c>
      <c r="AG70" s="322"/>
      <c r="AH70" s="83"/>
      <c r="AI70" s="12" t="str">
        <f>AI54</f>
        <v>Services</v>
      </c>
      <c r="AJ70" s="54" t="str">
        <f t="shared" si="10"/>
        <v>Moyens de paiement</v>
      </c>
      <c r="AK70" s="178">
        <v>0.1</v>
      </c>
      <c r="AL70" s="318">
        <f>Scénario!G22</f>
        <v>0.2</v>
      </c>
      <c r="AM70" s="311">
        <f>Calcul!AK64</f>
        <v>2</v>
      </c>
      <c r="AN70" s="319"/>
      <c r="AO70" s="85"/>
      <c r="AP70" s="178">
        <v>0.1</v>
      </c>
      <c r="AQ70" s="168">
        <f>IF(AK70&lt;&gt;0,Constantes!$E17,0)</f>
        <v>0.03</v>
      </c>
      <c r="AR70" s="88"/>
    </row>
    <row r="71" spans="1:44" ht="25.2" customHeight="1" x14ac:dyDescent="0.25">
      <c r="A71" s="83"/>
      <c r="B71" s="17"/>
      <c r="C71" s="57" t="str">
        <f t="shared" si="7"/>
        <v>Ouverture compte</v>
      </c>
      <c r="D71" s="418">
        <v>0.15</v>
      </c>
      <c r="E71" s="318">
        <f>Scénario!D23</f>
        <v>0.2</v>
      </c>
      <c r="F71" s="311">
        <f>Calcul!D65</f>
        <v>2</v>
      </c>
      <c r="G71" s="421"/>
      <c r="H71" s="85"/>
      <c r="I71" s="418">
        <v>0.05</v>
      </c>
      <c r="J71" s="168">
        <f>IF(D71&lt;&gt;0,Constantes!$E18,0)</f>
        <v>0</v>
      </c>
      <c r="K71" s="322"/>
      <c r="L71" s="83"/>
      <c r="M71" s="17"/>
      <c r="N71" s="57" t="str">
        <f t="shared" si="8"/>
        <v>Ouverture compte</v>
      </c>
      <c r="O71" s="381">
        <v>0.1</v>
      </c>
      <c r="P71" s="318">
        <f>Scénario!E23</f>
        <v>0.15</v>
      </c>
      <c r="Q71" s="311">
        <f>Calcul!O65</f>
        <v>2</v>
      </c>
      <c r="R71" s="384"/>
      <c r="S71" s="85"/>
      <c r="T71" s="381">
        <v>0.05</v>
      </c>
      <c r="U71" s="168">
        <f>IF(O71&lt;&gt;0,Constantes!$E18,0)</f>
        <v>0</v>
      </c>
      <c r="V71" s="322"/>
      <c r="W71" s="83"/>
      <c r="X71" s="17"/>
      <c r="Y71" s="57" t="str">
        <f t="shared" si="9"/>
        <v>Ouverture compte</v>
      </c>
      <c r="Z71" s="398">
        <v>0.05</v>
      </c>
      <c r="AA71" s="318">
        <f>Scénario!F23</f>
        <v>0.25</v>
      </c>
      <c r="AB71" s="311">
        <f>Calcul!Z65</f>
        <v>2</v>
      </c>
      <c r="AC71" s="401"/>
      <c r="AD71" s="85"/>
      <c r="AE71" s="398">
        <v>0.05</v>
      </c>
      <c r="AF71" s="168">
        <f>IF(Z71&lt;&gt;0,Constantes!$E18,0)</f>
        <v>0</v>
      </c>
      <c r="AG71" s="322"/>
      <c r="AH71" s="83"/>
      <c r="AI71" s="17"/>
      <c r="AJ71" s="57" t="str">
        <f t="shared" si="10"/>
        <v>Ouverture compte</v>
      </c>
      <c r="AK71" s="180">
        <v>0.15</v>
      </c>
      <c r="AL71" s="318">
        <f>Scénario!G23</f>
        <v>0.25</v>
      </c>
      <c r="AM71" s="311">
        <f>Calcul!AK65</f>
        <v>2</v>
      </c>
      <c r="AN71" s="321"/>
      <c r="AO71" s="85"/>
      <c r="AP71" s="180">
        <v>0.05</v>
      </c>
      <c r="AQ71" s="168">
        <f>IF(AK71&lt;&gt;0,Constantes!$E18,0)</f>
        <v>0</v>
      </c>
      <c r="AR71" s="88"/>
    </row>
    <row r="72" spans="1:44" ht="25.2" customHeight="1" thickBot="1" x14ac:dyDescent="0.3">
      <c r="A72" s="83"/>
      <c r="B72" s="15"/>
      <c r="C72" s="56" t="str">
        <f t="shared" si="7"/>
        <v>Téléphonie</v>
      </c>
      <c r="D72" s="417"/>
      <c r="E72" s="318">
        <f>Scénario!D24</f>
        <v>0</v>
      </c>
      <c r="F72" s="311">
        <f>Calcul!D66</f>
        <v>0</v>
      </c>
      <c r="G72" s="420"/>
      <c r="H72" s="85"/>
      <c r="I72" s="417"/>
      <c r="J72" s="168">
        <f>IF(D72&lt;&gt;0,Constantes!$E19,0)</f>
        <v>0</v>
      </c>
      <c r="K72" s="322"/>
      <c r="L72" s="83"/>
      <c r="M72" s="15"/>
      <c r="N72" s="56" t="str">
        <f t="shared" si="8"/>
        <v>Téléphonie</v>
      </c>
      <c r="O72" s="380"/>
      <c r="P72" s="318">
        <f>Scénario!E24</f>
        <v>0.1</v>
      </c>
      <c r="Q72" s="311">
        <f>Calcul!O66</f>
        <v>0</v>
      </c>
      <c r="R72" s="383">
        <v>1</v>
      </c>
      <c r="S72" s="85"/>
      <c r="T72" s="380"/>
      <c r="U72" s="168">
        <f>IF(O72&lt;&gt;0,Constantes!$E19,0)</f>
        <v>0</v>
      </c>
      <c r="V72" s="322"/>
      <c r="W72" s="83"/>
      <c r="X72" s="15"/>
      <c r="Y72" s="56" t="str">
        <f t="shared" si="9"/>
        <v>Téléphonie</v>
      </c>
      <c r="Z72" s="397">
        <v>0.1</v>
      </c>
      <c r="AA72" s="318">
        <f>Scénario!F24</f>
        <v>0.1</v>
      </c>
      <c r="AB72" s="311">
        <f>Calcul!Z66</f>
        <v>0</v>
      </c>
      <c r="AC72" s="400"/>
      <c r="AD72" s="85"/>
      <c r="AE72" s="397">
        <v>0.15</v>
      </c>
      <c r="AF72" s="168">
        <f>IF(Z72&lt;&gt;0,Constantes!$E19,0)</f>
        <v>0.03</v>
      </c>
      <c r="AG72" s="322"/>
      <c r="AH72" s="83"/>
      <c r="AI72" s="15"/>
      <c r="AJ72" s="56" t="str">
        <f t="shared" si="10"/>
        <v>Téléphonie</v>
      </c>
      <c r="AK72" s="179">
        <v>0.05</v>
      </c>
      <c r="AL72" s="318">
        <f>Scénario!G24</f>
        <v>0.15</v>
      </c>
      <c r="AM72" s="311">
        <f>Calcul!AK66</f>
        <v>1</v>
      </c>
      <c r="AN72" s="320">
        <v>1</v>
      </c>
      <c r="AO72" s="85"/>
      <c r="AP72" s="179">
        <v>0.15</v>
      </c>
      <c r="AQ72" s="168">
        <f>IF(AK72&lt;&gt;0,Constantes!$E19,0)</f>
        <v>0.03</v>
      </c>
      <c r="AR72" s="88"/>
    </row>
    <row r="73" spans="1:44" ht="22.8" customHeight="1" x14ac:dyDescent="0.25">
      <c r="A73" s="83"/>
      <c r="B73" s="85"/>
      <c r="C73" s="85"/>
      <c r="D73" s="85"/>
      <c r="E73" s="85"/>
      <c r="F73" s="85"/>
      <c r="G73" s="85"/>
      <c r="H73" s="85"/>
      <c r="J73" s="85"/>
      <c r="K73" s="88"/>
      <c r="L73" s="83"/>
      <c r="M73" s="85"/>
      <c r="N73" s="85"/>
      <c r="O73" s="85"/>
      <c r="P73" s="85"/>
      <c r="Q73" s="85"/>
      <c r="R73" s="85"/>
      <c r="S73" s="85"/>
      <c r="U73" s="85"/>
      <c r="V73" s="88"/>
      <c r="W73" s="83"/>
      <c r="X73" s="85"/>
      <c r="Y73" s="85"/>
      <c r="Z73" s="85"/>
      <c r="AA73" s="85"/>
      <c r="AB73" s="85"/>
      <c r="AC73" s="85"/>
      <c r="AD73" s="85"/>
      <c r="AF73" s="85"/>
      <c r="AG73" s="88"/>
      <c r="AH73" s="83"/>
      <c r="AI73" s="85"/>
      <c r="AJ73" s="85"/>
      <c r="AK73" s="85"/>
      <c r="AL73" s="85"/>
      <c r="AM73" s="85"/>
      <c r="AN73" s="85"/>
      <c r="AO73" s="85"/>
      <c r="AQ73" s="85"/>
      <c r="AR73" s="88"/>
    </row>
    <row r="74" spans="1:44" ht="22.8" customHeight="1" thickBot="1" x14ac:dyDescent="0.3">
      <c r="A74" s="97"/>
      <c r="B74" s="98"/>
      <c r="C74" s="98"/>
      <c r="D74" s="168">
        <f>SUM(D63:D72)</f>
        <v>1</v>
      </c>
      <c r="E74" s="98"/>
      <c r="F74" s="98"/>
      <c r="G74" s="98"/>
      <c r="H74" s="98"/>
      <c r="I74" s="22" t="s">
        <v>223</v>
      </c>
      <c r="J74" s="98"/>
      <c r="K74" s="99"/>
      <c r="L74" s="97"/>
      <c r="M74" s="98"/>
      <c r="N74" s="98"/>
      <c r="O74" s="101">
        <f>SUM(O63:O72)</f>
        <v>0.99999999999999989</v>
      </c>
      <c r="P74" s="98"/>
      <c r="Q74" s="98"/>
      <c r="R74" s="98"/>
      <c r="S74" s="98"/>
      <c r="T74" s="22" t="s">
        <v>223</v>
      </c>
      <c r="U74" s="98"/>
      <c r="V74" s="99"/>
      <c r="W74" s="97"/>
      <c r="X74" s="98"/>
      <c r="Y74" s="98"/>
      <c r="Z74" s="101">
        <f>SUM(Z63:Z72)</f>
        <v>1</v>
      </c>
      <c r="AA74" s="98"/>
      <c r="AB74" s="98"/>
      <c r="AC74" s="98"/>
      <c r="AD74" s="98"/>
      <c r="AE74" s="22" t="s">
        <v>223</v>
      </c>
      <c r="AF74" s="98"/>
      <c r="AG74" s="99"/>
      <c r="AH74" s="97"/>
      <c r="AI74" s="98"/>
      <c r="AJ74" s="98"/>
      <c r="AK74" s="101">
        <f>SUM(AK63:AK72)</f>
        <v>1</v>
      </c>
      <c r="AL74" s="98"/>
      <c r="AM74" s="98"/>
      <c r="AN74" s="98"/>
      <c r="AO74" s="98"/>
      <c r="AP74" s="22" t="s">
        <v>223</v>
      </c>
      <c r="AQ74" s="98"/>
      <c r="AR74" s="99"/>
    </row>
    <row r="75" spans="1:44" ht="22.8" customHeight="1" thickBot="1" x14ac:dyDescent="0.3">
      <c r="A75" s="802" t="s">
        <v>66</v>
      </c>
      <c r="B75" s="803"/>
      <c r="C75" s="803"/>
      <c r="D75" s="803"/>
      <c r="E75" s="803"/>
      <c r="F75" s="803"/>
      <c r="G75" s="803"/>
      <c r="H75" s="803"/>
      <c r="I75" s="803"/>
      <c r="J75" s="803"/>
      <c r="K75" s="804"/>
      <c r="L75" s="802" t="s">
        <v>66</v>
      </c>
      <c r="M75" s="803"/>
      <c r="N75" s="803"/>
      <c r="O75" s="803"/>
      <c r="P75" s="803"/>
      <c r="Q75" s="803"/>
      <c r="R75" s="803"/>
      <c r="S75" s="803"/>
      <c r="T75" s="803"/>
      <c r="U75" s="803"/>
      <c r="V75" s="804"/>
      <c r="W75" s="802" t="s">
        <v>66</v>
      </c>
      <c r="X75" s="803"/>
      <c r="Y75" s="803"/>
      <c r="Z75" s="803"/>
      <c r="AA75" s="803"/>
      <c r="AB75" s="803"/>
      <c r="AC75" s="803"/>
      <c r="AD75" s="803"/>
      <c r="AE75" s="803"/>
      <c r="AF75" s="803"/>
      <c r="AG75" s="804"/>
      <c r="AH75" s="802" t="s">
        <v>66</v>
      </c>
      <c r="AI75" s="803"/>
      <c r="AJ75" s="803"/>
      <c r="AK75" s="803"/>
      <c r="AL75" s="803"/>
      <c r="AM75" s="803"/>
      <c r="AN75" s="803"/>
      <c r="AO75" s="803"/>
      <c r="AP75" s="803"/>
      <c r="AQ75" s="803"/>
      <c r="AR75" s="804"/>
    </row>
    <row r="76" spans="1:44" ht="22.8" customHeight="1" thickBot="1" x14ac:dyDescent="0.3">
      <c r="A76" s="79"/>
      <c r="B76" s="53"/>
      <c r="C76" s="53"/>
      <c r="D76" s="80"/>
      <c r="E76" s="80"/>
      <c r="F76" s="80"/>
      <c r="G76" s="80"/>
      <c r="H76" s="80"/>
      <c r="I76" s="80"/>
      <c r="J76" s="80"/>
      <c r="K76" s="82"/>
      <c r="L76" s="79"/>
      <c r="M76" s="53"/>
      <c r="N76" s="53"/>
      <c r="O76" s="80"/>
      <c r="P76" s="80"/>
      <c r="Q76" s="80"/>
      <c r="R76" s="80"/>
      <c r="S76" s="80"/>
      <c r="T76" s="80"/>
      <c r="U76" s="80"/>
      <c r="V76" s="82"/>
      <c r="W76" s="79"/>
      <c r="X76" s="53"/>
      <c r="Y76" s="53"/>
      <c r="Z76" s="80"/>
      <c r="AA76" s="80"/>
      <c r="AB76" s="80"/>
      <c r="AC76" s="80"/>
      <c r="AD76" s="80"/>
      <c r="AE76" s="80"/>
      <c r="AF76" s="80"/>
      <c r="AG76" s="82"/>
      <c r="AH76" s="79"/>
      <c r="AI76" s="53"/>
      <c r="AJ76" s="53"/>
      <c r="AK76" s="80"/>
      <c r="AL76" s="80"/>
      <c r="AM76" s="80"/>
      <c r="AN76" s="80"/>
      <c r="AO76" s="80"/>
      <c r="AP76" s="80"/>
      <c r="AQ76" s="80"/>
      <c r="AR76" s="82"/>
    </row>
    <row r="77" spans="1:44" ht="22.8" customHeight="1" thickBot="1" x14ac:dyDescent="0.3">
      <c r="A77" s="83"/>
      <c r="B77" s="93" t="s">
        <v>14</v>
      </c>
      <c r="C77" s="52"/>
      <c r="D77" s="412">
        <v>0.2</v>
      </c>
      <c r="E77" s="85"/>
      <c r="F77" s="760" t="s">
        <v>220</v>
      </c>
      <c r="G77" s="85"/>
      <c r="H77" s="85"/>
      <c r="I77" s="797" t="s">
        <v>222</v>
      </c>
      <c r="J77" s="85"/>
      <c r="K77" s="88"/>
      <c r="L77" s="83"/>
      <c r="M77" s="93" t="s">
        <v>14</v>
      </c>
      <c r="N77" s="52"/>
      <c r="O77" s="375">
        <v>0.15</v>
      </c>
      <c r="P77" s="85"/>
      <c r="Q77" s="760" t="s">
        <v>220</v>
      </c>
      <c r="R77" s="85"/>
      <c r="S77" s="85"/>
      <c r="T77" s="797" t="s">
        <v>222</v>
      </c>
      <c r="U77" s="85"/>
      <c r="V77" s="88"/>
      <c r="W77" s="83"/>
      <c r="X77" s="93" t="s">
        <v>14</v>
      </c>
      <c r="Y77" s="52"/>
      <c r="Z77" s="392">
        <v>0.15</v>
      </c>
      <c r="AA77" s="85"/>
      <c r="AB77" s="760" t="s">
        <v>220</v>
      </c>
      <c r="AC77" s="85"/>
      <c r="AD77" s="85"/>
      <c r="AE77" s="797" t="s">
        <v>222</v>
      </c>
      <c r="AF77" s="85"/>
      <c r="AG77" s="88"/>
      <c r="AH77" s="83"/>
      <c r="AI77" s="93" t="s">
        <v>14</v>
      </c>
      <c r="AJ77" s="52"/>
      <c r="AK77" s="177">
        <v>0.15</v>
      </c>
      <c r="AL77" s="85"/>
      <c r="AM77" s="760" t="s">
        <v>220</v>
      </c>
      <c r="AN77" s="85"/>
      <c r="AO77" s="85"/>
      <c r="AP77" s="797" t="s">
        <v>222</v>
      </c>
      <c r="AQ77" s="85"/>
      <c r="AR77" s="88"/>
    </row>
    <row r="78" spans="1:44" ht="22.8" customHeight="1" thickBot="1" x14ac:dyDescent="0.3">
      <c r="A78" s="83"/>
      <c r="B78" s="93" t="s">
        <v>221</v>
      </c>
      <c r="C78" s="85"/>
      <c r="D78" s="100"/>
      <c r="E78" s="760" t="s">
        <v>86</v>
      </c>
      <c r="F78" s="758" t="s">
        <v>324</v>
      </c>
      <c r="G78" s="760" t="s">
        <v>323</v>
      </c>
      <c r="H78" s="85"/>
      <c r="I78" s="798"/>
      <c r="J78" s="760" t="s">
        <v>124</v>
      </c>
      <c r="K78" s="191"/>
      <c r="L78" s="83"/>
      <c r="M78" s="93" t="s">
        <v>221</v>
      </c>
      <c r="N78" s="85"/>
      <c r="O78" s="100"/>
      <c r="P78" s="760" t="s">
        <v>86</v>
      </c>
      <c r="Q78" s="758" t="s">
        <v>324</v>
      </c>
      <c r="R78" s="760" t="s">
        <v>323</v>
      </c>
      <c r="S78" s="85"/>
      <c r="T78" s="798"/>
      <c r="U78" s="760" t="s">
        <v>124</v>
      </c>
      <c r="V78" s="191"/>
      <c r="W78" s="83"/>
      <c r="X78" s="93" t="s">
        <v>221</v>
      </c>
      <c r="Y78" s="85"/>
      <c r="Z78" s="100"/>
      <c r="AA78" s="760" t="s">
        <v>86</v>
      </c>
      <c r="AB78" s="758" t="s">
        <v>324</v>
      </c>
      <c r="AC78" s="760" t="s">
        <v>323</v>
      </c>
      <c r="AD78" s="85"/>
      <c r="AE78" s="798"/>
      <c r="AF78" s="760" t="s">
        <v>124</v>
      </c>
      <c r="AG78" s="191"/>
      <c r="AH78" s="83"/>
      <c r="AI78" s="93" t="s">
        <v>221</v>
      </c>
      <c r="AJ78" s="85"/>
      <c r="AK78" s="100"/>
      <c r="AL78" s="760" t="s">
        <v>86</v>
      </c>
      <c r="AM78" s="758" t="s">
        <v>324</v>
      </c>
      <c r="AN78" s="760" t="s">
        <v>323</v>
      </c>
      <c r="AO78" s="85"/>
      <c r="AP78" s="798"/>
      <c r="AQ78" s="760" t="s">
        <v>124</v>
      </c>
      <c r="AR78" s="88"/>
    </row>
    <row r="79" spans="1:44" ht="25.2" customHeight="1" x14ac:dyDescent="0.25">
      <c r="A79" s="83"/>
      <c r="B79" s="12" t="str">
        <f>B63</f>
        <v>Collecte</v>
      </c>
      <c r="C79" s="54" t="str">
        <f t="shared" ref="C79:C88" si="11">C20</f>
        <v>Court terme</v>
      </c>
      <c r="D79" s="416">
        <v>0.05</v>
      </c>
      <c r="E79" s="318">
        <f>Scénario!D27</f>
        <v>0.1</v>
      </c>
      <c r="F79" s="311">
        <f>Calcul!E57</f>
        <v>2</v>
      </c>
      <c r="G79" s="422"/>
      <c r="H79" s="94"/>
      <c r="I79" s="416">
        <v>0.2</v>
      </c>
      <c r="J79" s="168">
        <f>IF(D79&lt;&gt;0,Constantes!$E10,0)</f>
        <v>7.0000000000000007E-2</v>
      </c>
      <c r="K79" s="322"/>
      <c r="L79" s="83"/>
      <c r="M79" s="12" t="str">
        <f>M63</f>
        <v>Collecte</v>
      </c>
      <c r="N79" s="54" t="str">
        <f t="shared" ref="N79:N88" si="12">N20</f>
        <v>Court terme</v>
      </c>
      <c r="O79" s="379">
        <v>0.1</v>
      </c>
      <c r="P79" s="318">
        <f>Scénario!E27</f>
        <v>0.15</v>
      </c>
      <c r="Q79" s="311">
        <f>Calcul!P57</f>
        <v>2</v>
      </c>
      <c r="R79" s="385"/>
      <c r="S79" s="94"/>
      <c r="T79" s="379">
        <v>0.2</v>
      </c>
      <c r="U79" s="168">
        <f>IF(O79&lt;&gt;0,Constantes!$E10,0)</f>
        <v>7.0000000000000007E-2</v>
      </c>
      <c r="V79" s="322"/>
      <c r="W79" s="83"/>
      <c r="X79" s="12" t="str">
        <f>X63</f>
        <v>Collecte</v>
      </c>
      <c r="Y79" s="54" t="str">
        <f t="shared" ref="Y79:Y88" si="13">Y20</f>
        <v>Court terme</v>
      </c>
      <c r="Z79" s="396">
        <v>0.05</v>
      </c>
      <c r="AA79" s="318">
        <f>Scénario!F27</f>
        <v>0.15</v>
      </c>
      <c r="AB79" s="311">
        <f>Calcul!AA57</f>
        <v>2</v>
      </c>
      <c r="AC79" s="402"/>
      <c r="AD79" s="94"/>
      <c r="AE79" s="396">
        <v>0.2</v>
      </c>
      <c r="AF79" s="168">
        <f>IF(Z79&lt;&gt;0,Constantes!$E10,0)</f>
        <v>7.0000000000000007E-2</v>
      </c>
      <c r="AG79" s="322"/>
      <c r="AH79" s="83"/>
      <c r="AI79" s="12" t="str">
        <f>AI63</f>
        <v>Collecte</v>
      </c>
      <c r="AJ79" s="54" t="str">
        <f t="shared" ref="AJ79:AJ88" si="14">AJ20</f>
        <v>Court terme</v>
      </c>
      <c r="AK79" s="178">
        <v>0.1</v>
      </c>
      <c r="AL79" s="318">
        <f>Scénario!G27</f>
        <v>0.15</v>
      </c>
      <c r="AM79" s="311">
        <f>Calcul!AL57</f>
        <v>2</v>
      </c>
      <c r="AN79" s="323"/>
      <c r="AO79" s="94"/>
      <c r="AP79" s="178">
        <v>0.2</v>
      </c>
      <c r="AQ79" s="168">
        <f>IF(AK79&lt;&gt;0,Constantes!$E10,0)</f>
        <v>7.0000000000000007E-2</v>
      </c>
      <c r="AR79" s="88"/>
    </row>
    <row r="80" spans="1:44" ht="25.2" customHeight="1" thickBot="1" x14ac:dyDescent="0.3">
      <c r="A80" s="83"/>
      <c r="B80" s="15"/>
      <c r="C80" s="56" t="str">
        <f t="shared" si="11"/>
        <v>Moyen et long terme</v>
      </c>
      <c r="D80" s="417">
        <v>0.2</v>
      </c>
      <c r="E80" s="318">
        <f>Scénario!D28</f>
        <v>0.25</v>
      </c>
      <c r="F80" s="311">
        <f>Calcul!E58</f>
        <v>1</v>
      </c>
      <c r="G80" s="420"/>
      <c r="H80" s="22"/>
      <c r="I80" s="417">
        <v>0.2</v>
      </c>
      <c r="J80" s="168">
        <f>IF(D80&lt;&gt;0,Constantes!$E11,0)</f>
        <v>0.12</v>
      </c>
      <c r="K80" s="322"/>
      <c r="L80" s="83"/>
      <c r="M80" s="15"/>
      <c r="N80" s="56" t="str">
        <f t="shared" si="12"/>
        <v>Moyen et long terme</v>
      </c>
      <c r="O80" s="380">
        <v>0.1</v>
      </c>
      <c r="P80" s="318">
        <f>Scénario!E28</f>
        <v>0.2</v>
      </c>
      <c r="Q80" s="311">
        <f>Calcul!P58</f>
        <v>2</v>
      </c>
      <c r="R80" s="383"/>
      <c r="S80" s="22"/>
      <c r="T80" s="380">
        <v>0.2</v>
      </c>
      <c r="U80" s="168">
        <f>IF(O80&lt;&gt;0,Constantes!$E11,0)</f>
        <v>0.12</v>
      </c>
      <c r="V80" s="322"/>
      <c r="W80" s="83"/>
      <c r="X80" s="15"/>
      <c r="Y80" s="56" t="str">
        <f t="shared" si="13"/>
        <v>Moyen et long terme</v>
      </c>
      <c r="Z80" s="397">
        <v>0.1</v>
      </c>
      <c r="AA80" s="318">
        <f>Scénario!F28</f>
        <v>0.2</v>
      </c>
      <c r="AB80" s="311">
        <f>Calcul!AA58</f>
        <v>2</v>
      </c>
      <c r="AC80" s="400"/>
      <c r="AD80" s="22"/>
      <c r="AE80" s="397">
        <v>0.2</v>
      </c>
      <c r="AF80" s="168">
        <f>IF(Z80&lt;&gt;0,Constantes!$E11,0)</f>
        <v>0.12</v>
      </c>
      <c r="AG80" s="322"/>
      <c r="AH80" s="83"/>
      <c r="AI80" s="15"/>
      <c r="AJ80" s="56" t="str">
        <f t="shared" si="14"/>
        <v>Moyen et long terme</v>
      </c>
      <c r="AK80" s="179">
        <v>0.1</v>
      </c>
      <c r="AL80" s="318">
        <f>Scénario!G28</f>
        <v>0.2</v>
      </c>
      <c r="AM80" s="311">
        <f>Calcul!AL58</f>
        <v>2</v>
      </c>
      <c r="AN80" s="320"/>
      <c r="AO80" s="22"/>
      <c r="AP80" s="179">
        <v>0.2</v>
      </c>
      <c r="AQ80" s="168">
        <f>IF(AK80&lt;&gt;0,Constantes!$E11,0)</f>
        <v>0.12</v>
      </c>
      <c r="AR80" s="88"/>
    </row>
    <row r="81" spans="1:44" ht="25.2" customHeight="1" x14ac:dyDescent="0.25">
      <c r="A81" s="83"/>
      <c r="B81" s="12" t="str">
        <f>B65</f>
        <v>Crédit</v>
      </c>
      <c r="C81" s="54" t="str">
        <f t="shared" si="11"/>
        <v>Immobilier</v>
      </c>
      <c r="D81" s="416">
        <v>0.15</v>
      </c>
      <c r="E81" s="318">
        <f>Scénario!D29</f>
        <v>0.15</v>
      </c>
      <c r="F81" s="311">
        <f>Calcul!E59</f>
        <v>2</v>
      </c>
      <c r="G81" s="419"/>
      <c r="H81" s="85"/>
      <c r="I81" s="416">
        <v>0.4</v>
      </c>
      <c r="J81" s="168">
        <f>IF(D81&lt;&gt;0,Constantes!$E12,0)</f>
        <v>0.15</v>
      </c>
      <c r="K81" s="322"/>
      <c r="L81" s="83"/>
      <c r="M81" s="12" t="str">
        <f>M65</f>
        <v>Crédit</v>
      </c>
      <c r="N81" s="54" t="str">
        <f t="shared" si="12"/>
        <v>Immobilier</v>
      </c>
      <c r="O81" s="379">
        <v>0.3</v>
      </c>
      <c r="P81" s="318">
        <f>Scénario!E29</f>
        <v>0.4</v>
      </c>
      <c r="Q81" s="311">
        <f>Calcul!P59</f>
        <v>2</v>
      </c>
      <c r="R81" s="382">
        <v>1</v>
      </c>
      <c r="S81" s="85"/>
      <c r="T81" s="379">
        <v>0.4</v>
      </c>
      <c r="U81" s="168">
        <f>IF(O81&lt;&gt;0,Constantes!$E12,0)</f>
        <v>0.15</v>
      </c>
      <c r="V81" s="322"/>
      <c r="W81" s="83"/>
      <c r="X81" s="12" t="str">
        <f>X65</f>
        <v>Crédit</v>
      </c>
      <c r="Y81" s="54" t="str">
        <f t="shared" si="13"/>
        <v>Immobilier</v>
      </c>
      <c r="Z81" s="396">
        <v>0.15</v>
      </c>
      <c r="AA81" s="318">
        <f>Scénario!F29</f>
        <v>0.15</v>
      </c>
      <c r="AB81" s="311">
        <f>Calcul!AA59</f>
        <v>2</v>
      </c>
      <c r="AC81" s="399"/>
      <c r="AD81" s="85"/>
      <c r="AE81" s="396">
        <v>0.4</v>
      </c>
      <c r="AF81" s="168">
        <f>IF(Z81&lt;&gt;0,Constantes!$E12,0)</f>
        <v>0.15</v>
      </c>
      <c r="AG81" s="322"/>
      <c r="AH81" s="83"/>
      <c r="AI81" s="12" t="str">
        <f>AI65</f>
        <v>Crédit</v>
      </c>
      <c r="AJ81" s="54" t="str">
        <f t="shared" si="14"/>
        <v>Immobilier</v>
      </c>
      <c r="AK81" s="178">
        <v>0.3</v>
      </c>
      <c r="AL81" s="318">
        <f>Scénario!G29</f>
        <v>0.25</v>
      </c>
      <c r="AM81" s="311">
        <f>Calcul!AL59</f>
        <v>3</v>
      </c>
      <c r="AN81" s="319"/>
      <c r="AO81" s="85"/>
      <c r="AP81" s="178">
        <v>0.4</v>
      </c>
      <c r="AQ81" s="168">
        <f>IF(AK81&lt;&gt;0,Constantes!$E12,0)</f>
        <v>0.15</v>
      </c>
      <c r="AR81" s="88"/>
    </row>
    <row r="82" spans="1:44" ht="25.2" customHeight="1" x14ac:dyDescent="0.25">
      <c r="A82" s="83"/>
      <c r="B82" s="17"/>
      <c r="C82" s="57" t="str">
        <f t="shared" si="11"/>
        <v>Consommation</v>
      </c>
      <c r="D82" s="418">
        <v>0.1</v>
      </c>
      <c r="E82" s="318">
        <f>Scénario!D30</f>
        <v>0.15</v>
      </c>
      <c r="F82" s="311">
        <f>Calcul!E60</f>
        <v>1</v>
      </c>
      <c r="G82" s="421"/>
      <c r="H82" s="85"/>
      <c r="I82" s="418">
        <v>0.15</v>
      </c>
      <c r="J82" s="168">
        <f>IF(D82&lt;&gt;0,Constantes!$E13,0)</f>
        <v>7.0000000000000007E-2</v>
      </c>
      <c r="K82" s="322"/>
      <c r="L82" s="83"/>
      <c r="M82" s="17"/>
      <c r="N82" s="57" t="str">
        <f t="shared" si="12"/>
        <v>Consommation</v>
      </c>
      <c r="O82" s="381">
        <v>0.1</v>
      </c>
      <c r="P82" s="318">
        <f>Scénario!E30</f>
        <v>0.2</v>
      </c>
      <c r="Q82" s="311">
        <f>Calcul!P60</f>
        <v>1</v>
      </c>
      <c r="R82" s="384">
        <v>1</v>
      </c>
      <c r="S82" s="85"/>
      <c r="T82" s="381">
        <v>0.15</v>
      </c>
      <c r="U82" s="168">
        <f>IF(O82&lt;&gt;0,Constantes!$E13,0)</f>
        <v>7.0000000000000007E-2</v>
      </c>
      <c r="V82" s="322"/>
      <c r="W82" s="83"/>
      <c r="X82" s="17"/>
      <c r="Y82" s="57" t="str">
        <f t="shared" si="13"/>
        <v>Consommation</v>
      </c>
      <c r="Z82" s="398">
        <v>0.15</v>
      </c>
      <c r="AA82" s="318">
        <f>Scénario!F30</f>
        <v>0.2</v>
      </c>
      <c r="AB82" s="311">
        <f>Calcul!AA60</f>
        <v>1</v>
      </c>
      <c r="AC82" s="401"/>
      <c r="AD82" s="85"/>
      <c r="AE82" s="398">
        <v>0.15</v>
      </c>
      <c r="AF82" s="168">
        <f>IF(Z82&lt;&gt;0,Constantes!$E13,0)</f>
        <v>7.0000000000000007E-2</v>
      </c>
      <c r="AG82" s="322"/>
      <c r="AH82" s="83"/>
      <c r="AI82" s="17"/>
      <c r="AJ82" s="57" t="str">
        <f t="shared" si="14"/>
        <v>Consommation</v>
      </c>
      <c r="AK82" s="180">
        <v>0.1</v>
      </c>
      <c r="AL82" s="318">
        <f>Scénario!G30</f>
        <v>0.2</v>
      </c>
      <c r="AM82" s="311">
        <f>Calcul!AL60</f>
        <v>2</v>
      </c>
      <c r="AN82" s="321"/>
      <c r="AO82" s="85"/>
      <c r="AP82" s="180">
        <v>0.15</v>
      </c>
      <c r="AQ82" s="168">
        <f>IF(AK82&lt;&gt;0,Constantes!$E13,0)</f>
        <v>7.0000000000000007E-2</v>
      </c>
      <c r="AR82" s="88"/>
    </row>
    <row r="83" spans="1:44" ht="25.2" customHeight="1" thickBot="1" x14ac:dyDescent="0.3">
      <c r="A83" s="83"/>
      <c r="B83" s="15"/>
      <c r="C83" s="56" t="str">
        <f t="shared" si="11"/>
        <v>Renouvelable</v>
      </c>
      <c r="D83" s="417">
        <v>0.1</v>
      </c>
      <c r="E83" s="318">
        <f>Scénario!D31</f>
        <v>0.1</v>
      </c>
      <c r="F83" s="311">
        <f>Calcul!E61</f>
        <v>1</v>
      </c>
      <c r="G83" s="420"/>
      <c r="H83" s="85"/>
      <c r="I83" s="417">
        <v>0.1</v>
      </c>
      <c r="J83" s="168">
        <f>IF(D83&lt;&gt;0,Constantes!$E14,0)</f>
        <v>0.03</v>
      </c>
      <c r="K83" s="322"/>
      <c r="L83" s="83"/>
      <c r="M83" s="15"/>
      <c r="N83" s="56" t="str">
        <f t="shared" si="12"/>
        <v>Renouvelable</v>
      </c>
      <c r="O83" s="380">
        <v>0.05</v>
      </c>
      <c r="P83" s="318">
        <f>Scénario!E31</f>
        <v>0.25</v>
      </c>
      <c r="Q83" s="311">
        <f>Calcul!P61</f>
        <v>1</v>
      </c>
      <c r="R83" s="383"/>
      <c r="S83" s="85"/>
      <c r="T83" s="380">
        <v>0.1</v>
      </c>
      <c r="U83" s="168">
        <f>IF(O83&lt;&gt;0,Constantes!$E14,0)</f>
        <v>0.03</v>
      </c>
      <c r="V83" s="322"/>
      <c r="W83" s="83"/>
      <c r="X83" s="15"/>
      <c r="Y83" s="56" t="str">
        <f t="shared" si="13"/>
        <v>Renouvelable</v>
      </c>
      <c r="Z83" s="397">
        <v>0.1</v>
      </c>
      <c r="AA83" s="318">
        <f>Scénario!F31</f>
        <v>0.25</v>
      </c>
      <c r="AB83" s="311">
        <f>Calcul!AA61</f>
        <v>1</v>
      </c>
      <c r="AC83" s="400">
        <v>1</v>
      </c>
      <c r="AD83" s="85"/>
      <c r="AE83" s="397">
        <v>0.1</v>
      </c>
      <c r="AF83" s="168">
        <f>IF(Z83&lt;&gt;0,Constantes!$E14,0)</f>
        <v>0.03</v>
      </c>
      <c r="AG83" s="322"/>
      <c r="AH83" s="83"/>
      <c r="AI83" s="15"/>
      <c r="AJ83" s="56" t="str">
        <f t="shared" si="14"/>
        <v>Renouvelable</v>
      </c>
      <c r="AK83" s="179">
        <v>0.05</v>
      </c>
      <c r="AL83" s="318">
        <f>Scénario!G31</f>
        <v>0.25</v>
      </c>
      <c r="AM83" s="311">
        <f>Calcul!AL61</f>
        <v>1</v>
      </c>
      <c r="AN83" s="320"/>
      <c r="AO83" s="85"/>
      <c r="AP83" s="179">
        <v>0.1</v>
      </c>
      <c r="AQ83" s="168">
        <f>IF(AK83&lt;&gt;0,Constantes!$E14,0)</f>
        <v>0.03</v>
      </c>
      <c r="AR83" s="88"/>
    </row>
    <row r="84" spans="1:44" ht="25.2" customHeight="1" x14ac:dyDescent="0.25">
      <c r="A84" s="83"/>
      <c r="B84" s="12" t="str">
        <f>B68</f>
        <v>Assurance</v>
      </c>
      <c r="C84" s="54" t="str">
        <f t="shared" si="11"/>
        <v>IARD</v>
      </c>
      <c r="D84" s="416"/>
      <c r="E84" s="318">
        <f>Scénario!D32</f>
        <v>0</v>
      </c>
      <c r="F84" s="311">
        <f>Calcul!E62</f>
        <v>0</v>
      </c>
      <c r="G84" s="419">
        <v>1</v>
      </c>
      <c r="H84" s="85"/>
      <c r="I84" s="416"/>
      <c r="J84" s="168">
        <f>IF(D84&lt;&gt;0,Constantes!$E15,0)</f>
        <v>0</v>
      </c>
      <c r="K84" s="322"/>
      <c r="L84" s="83"/>
      <c r="M84" s="12" t="str">
        <f>M68</f>
        <v>Assurance</v>
      </c>
      <c r="N84" s="54" t="str">
        <f t="shared" si="12"/>
        <v>IARD</v>
      </c>
      <c r="O84" s="379">
        <v>0.15</v>
      </c>
      <c r="P84" s="318">
        <f>Scénario!E32</f>
        <v>0.2</v>
      </c>
      <c r="Q84" s="311">
        <f>Calcul!P62</f>
        <v>0</v>
      </c>
      <c r="R84" s="382"/>
      <c r="S84" s="85"/>
      <c r="T84" s="379">
        <v>0.2</v>
      </c>
      <c r="U84" s="168">
        <f>IF(O84&lt;&gt;0,Constantes!$E15,0)</f>
        <v>0.12</v>
      </c>
      <c r="V84" s="322"/>
      <c r="W84" s="83"/>
      <c r="X84" s="12" t="str">
        <f>X68</f>
        <v>Assurance</v>
      </c>
      <c r="Y84" s="54" t="str">
        <f t="shared" si="13"/>
        <v>IARD</v>
      </c>
      <c r="Z84" s="396">
        <v>0.15</v>
      </c>
      <c r="AA84" s="318">
        <f>Scénario!F32</f>
        <v>0.15</v>
      </c>
      <c r="AB84" s="311">
        <f>Calcul!AA62</f>
        <v>1</v>
      </c>
      <c r="AC84" s="399"/>
      <c r="AD84" s="85"/>
      <c r="AE84" s="396">
        <v>0.2</v>
      </c>
      <c r="AF84" s="168">
        <f>IF(Z84&lt;&gt;0,Constantes!$E15,0)</f>
        <v>0.12</v>
      </c>
      <c r="AG84" s="322"/>
      <c r="AH84" s="83"/>
      <c r="AI84" s="12" t="str">
        <f>AI68</f>
        <v>Assurance</v>
      </c>
      <c r="AJ84" s="54" t="str">
        <f t="shared" si="14"/>
        <v>IARD</v>
      </c>
      <c r="AK84" s="178">
        <v>0.15</v>
      </c>
      <c r="AL84" s="318">
        <f>Scénario!G32</f>
        <v>0.3</v>
      </c>
      <c r="AM84" s="311">
        <f>Calcul!AL62</f>
        <v>1</v>
      </c>
      <c r="AN84" s="319">
        <v>1</v>
      </c>
      <c r="AO84" s="85"/>
      <c r="AP84" s="178">
        <v>0.2</v>
      </c>
      <c r="AQ84" s="168">
        <f>IF(AK84&lt;&gt;0,Constantes!$E15,0)</f>
        <v>0.12</v>
      </c>
      <c r="AR84" s="88"/>
    </row>
    <row r="85" spans="1:44" ht="25.2" customHeight="1" thickBot="1" x14ac:dyDescent="0.3">
      <c r="A85" s="83"/>
      <c r="B85" s="15"/>
      <c r="C85" s="56" t="str">
        <f t="shared" si="11"/>
        <v>Prévoyance</v>
      </c>
      <c r="D85" s="417">
        <v>0.2</v>
      </c>
      <c r="E85" s="318">
        <f>Scénario!D33</f>
        <v>0.2</v>
      </c>
      <c r="F85" s="311">
        <f>Calcul!E63</f>
        <v>1</v>
      </c>
      <c r="G85" s="420"/>
      <c r="H85" s="85"/>
      <c r="I85" s="417">
        <v>0.25</v>
      </c>
      <c r="J85" s="168">
        <f>IF(D85&lt;&gt;0,Constantes!$E16,0)</f>
        <v>0.12</v>
      </c>
      <c r="K85" s="322"/>
      <c r="L85" s="83"/>
      <c r="M85" s="15"/>
      <c r="N85" s="56" t="str">
        <f t="shared" si="12"/>
        <v>Prévoyance</v>
      </c>
      <c r="O85" s="380">
        <v>0.1</v>
      </c>
      <c r="P85" s="318">
        <f>Scénario!E33</f>
        <v>0.2</v>
      </c>
      <c r="Q85" s="311">
        <f>Calcul!P63</f>
        <v>2</v>
      </c>
      <c r="R85" s="383"/>
      <c r="S85" s="85"/>
      <c r="T85" s="380">
        <v>0.25</v>
      </c>
      <c r="U85" s="168">
        <f>IF(O85&lt;&gt;0,Constantes!$E16,0)</f>
        <v>0.12</v>
      </c>
      <c r="V85" s="322"/>
      <c r="W85" s="83"/>
      <c r="X85" s="15"/>
      <c r="Y85" s="56" t="str">
        <f t="shared" si="13"/>
        <v>Prévoyance</v>
      </c>
      <c r="Z85" s="397">
        <v>0.1</v>
      </c>
      <c r="AA85" s="318">
        <f>Scénario!F33</f>
        <v>0.2</v>
      </c>
      <c r="AB85" s="311">
        <f>Calcul!AA63</f>
        <v>2</v>
      </c>
      <c r="AC85" s="400"/>
      <c r="AD85" s="85"/>
      <c r="AE85" s="397">
        <v>0.25</v>
      </c>
      <c r="AF85" s="168">
        <f>IF(Z85&lt;&gt;0,Constantes!$E16,0)</f>
        <v>0.12</v>
      </c>
      <c r="AG85" s="322"/>
      <c r="AH85" s="83"/>
      <c r="AI85" s="15"/>
      <c r="AJ85" s="56" t="str">
        <f t="shared" si="14"/>
        <v>Prévoyance</v>
      </c>
      <c r="AK85" s="179">
        <v>0.1</v>
      </c>
      <c r="AL85" s="318">
        <f>Scénario!G33</f>
        <v>0.2</v>
      </c>
      <c r="AM85" s="311">
        <f>Calcul!AL63</f>
        <v>2</v>
      </c>
      <c r="AN85" s="320"/>
      <c r="AO85" s="85"/>
      <c r="AP85" s="179">
        <v>0.25</v>
      </c>
      <c r="AQ85" s="168">
        <f>IF(AK85&lt;&gt;0,Constantes!$E16,0)</f>
        <v>0.12</v>
      </c>
      <c r="AR85" s="88"/>
    </row>
    <row r="86" spans="1:44" ht="25.2" customHeight="1" x14ac:dyDescent="0.25">
      <c r="A86" s="83"/>
      <c r="B86" s="12" t="str">
        <f>B70</f>
        <v>Services</v>
      </c>
      <c r="C86" s="54" t="str">
        <f t="shared" si="11"/>
        <v>Moyens de paiement</v>
      </c>
      <c r="D86" s="416">
        <v>0.1</v>
      </c>
      <c r="E86" s="318">
        <f>Scénario!D34</f>
        <v>0.15</v>
      </c>
      <c r="F86" s="311">
        <f>Calcul!E64</f>
        <v>1</v>
      </c>
      <c r="G86" s="419"/>
      <c r="H86" s="85"/>
      <c r="I86" s="416">
        <v>0.1</v>
      </c>
      <c r="J86" s="168">
        <f>IF(D86&lt;&gt;0,Constantes!$E17,0)</f>
        <v>0.03</v>
      </c>
      <c r="K86" s="322"/>
      <c r="L86" s="83"/>
      <c r="M86" s="12" t="str">
        <f>M70</f>
        <v>Services</v>
      </c>
      <c r="N86" s="54" t="str">
        <f t="shared" si="12"/>
        <v>Moyens de paiement</v>
      </c>
      <c r="O86" s="379">
        <v>0.05</v>
      </c>
      <c r="P86" s="318">
        <f>Scénario!E34</f>
        <v>0.15</v>
      </c>
      <c r="Q86" s="311">
        <f>Calcul!P64</f>
        <v>1</v>
      </c>
      <c r="R86" s="382"/>
      <c r="S86" s="85"/>
      <c r="T86" s="379">
        <v>0.1</v>
      </c>
      <c r="U86" s="168">
        <f>IF(O86&lt;&gt;0,Constantes!$E17,0)</f>
        <v>0.03</v>
      </c>
      <c r="V86" s="322"/>
      <c r="W86" s="83"/>
      <c r="X86" s="12" t="str">
        <f>X70</f>
        <v>Services</v>
      </c>
      <c r="Y86" s="54" t="str">
        <f t="shared" si="13"/>
        <v>Moyens de paiement</v>
      </c>
      <c r="Z86" s="396">
        <v>0.1</v>
      </c>
      <c r="AA86" s="318">
        <f>Scénario!F34</f>
        <v>0.25</v>
      </c>
      <c r="AB86" s="311">
        <f>Calcul!AA64</f>
        <v>1</v>
      </c>
      <c r="AC86" s="399"/>
      <c r="AD86" s="85"/>
      <c r="AE86" s="396">
        <v>0.1</v>
      </c>
      <c r="AF86" s="168">
        <f>IF(Z86&lt;&gt;0,Constantes!$E17,0)</f>
        <v>0.03</v>
      </c>
      <c r="AG86" s="322"/>
      <c r="AH86" s="83"/>
      <c r="AI86" s="12" t="str">
        <f>AI70</f>
        <v>Services</v>
      </c>
      <c r="AJ86" s="54" t="str">
        <f t="shared" si="14"/>
        <v>Moyens de paiement</v>
      </c>
      <c r="AK86" s="178">
        <v>0.05</v>
      </c>
      <c r="AL86" s="318">
        <f>Scénario!G34</f>
        <v>0.2</v>
      </c>
      <c r="AM86" s="311">
        <f>Calcul!AL64</f>
        <v>1</v>
      </c>
      <c r="AN86" s="319">
        <v>1</v>
      </c>
      <c r="AO86" s="85"/>
      <c r="AP86" s="178">
        <v>0.1</v>
      </c>
      <c r="AQ86" s="168">
        <f>IF(AK86&lt;&gt;0,Constantes!$E17,0)</f>
        <v>0.03</v>
      </c>
      <c r="AR86" s="88"/>
    </row>
    <row r="87" spans="1:44" ht="25.2" customHeight="1" x14ac:dyDescent="0.25">
      <c r="A87" s="83"/>
      <c r="B87" s="17"/>
      <c r="C87" s="57" t="str">
        <f t="shared" si="11"/>
        <v>Ouverture compte</v>
      </c>
      <c r="D87" s="418">
        <v>0.1</v>
      </c>
      <c r="E87" s="318">
        <f>Scénario!D35</f>
        <v>0.15</v>
      </c>
      <c r="F87" s="311">
        <f>Calcul!E65</f>
        <v>1</v>
      </c>
      <c r="G87" s="421"/>
      <c r="H87" s="85"/>
      <c r="I87" s="418">
        <v>0.05</v>
      </c>
      <c r="J87" s="168">
        <f>IF(D87&lt;&gt;0,Constantes!$E18,0)</f>
        <v>0</v>
      </c>
      <c r="K87" s="322"/>
      <c r="L87" s="83"/>
      <c r="M87" s="17"/>
      <c r="N87" s="57" t="str">
        <f t="shared" si="12"/>
        <v>Ouverture compte</v>
      </c>
      <c r="O87" s="381">
        <v>0.05</v>
      </c>
      <c r="P87" s="318">
        <f>Scénario!E35</f>
        <v>0.15</v>
      </c>
      <c r="Q87" s="311">
        <f>Calcul!P65</f>
        <v>1</v>
      </c>
      <c r="R87" s="384"/>
      <c r="S87" s="85"/>
      <c r="T87" s="381">
        <v>0.05</v>
      </c>
      <c r="U87" s="168">
        <f>IF(O87&lt;&gt;0,Constantes!$E18,0)</f>
        <v>0</v>
      </c>
      <c r="V87" s="322"/>
      <c r="W87" s="83"/>
      <c r="X87" s="17"/>
      <c r="Y87" s="57" t="str">
        <f t="shared" si="13"/>
        <v>Ouverture compte</v>
      </c>
      <c r="Z87" s="398">
        <v>0.05</v>
      </c>
      <c r="AA87" s="318">
        <f>Scénario!F35</f>
        <v>0.25</v>
      </c>
      <c r="AB87" s="311">
        <f>Calcul!AA65</f>
        <v>1</v>
      </c>
      <c r="AC87" s="401"/>
      <c r="AD87" s="85"/>
      <c r="AE87" s="398">
        <v>0.05</v>
      </c>
      <c r="AF87" s="168">
        <f>IF(Z87&lt;&gt;0,Constantes!$E18,0)</f>
        <v>0</v>
      </c>
      <c r="AG87" s="322"/>
      <c r="AH87" s="83"/>
      <c r="AI87" s="17"/>
      <c r="AJ87" s="57" t="str">
        <f t="shared" si="14"/>
        <v>Ouverture compte</v>
      </c>
      <c r="AK87" s="180">
        <v>0.05</v>
      </c>
      <c r="AL87" s="318">
        <f>Scénario!G35</f>
        <v>0.2</v>
      </c>
      <c r="AM87" s="311">
        <f>Calcul!AL65</f>
        <v>1</v>
      </c>
      <c r="AN87" s="321"/>
      <c r="AO87" s="85"/>
      <c r="AP87" s="180">
        <v>0.05</v>
      </c>
      <c r="AQ87" s="168">
        <f>IF(AK87&lt;&gt;0,Constantes!$E18,0)</f>
        <v>0</v>
      </c>
      <c r="AR87" s="88"/>
    </row>
    <row r="88" spans="1:44" ht="25.2" customHeight="1" thickBot="1" x14ac:dyDescent="0.3">
      <c r="A88" s="83"/>
      <c r="B88" s="15"/>
      <c r="C88" s="56" t="str">
        <f t="shared" si="11"/>
        <v>Téléphonie</v>
      </c>
      <c r="D88" s="417"/>
      <c r="E88" s="318">
        <f>Scénario!D36</f>
        <v>0</v>
      </c>
      <c r="F88" s="311">
        <f>Calcul!E66</f>
        <v>0</v>
      </c>
      <c r="G88" s="420">
        <v>1</v>
      </c>
      <c r="H88" s="85"/>
      <c r="I88" s="417"/>
      <c r="J88" s="168">
        <f>IF(D88&lt;&gt;0,Constantes!$E19,0)</f>
        <v>0</v>
      </c>
      <c r="K88" s="322"/>
      <c r="L88" s="83"/>
      <c r="M88" s="15"/>
      <c r="N88" s="56" t="str">
        <f t="shared" si="12"/>
        <v>Téléphonie</v>
      </c>
      <c r="O88" s="380">
        <v>0.1</v>
      </c>
      <c r="P88" s="318">
        <f>Scénario!E36</f>
        <v>0.1</v>
      </c>
      <c r="Q88" s="311">
        <f>Calcul!P66</f>
        <v>0</v>
      </c>
      <c r="R88" s="383"/>
      <c r="S88" s="85"/>
      <c r="T88" s="380">
        <v>0.2</v>
      </c>
      <c r="U88" s="168">
        <f>IF(O88&lt;&gt;0,Constantes!$E19,0)</f>
        <v>0.03</v>
      </c>
      <c r="V88" s="322"/>
      <c r="W88" s="83"/>
      <c r="X88" s="15"/>
      <c r="Y88" s="56" t="str">
        <f t="shared" si="13"/>
        <v>Téléphonie</v>
      </c>
      <c r="Z88" s="397">
        <v>0.05</v>
      </c>
      <c r="AA88" s="318">
        <f>Scénario!F36</f>
        <v>0.1</v>
      </c>
      <c r="AB88" s="311">
        <f>Calcul!AA66</f>
        <v>1</v>
      </c>
      <c r="AC88" s="400">
        <v>1</v>
      </c>
      <c r="AD88" s="85"/>
      <c r="AE88" s="397">
        <v>0.2</v>
      </c>
      <c r="AF88" s="168">
        <f>IF(Z88&lt;&gt;0,Constantes!$E19,0)</f>
        <v>0.03</v>
      </c>
      <c r="AG88" s="322"/>
      <c r="AH88" s="83"/>
      <c r="AI88" s="15"/>
      <c r="AJ88" s="56" t="str">
        <f t="shared" si="14"/>
        <v>Téléphonie</v>
      </c>
      <c r="AK88" s="179">
        <v>0.1</v>
      </c>
      <c r="AL88" s="318">
        <f>Scénario!G36</f>
        <v>0.15</v>
      </c>
      <c r="AM88" s="311">
        <f>Calcul!AL66</f>
        <v>1</v>
      </c>
      <c r="AN88" s="320"/>
      <c r="AO88" s="85"/>
      <c r="AP88" s="179">
        <v>0.2</v>
      </c>
      <c r="AQ88" s="168">
        <f>IF(AK88&lt;&gt;0,Constantes!$E19,0)</f>
        <v>0.03</v>
      </c>
      <c r="AR88" s="88"/>
    </row>
    <row r="89" spans="1:44" ht="22.8" customHeight="1" x14ac:dyDescent="0.25">
      <c r="A89" s="83"/>
      <c r="B89" s="85"/>
      <c r="C89" s="85"/>
      <c r="D89" s="85"/>
      <c r="E89" s="85"/>
      <c r="F89" s="85"/>
      <c r="G89" s="85"/>
      <c r="H89" s="85"/>
      <c r="I89" s="85"/>
      <c r="J89" s="85"/>
      <c r="K89" s="88"/>
      <c r="L89" s="83"/>
      <c r="M89" s="85"/>
      <c r="N89" s="85"/>
      <c r="O89" s="85"/>
      <c r="P89" s="85"/>
      <c r="Q89" s="85"/>
      <c r="R89" s="85"/>
      <c r="S89" s="85"/>
      <c r="T89" s="85"/>
      <c r="U89" s="85"/>
      <c r="V89" s="88"/>
      <c r="W89" s="83"/>
      <c r="X89" s="85"/>
      <c r="Y89" s="85"/>
      <c r="Z89" s="85"/>
      <c r="AA89" s="85"/>
      <c r="AB89" s="85"/>
      <c r="AC89" s="85"/>
      <c r="AD89" s="85"/>
      <c r="AE89" s="85"/>
      <c r="AF89" s="85"/>
      <c r="AG89" s="88"/>
      <c r="AH89" s="83"/>
      <c r="AI89" s="85"/>
      <c r="AJ89" s="85"/>
      <c r="AK89" s="85"/>
      <c r="AL89" s="85"/>
      <c r="AM89" s="311"/>
      <c r="AN89" s="85"/>
      <c r="AO89" s="85"/>
      <c r="AP89" s="85"/>
      <c r="AQ89" s="85"/>
      <c r="AR89" s="88"/>
    </row>
    <row r="90" spans="1:44" ht="22.8" customHeight="1" thickBot="1" x14ac:dyDescent="0.3">
      <c r="A90" s="97"/>
      <c r="B90" s="98"/>
      <c r="C90" s="98"/>
      <c r="D90" s="101">
        <f>SUM(D79:D88)</f>
        <v>1</v>
      </c>
      <c r="E90" s="98"/>
      <c r="F90" s="98"/>
      <c r="G90" s="98"/>
      <c r="H90" s="98"/>
      <c r="I90" s="285" t="s">
        <v>223</v>
      </c>
      <c r="J90" s="98"/>
      <c r="K90" s="99"/>
      <c r="L90" s="97"/>
      <c r="M90" s="98"/>
      <c r="N90" s="98"/>
      <c r="O90" s="101">
        <f>SUM(O79:O88)</f>
        <v>1.1000000000000001</v>
      </c>
      <c r="P90" s="98"/>
      <c r="Q90" s="98"/>
      <c r="R90" s="98"/>
      <c r="S90" s="98"/>
      <c r="T90" s="285" t="s">
        <v>223</v>
      </c>
      <c r="U90" s="98"/>
      <c r="V90" s="99"/>
      <c r="W90" s="97"/>
      <c r="X90" s="98"/>
      <c r="Y90" s="98"/>
      <c r="Z90" s="101">
        <f>SUM(Z79:Z88)</f>
        <v>1</v>
      </c>
      <c r="AA90" s="98"/>
      <c r="AB90" s="98"/>
      <c r="AC90" s="98"/>
      <c r="AD90" s="98"/>
      <c r="AE90" s="285" t="s">
        <v>223</v>
      </c>
      <c r="AF90" s="98"/>
      <c r="AG90" s="99"/>
      <c r="AH90" s="97"/>
      <c r="AI90" s="98"/>
      <c r="AJ90" s="98"/>
      <c r="AK90" s="101">
        <f>SUM(AK79:AK88)</f>
        <v>1.1000000000000001</v>
      </c>
      <c r="AL90" s="98"/>
      <c r="AM90" s="98"/>
      <c r="AN90" s="98"/>
      <c r="AO90" s="98"/>
      <c r="AP90" s="285" t="s">
        <v>223</v>
      </c>
      <c r="AQ90" s="98"/>
      <c r="AR90" s="99"/>
    </row>
    <row r="91" spans="1:44" ht="22.8" customHeight="1" x14ac:dyDescent="0.25"/>
  </sheetData>
  <mergeCells count="60">
    <mergeCell ref="A75:K75"/>
    <mergeCell ref="L75:V75"/>
    <mergeCell ref="W75:AG75"/>
    <mergeCell ref="AH75:AR75"/>
    <mergeCell ref="I77:I78"/>
    <mergeCell ref="T77:T78"/>
    <mergeCell ref="AE77:AE78"/>
    <mergeCell ref="AP77:AP78"/>
    <mergeCell ref="A59:K59"/>
    <mergeCell ref="L59:V59"/>
    <mergeCell ref="W59:AG59"/>
    <mergeCell ref="AH59:AR59"/>
    <mergeCell ref="I61:I62"/>
    <mergeCell ref="T61:T62"/>
    <mergeCell ref="AE61:AE62"/>
    <mergeCell ref="AP61:AP62"/>
    <mergeCell ref="A43:K43"/>
    <mergeCell ref="L43:V43"/>
    <mergeCell ref="W43:AG43"/>
    <mergeCell ref="AH43:AR43"/>
    <mergeCell ref="I45:I46"/>
    <mergeCell ref="T45:T46"/>
    <mergeCell ref="AE45:AE46"/>
    <mergeCell ref="AP45:AP46"/>
    <mergeCell ref="AD35:AE35"/>
    <mergeCell ref="AJ35:AK35"/>
    <mergeCell ref="AO35:AP35"/>
    <mergeCell ref="C34:D34"/>
    <mergeCell ref="H34:I34"/>
    <mergeCell ref="N34:O34"/>
    <mergeCell ref="S34:T34"/>
    <mergeCell ref="Y34:Z34"/>
    <mergeCell ref="AD34:AE34"/>
    <mergeCell ref="C35:D35"/>
    <mergeCell ref="H35:I35"/>
    <mergeCell ref="N35:O35"/>
    <mergeCell ref="S35:T35"/>
    <mergeCell ref="Y35:Z35"/>
    <mergeCell ref="AD33:AE33"/>
    <mergeCell ref="AJ33:AK33"/>
    <mergeCell ref="AO33:AP33"/>
    <mergeCell ref="AJ34:AK34"/>
    <mergeCell ref="AO34:AP34"/>
    <mergeCell ref="C33:D33"/>
    <mergeCell ref="H33:I33"/>
    <mergeCell ref="N33:O33"/>
    <mergeCell ref="S33:T33"/>
    <mergeCell ref="Y33:Z33"/>
    <mergeCell ref="A1:H1"/>
    <mergeCell ref="L1:S1"/>
    <mergeCell ref="W1:AD1"/>
    <mergeCell ref="AH1:AO1"/>
    <mergeCell ref="C32:D32"/>
    <mergeCell ref="H32:I32"/>
    <mergeCell ref="N32:O32"/>
    <mergeCell ref="S32:T32"/>
    <mergeCell ref="Y32:Z32"/>
    <mergeCell ref="AD32:AE32"/>
    <mergeCell ref="AJ32:AK32"/>
    <mergeCell ref="AO32:AP32"/>
  </mergeCells>
  <pageMargins left="0.31496062992125984" right="0.31496062992125984" top="0.15748031496062992" bottom="0.15748031496062992" header="0.31496062992125984" footer="0.31496062992125984"/>
  <pageSetup paperSize="9" scale="90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Importer">
                <anchor moveWithCells="1" sizeWithCells="1">
                  <from>
                    <xdr:col>9</xdr:col>
                    <xdr:colOff>68580</xdr:colOff>
                    <xdr:row>8</xdr:row>
                    <xdr:rowOff>175260</xdr:rowOff>
                  </from>
                  <to>
                    <xdr:col>12</xdr:col>
                    <xdr:colOff>320040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5" name="Button 4">
              <controlPr defaultSize="0" print="0" autoFill="0" autoPict="0" macro="[0]!Résultats">
                <anchor moveWithCells="1" sizeWithCells="1">
                  <from>
                    <xdr:col>9</xdr:col>
                    <xdr:colOff>76200</xdr:colOff>
                    <xdr:row>11</xdr:row>
                    <xdr:rowOff>22860</xdr:rowOff>
                  </from>
                  <to>
                    <xdr:col>12</xdr:col>
                    <xdr:colOff>327660</xdr:colOff>
                    <xdr:row>12</xdr:row>
                    <xdr:rowOff>205740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Accueil</vt:lpstr>
      <vt:lpstr>Constantes</vt:lpstr>
      <vt:lpstr>Historique T=0</vt:lpstr>
      <vt:lpstr>Actions</vt:lpstr>
      <vt:lpstr>Scénario</vt:lpstr>
      <vt:lpstr>Décisions</vt:lpstr>
      <vt:lpstr>Calcul</vt:lpstr>
      <vt:lpstr>Résultats_évolution</vt:lpstr>
      <vt:lpstr>Résultats par mois</vt:lpstr>
      <vt:lpstr>Graphiques</vt:lpstr>
      <vt:lpstr>Décision_vierge</vt:lpstr>
      <vt:lpstr>Standard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Laurent LAVOGIEZ</dc:creator>
  <cp:lastModifiedBy>Laurent LAVOGIEZ</cp:lastModifiedBy>
  <dcterms:created xsi:type="dcterms:W3CDTF">2017-08-30T15:08:37Z</dcterms:created>
  <dcterms:modified xsi:type="dcterms:W3CDTF">2018-03-22T07:41:17Z</dcterms:modified>
</cp:coreProperties>
</file>